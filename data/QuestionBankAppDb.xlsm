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Nagasudhir\Documents\Javascript Projects\so_ques_bank_app\data\"/>
    </mc:Choice>
  </mc:AlternateContent>
  <bookViews>
    <workbookView xWindow="-105" yWindow="-105" windowWidth="19425" windowHeight="10425" activeTab="2"/>
  </bookViews>
  <sheets>
    <sheet name="Sheet1" sheetId="1" r:id="rId1"/>
    <sheet name="Sheet2" sheetId="2" r:id="rId2"/>
    <sheet name="SR" sheetId="3" r:id="rId3"/>
  </sheets>
  <functionGroups builtInGroupCount="18"/>
  <definedNames>
    <definedName name="_xlnm._FilterDatabase" localSheetId="0" hidden="1">Sheet1!$A$1:$G$2159</definedName>
    <definedName name="_xlnm._FilterDatabase" localSheetId="1" hidden="1">Sheet2!$A$1:$G$2001</definedName>
    <definedName name="_xlnm._FilterDatabase" localSheetId="2" hidden="1">SR!$A$1:$H$1659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 i="3" l="1"/>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1"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G942" i="3"/>
  <c r="G943" i="3"/>
  <c r="G944" i="3"/>
  <c r="G945" i="3"/>
  <c r="G946" i="3"/>
  <c r="G947" i="3"/>
  <c r="G948" i="3"/>
  <c r="G949" i="3"/>
  <c r="G950" i="3"/>
  <c r="G951" i="3"/>
  <c r="G952" i="3"/>
  <c r="G953" i="3"/>
  <c r="G954" i="3"/>
  <c r="G955" i="3"/>
  <c r="G956" i="3"/>
  <c r="G957" i="3"/>
  <c r="G958" i="3"/>
  <c r="G959" i="3"/>
  <c r="G960" i="3"/>
  <c r="G961" i="3"/>
  <c r="G962" i="3"/>
  <c r="G963" i="3"/>
  <c r="G964" i="3"/>
  <c r="G965" i="3"/>
  <c r="G966" i="3"/>
  <c r="G967" i="3"/>
  <c r="G968" i="3"/>
  <c r="G969" i="3"/>
  <c r="G970" i="3"/>
  <c r="G971" i="3"/>
  <c r="G972" i="3"/>
  <c r="G973" i="3"/>
  <c r="G974" i="3"/>
  <c r="G975" i="3"/>
  <c r="G976" i="3"/>
  <c r="G977" i="3"/>
  <c r="G978" i="3"/>
  <c r="G979" i="3"/>
  <c r="G980" i="3"/>
  <c r="G981" i="3"/>
  <c r="G982" i="3"/>
  <c r="G983" i="3"/>
  <c r="G984" i="3"/>
  <c r="G985" i="3"/>
  <c r="G986" i="3"/>
  <c r="G987" i="3"/>
  <c r="G988" i="3"/>
  <c r="G989" i="3"/>
  <c r="G990" i="3"/>
  <c r="G991" i="3"/>
  <c r="G992" i="3"/>
  <c r="G993" i="3"/>
  <c r="G994" i="3"/>
  <c r="G995" i="3"/>
  <c r="G996" i="3"/>
  <c r="G997" i="3"/>
  <c r="G998" i="3"/>
  <c r="G999" i="3"/>
  <c r="G1000" i="3"/>
  <c r="G1001" i="3"/>
  <c r="G1002" i="3"/>
  <c r="G1003" i="3"/>
  <c r="G1004" i="3"/>
  <c r="G1005" i="3"/>
  <c r="G1006" i="3"/>
  <c r="G1007" i="3"/>
  <c r="G1008" i="3"/>
  <c r="G1009" i="3"/>
  <c r="G1010" i="3"/>
  <c r="G1011" i="3"/>
  <c r="G1012" i="3"/>
  <c r="G1013" i="3"/>
  <c r="G1014" i="3"/>
  <c r="G1015" i="3"/>
  <c r="G1016" i="3"/>
  <c r="G1017" i="3"/>
  <c r="G1018" i="3"/>
  <c r="G1019" i="3"/>
  <c r="G1020" i="3"/>
  <c r="G1021" i="3"/>
  <c r="G1022" i="3"/>
  <c r="G1023" i="3"/>
  <c r="G1024" i="3"/>
  <c r="G1025" i="3"/>
  <c r="G1026" i="3"/>
  <c r="G1027" i="3"/>
  <c r="G1028" i="3"/>
  <c r="G1029" i="3"/>
  <c r="G1030" i="3"/>
  <c r="G1031" i="3"/>
  <c r="G1032" i="3"/>
  <c r="G1033" i="3"/>
  <c r="G1034" i="3"/>
  <c r="G1035" i="3"/>
  <c r="G1036" i="3"/>
  <c r="G1037" i="3"/>
  <c r="G1038" i="3"/>
  <c r="G1039" i="3"/>
  <c r="G1040" i="3"/>
  <c r="G1041" i="3"/>
  <c r="G1042" i="3"/>
  <c r="G1043" i="3"/>
  <c r="G1044" i="3"/>
  <c r="G1045" i="3"/>
  <c r="G1046" i="3"/>
  <c r="G1047" i="3"/>
  <c r="G1048" i="3"/>
  <c r="G1049" i="3"/>
  <c r="G1050" i="3"/>
  <c r="G1051" i="3"/>
  <c r="G1052" i="3"/>
  <c r="G1053" i="3"/>
  <c r="G1054" i="3"/>
  <c r="G1055" i="3"/>
  <c r="G1056" i="3"/>
  <c r="G1057" i="3"/>
  <c r="G1058" i="3"/>
  <c r="G1059" i="3"/>
  <c r="G1060" i="3"/>
  <c r="G1061" i="3"/>
  <c r="G1062" i="3"/>
  <c r="G1063" i="3"/>
  <c r="G1064" i="3"/>
  <c r="G1065" i="3"/>
  <c r="G1066" i="3"/>
  <c r="G1067" i="3"/>
  <c r="G1068" i="3"/>
  <c r="G1069" i="3"/>
  <c r="G1070" i="3"/>
  <c r="G1071" i="3"/>
  <c r="G1072" i="3"/>
  <c r="G1073" i="3"/>
  <c r="G1074" i="3"/>
  <c r="G1075" i="3"/>
  <c r="G1076" i="3"/>
  <c r="G1077" i="3"/>
  <c r="G1078" i="3"/>
  <c r="G1079" i="3"/>
  <c r="G1080" i="3"/>
  <c r="G1081" i="3"/>
  <c r="G1082" i="3"/>
  <c r="G1083" i="3"/>
  <c r="G1084" i="3"/>
  <c r="G1085" i="3"/>
  <c r="G1086" i="3"/>
  <c r="G1087" i="3"/>
  <c r="G1088" i="3"/>
  <c r="G1089" i="3"/>
  <c r="G1090" i="3"/>
  <c r="G1091" i="3"/>
  <c r="G1092" i="3"/>
  <c r="G1093" i="3"/>
  <c r="G1094" i="3"/>
  <c r="G1095" i="3"/>
  <c r="G1096" i="3"/>
  <c r="G1097" i="3"/>
  <c r="G1098" i="3"/>
  <c r="G1099" i="3"/>
  <c r="G1100" i="3"/>
  <c r="G1101" i="3"/>
  <c r="G1102" i="3"/>
  <c r="G1103" i="3"/>
  <c r="G1104" i="3"/>
  <c r="G1105" i="3"/>
  <c r="G1106" i="3"/>
  <c r="G1107" i="3"/>
  <c r="G1108" i="3"/>
  <c r="G1109" i="3"/>
  <c r="G1110" i="3"/>
  <c r="G1111" i="3"/>
  <c r="G1112" i="3"/>
  <c r="G1113" i="3"/>
  <c r="G1114" i="3"/>
  <c r="G1115" i="3"/>
  <c r="G1116" i="3"/>
  <c r="G1117" i="3"/>
  <c r="G1118" i="3"/>
  <c r="G1119" i="3"/>
  <c r="G1120" i="3"/>
  <c r="G1121" i="3"/>
  <c r="G1122" i="3"/>
  <c r="G1123" i="3"/>
  <c r="G1124" i="3"/>
  <c r="G1125" i="3"/>
  <c r="G1126" i="3"/>
  <c r="G1127" i="3"/>
  <c r="G1128" i="3"/>
  <c r="G1129" i="3"/>
  <c r="G1130" i="3"/>
  <c r="G1131" i="3"/>
  <c r="G1132" i="3"/>
  <c r="G1133" i="3"/>
  <c r="G1134" i="3"/>
  <c r="G1135" i="3"/>
  <c r="G1136" i="3"/>
  <c r="G1137" i="3"/>
  <c r="G1138" i="3"/>
  <c r="G1139" i="3"/>
  <c r="G1140" i="3"/>
  <c r="G1141" i="3"/>
  <c r="G1142" i="3"/>
  <c r="G1143" i="3"/>
  <c r="G1144" i="3"/>
  <c r="G1145" i="3"/>
  <c r="G1146" i="3"/>
  <c r="G1147" i="3"/>
  <c r="G1148" i="3"/>
  <c r="G1149" i="3"/>
  <c r="G1150" i="3"/>
  <c r="G1151" i="3"/>
  <c r="G1152" i="3"/>
  <c r="G1153" i="3"/>
  <c r="G1154" i="3"/>
  <c r="G1155" i="3"/>
  <c r="G1156" i="3"/>
  <c r="G1157" i="3"/>
  <c r="G1158" i="3"/>
  <c r="G1159" i="3"/>
  <c r="G1160" i="3"/>
  <c r="G1161" i="3"/>
  <c r="G1162" i="3"/>
  <c r="G1163" i="3"/>
  <c r="G1164" i="3"/>
  <c r="G1165" i="3"/>
  <c r="G1166" i="3"/>
  <c r="G1167" i="3"/>
  <c r="G1168" i="3"/>
  <c r="G1169" i="3"/>
  <c r="G1170" i="3"/>
  <c r="G1171" i="3"/>
  <c r="G1172" i="3"/>
  <c r="G1173" i="3"/>
  <c r="G1174" i="3"/>
  <c r="G1175" i="3"/>
  <c r="G1176" i="3"/>
  <c r="G1177" i="3"/>
  <c r="G1178" i="3"/>
  <c r="G1179" i="3"/>
  <c r="G1180" i="3"/>
  <c r="G1181" i="3"/>
  <c r="G1182" i="3"/>
  <c r="G1183" i="3"/>
  <c r="G1184" i="3"/>
  <c r="G1185" i="3"/>
  <c r="G1186" i="3"/>
  <c r="G1187" i="3"/>
  <c r="G1188" i="3"/>
  <c r="G1189" i="3"/>
  <c r="G1190" i="3"/>
  <c r="G1191" i="3"/>
  <c r="G1192" i="3"/>
  <c r="G1193" i="3"/>
  <c r="G1194" i="3"/>
  <c r="G1195" i="3"/>
  <c r="G1196" i="3"/>
  <c r="G1197" i="3"/>
  <c r="G1198" i="3"/>
  <c r="G1199" i="3"/>
  <c r="G1200" i="3"/>
  <c r="G1201" i="3"/>
  <c r="G1202" i="3"/>
  <c r="G1203" i="3"/>
  <c r="G1204" i="3"/>
  <c r="G1205" i="3"/>
  <c r="G1206" i="3"/>
  <c r="G1207" i="3"/>
  <c r="G1208" i="3"/>
  <c r="G1209" i="3"/>
  <c r="G1210" i="3"/>
  <c r="G1211" i="3"/>
  <c r="G1212" i="3"/>
  <c r="G1213" i="3"/>
  <c r="G1214" i="3"/>
  <c r="G1215" i="3"/>
  <c r="G1216" i="3"/>
  <c r="G1217" i="3"/>
  <c r="G1218" i="3"/>
  <c r="G1219" i="3"/>
  <c r="G1220" i="3"/>
  <c r="G1221" i="3"/>
  <c r="G1222" i="3"/>
  <c r="G1223" i="3"/>
  <c r="G1224" i="3"/>
  <c r="G1225" i="3"/>
  <c r="G1226" i="3"/>
  <c r="G1227" i="3"/>
  <c r="G1228" i="3"/>
  <c r="G1229" i="3"/>
  <c r="G1230" i="3"/>
  <c r="G1231" i="3"/>
  <c r="G1232" i="3"/>
  <c r="G1233" i="3"/>
  <c r="G1234" i="3"/>
  <c r="G1235" i="3"/>
  <c r="G1236" i="3"/>
  <c r="G1237" i="3"/>
  <c r="G1238" i="3"/>
  <c r="G1239" i="3"/>
  <c r="G1240" i="3"/>
  <c r="G1241" i="3"/>
  <c r="G1242" i="3"/>
  <c r="G1243" i="3"/>
  <c r="G1244" i="3"/>
  <c r="G1245" i="3"/>
  <c r="G1246" i="3"/>
  <c r="G1247" i="3"/>
  <c r="G1248" i="3"/>
  <c r="G1249" i="3"/>
  <c r="G1250" i="3"/>
  <c r="G1251" i="3"/>
  <c r="G1252" i="3"/>
  <c r="G1253" i="3"/>
  <c r="G1254" i="3"/>
  <c r="G1255" i="3"/>
  <c r="G1256" i="3"/>
  <c r="G1257" i="3"/>
  <c r="G1258" i="3"/>
  <c r="G1259" i="3"/>
  <c r="G1260" i="3"/>
  <c r="G1261" i="3"/>
  <c r="G1262" i="3"/>
  <c r="G1263" i="3"/>
  <c r="G1264" i="3"/>
  <c r="G1265" i="3"/>
  <c r="G1266" i="3"/>
  <c r="G1267" i="3"/>
  <c r="G1268" i="3"/>
  <c r="G1269" i="3"/>
  <c r="G1270" i="3"/>
  <c r="G1271" i="3"/>
  <c r="G1272" i="3"/>
  <c r="G1273" i="3"/>
  <c r="G1274" i="3"/>
  <c r="G1275" i="3"/>
  <c r="G1276" i="3"/>
  <c r="G1277" i="3"/>
  <c r="G1278" i="3"/>
  <c r="G1279" i="3"/>
  <c r="G1280" i="3"/>
  <c r="G1281" i="3"/>
  <c r="G1282" i="3"/>
  <c r="G1283" i="3"/>
  <c r="G1284" i="3"/>
  <c r="G1285" i="3"/>
  <c r="G1286" i="3"/>
  <c r="G1287" i="3"/>
  <c r="G1288" i="3"/>
  <c r="G1289" i="3"/>
  <c r="G1290" i="3"/>
  <c r="G1291" i="3"/>
  <c r="G1292" i="3"/>
  <c r="G1293" i="3"/>
  <c r="G1294" i="3"/>
  <c r="G1295" i="3"/>
  <c r="G1296" i="3"/>
  <c r="G1297" i="3"/>
  <c r="G1298" i="3"/>
  <c r="G1299" i="3"/>
  <c r="G1300" i="3"/>
  <c r="G1301" i="3"/>
  <c r="G1302" i="3"/>
  <c r="G1303" i="3"/>
  <c r="G1304" i="3"/>
  <c r="G1305" i="3"/>
  <c r="G1306" i="3"/>
  <c r="G1307" i="3"/>
  <c r="G1308" i="3"/>
  <c r="G1309" i="3"/>
  <c r="G1310" i="3"/>
  <c r="G1311" i="3"/>
  <c r="G1312" i="3"/>
  <c r="G1313" i="3"/>
  <c r="G1314" i="3"/>
  <c r="G1315" i="3"/>
  <c r="G1316" i="3"/>
  <c r="G1317" i="3"/>
  <c r="G1318" i="3"/>
  <c r="G1319" i="3"/>
  <c r="G1320" i="3"/>
  <c r="G1321" i="3"/>
  <c r="G1322" i="3"/>
  <c r="G1323" i="3"/>
  <c r="G1324" i="3"/>
  <c r="G1325" i="3"/>
  <c r="G1326" i="3"/>
  <c r="G1327" i="3"/>
  <c r="G1328" i="3"/>
  <c r="G1329" i="3"/>
  <c r="G1330" i="3"/>
  <c r="G1331" i="3"/>
  <c r="G1332" i="3"/>
  <c r="G1333" i="3"/>
  <c r="G1334" i="3"/>
  <c r="G1335" i="3"/>
  <c r="G1336" i="3"/>
  <c r="G1337" i="3"/>
  <c r="G1338" i="3"/>
  <c r="G1339" i="3"/>
  <c r="G1340" i="3"/>
  <c r="G1341" i="3"/>
  <c r="G1342" i="3"/>
  <c r="G1343" i="3"/>
  <c r="G1344" i="3"/>
  <c r="G1345" i="3"/>
  <c r="G1346" i="3"/>
  <c r="G1347" i="3"/>
  <c r="G1348" i="3"/>
  <c r="G1349" i="3"/>
  <c r="G1350" i="3"/>
  <c r="G1351" i="3"/>
  <c r="G1352" i="3"/>
  <c r="G1353" i="3"/>
  <c r="G1354" i="3"/>
  <c r="G1355" i="3"/>
  <c r="G1356" i="3"/>
  <c r="G1357" i="3"/>
  <c r="G1358" i="3"/>
  <c r="G1359" i="3"/>
  <c r="G1360" i="3"/>
  <c r="G1361" i="3"/>
  <c r="G1362" i="3"/>
  <c r="G1363" i="3"/>
  <c r="G1364" i="3"/>
  <c r="G1365" i="3"/>
  <c r="G1366" i="3"/>
  <c r="G1367" i="3"/>
  <c r="G1368" i="3"/>
  <c r="G1369" i="3"/>
  <c r="G1370" i="3"/>
  <c r="G1371" i="3"/>
  <c r="G1372" i="3"/>
  <c r="G1373" i="3"/>
  <c r="G1374" i="3"/>
  <c r="G1375" i="3"/>
  <c r="G1376" i="3"/>
  <c r="G1377" i="3"/>
  <c r="G1378" i="3"/>
  <c r="G1379" i="3"/>
  <c r="G1380" i="3"/>
  <c r="G1381" i="3"/>
  <c r="G1382" i="3"/>
  <c r="G1383" i="3"/>
  <c r="G1384" i="3"/>
  <c r="G1385" i="3"/>
  <c r="G1386" i="3"/>
  <c r="G1387" i="3"/>
  <c r="G1388" i="3"/>
  <c r="G1389" i="3"/>
  <c r="G1390" i="3"/>
  <c r="G1391" i="3"/>
  <c r="G1392" i="3"/>
  <c r="G1393" i="3"/>
  <c r="G1394" i="3"/>
  <c r="G1395" i="3"/>
  <c r="G1396" i="3"/>
  <c r="G1397" i="3"/>
  <c r="G1398" i="3"/>
  <c r="G1399" i="3"/>
  <c r="G1400" i="3"/>
  <c r="G1401" i="3"/>
  <c r="G1402" i="3"/>
  <c r="G1403" i="3"/>
  <c r="G1404" i="3"/>
  <c r="G1405" i="3"/>
  <c r="G1406" i="3"/>
  <c r="G1407" i="3"/>
  <c r="G1408" i="3"/>
  <c r="G1409" i="3"/>
  <c r="G1410" i="3"/>
  <c r="G1411" i="3"/>
  <c r="G1412" i="3"/>
  <c r="G1413" i="3"/>
  <c r="G1414" i="3"/>
  <c r="G1415" i="3"/>
  <c r="G1416" i="3"/>
  <c r="G1417" i="3"/>
  <c r="G1418" i="3"/>
  <c r="G1419" i="3"/>
  <c r="G1420" i="3"/>
  <c r="G1421" i="3"/>
  <c r="G1422" i="3"/>
  <c r="G1423" i="3"/>
  <c r="G1424" i="3"/>
  <c r="G1425" i="3"/>
  <c r="G1426" i="3"/>
  <c r="G1427" i="3"/>
  <c r="G1428" i="3"/>
  <c r="G1429" i="3"/>
  <c r="G1430" i="3"/>
  <c r="G1431" i="3"/>
  <c r="G1432" i="3"/>
  <c r="G1433" i="3"/>
  <c r="G1434" i="3"/>
  <c r="G1435" i="3"/>
  <c r="G1436" i="3"/>
  <c r="G1437" i="3"/>
  <c r="G1438" i="3"/>
  <c r="G1439" i="3"/>
  <c r="G1440" i="3"/>
  <c r="G1441" i="3"/>
  <c r="G1442" i="3"/>
  <c r="G1443" i="3"/>
  <c r="G1444" i="3"/>
  <c r="G1445" i="3"/>
  <c r="G1446" i="3"/>
  <c r="G1447" i="3"/>
  <c r="G1448" i="3"/>
  <c r="G1449" i="3"/>
  <c r="G1450" i="3"/>
  <c r="G1451" i="3"/>
  <c r="G1452" i="3"/>
  <c r="G1453" i="3"/>
  <c r="G1454" i="3"/>
  <c r="G1455" i="3"/>
  <c r="G1456" i="3"/>
  <c r="G1457" i="3"/>
  <c r="G1458" i="3"/>
  <c r="G1459" i="3"/>
  <c r="G1460" i="3"/>
  <c r="G1461" i="3"/>
  <c r="G1462" i="3"/>
  <c r="G1463" i="3"/>
  <c r="G1464" i="3"/>
  <c r="G1465" i="3"/>
  <c r="G1466" i="3"/>
  <c r="G1467" i="3"/>
  <c r="G1468" i="3"/>
  <c r="G1469" i="3"/>
  <c r="G1470" i="3"/>
  <c r="G1471" i="3"/>
  <c r="G1472" i="3"/>
  <c r="G1473" i="3"/>
  <c r="G1474" i="3"/>
  <c r="G1475" i="3"/>
  <c r="G1476" i="3"/>
  <c r="G1477" i="3"/>
  <c r="G1478" i="3"/>
  <c r="G1479" i="3"/>
  <c r="G1480" i="3"/>
  <c r="G1481" i="3"/>
  <c r="G1482" i="3"/>
  <c r="G1483" i="3"/>
  <c r="G1484" i="3"/>
  <c r="G1485" i="3"/>
  <c r="G1486" i="3"/>
  <c r="G1487" i="3"/>
  <c r="G1488" i="3"/>
  <c r="G1489" i="3"/>
  <c r="G1490" i="3"/>
  <c r="G1491" i="3"/>
  <c r="G1492" i="3"/>
  <c r="G1493" i="3"/>
  <c r="G1494" i="3"/>
  <c r="G1495" i="3"/>
  <c r="G1496" i="3"/>
  <c r="G1497" i="3"/>
  <c r="G1498" i="3"/>
  <c r="G1499" i="3"/>
  <c r="G1500" i="3"/>
  <c r="G1501" i="3"/>
  <c r="G1502" i="3"/>
  <c r="G1503" i="3"/>
  <c r="G1504" i="3"/>
  <c r="G1505" i="3"/>
  <c r="G1506" i="3"/>
  <c r="G1507" i="3"/>
  <c r="G1508" i="3"/>
  <c r="G1509" i="3"/>
  <c r="G1510" i="3"/>
  <c r="G1511" i="3"/>
  <c r="G1512" i="3"/>
  <c r="G1513" i="3"/>
  <c r="G1514" i="3"/>
  <c r="G1515" i="3"/>
  <c r="G1516" i="3"/>
  <c r="G1517" i="3"/>
  <c r="G1518" i="3"/>
  <c r="G1519" i="3"/>
  <c r="G1520" i="3"/>
  <c r="G1521" i="3"/>
  <c r="G1522" i="3"/>
  <c r="G1523" i="3"/>
  <c r="G1524" i="3"/>
  <c r="G1525" i="3"/>
  <c r="G1526" i="3"/>
  <c r="G1527" i="3"/>
  <c r="G1528" i="3"/>
  <c r="G1529" i="3"/>
  <c r="G1530" i="3"/>
  <c r="G1531" i="3"/>
  <c r="G1532" i="3"/>
  <c r="G1533" i="3"/>
  <c r="G1534" i="3"/>
  <c r="G1535" i="3"/>
  <c r="G1536" i="3"/>
  <c r="G1537" i="3"/>
  <c r="G1538" i="3"/>
  <c r="G1539" i="3"/>
  <c r="G1540" i="3"/>
  <c r="G1541" i="3"/>
  <c r="G1542" i="3"/>
  <c r="G1543" i="3"/>
  <c r="G1544" i="3"/>
  <c r="G1545" i="3"/>
  <c r="G1546" i="3"/>
  <c r="G1547" i="3"/>
  <c r="G1548" i="3"/>
  <c r="G1549" i="3"/>
  <c r="G1550" i="3"/>
  <c r="G1551" i="3"/>
  <c r="G1552" i="3"/>
  <c r="G1553" i="3"/>
  <c r="G1554" i="3"/>
  <c r="G1555" i="3"/>
  <c r="G1556" i="3"/>
  <c r="G1557" i="3"/>
  <c r="G1558" i="3"/>
  <c r="G1559" i="3"/>
  <c r="G1560" i="3"/>
  <c r="G1561" i="3"/>
  <c r="G1562" i="3"/>
  <c r="G1563" i="3"/>
  <c r="G1564" i="3"/>
  <c r="G1565" i="3"/>
  <c r="G1566" i="3"/>
  <c r="G1567" i="3"/>
  <c r="G1568" i="3"/>
  <c r="G1569" i="3"/>
  <c r="G1570" i="3"/>
  <c r="G1571" i="3"/>
  <c r="G1572" i="3"/>
  <c r="G1573" i="3"/>
  <c r="G1574" i="3"/>
  <c r="G1575" i="3"/>
  <c r="G1576" i="3"/>
  <c r="G1577" i="3"/>
  <c r="G1578" i="3"/>
  <c r="G1579" i="3"/>
  <c r="G1580" i="3"/>
  <c r="G1581" i="3"/>
  <c r="G1582" i="3"/>
  <c r="G1583" i="3"/>
  <c r="G1584" i="3"/>
  <c r="G1585" i="3"/>
  <c r="G1586" i="3"/>
  <c r="G1587" i="3"/>
  <c r="G1588" i="3"/>
  <c r="G1589" i="3"/>
  <c r="G1590" i="3"/>
  <c r="G1591" i="3"/>
  <c r="G1592" i="3"/>
  <c r="G1593" i="3"/>
  <c r="G1594" i="3"/>
  <c r="G1595" i="3"/>
  <c r="G1596" i="3"/>
  <c r="G1597" i="3"/>
  <c r="G1598" i="3"/>
  <c r="G1599" i="3"/>
  <c r="G1600" i="3"/>
  <c r="G1601" i="3"/>
  <c r="G1602" i="3"/>
  <c r="G1603" i="3"/>
  <c r="G1604" i="3"/>
  <c r="G1605" i="3"/>
  <c r="G1606" i="3"/>
  <c r="G1607" i="3"/>
  <c r="G1608" i="3"/>
  <c r="G1609" i="3"/>
  <c r="G1610" i="3"/>
  <c r="G1611" i="3"/>
  <c r="G1612" i="3"/>
  <c r="G1613" i="3"/>
  <c r="G1614" i="3"/>
  <c r="G1615" i="3"/>
  <c r="G1616" i="3"/>
  <c r="G1617" i="3"/>
  <c r="G1618" i="3"/>
  <c r="G1619" i="3"/>
  <c r="G1620" i="3"/>
  <c r="G1621" i="3"/>
  <c r="G1622" i="3"/>
  <c r="G1623" i="3"/>
  <c r="G1624" i="3"/>
  <c r="G1625" i="3"/>
  <c r="G1626" i="3"/>
  <c r="G1627" i="3"/>
  <c r="G1628" i="3"/>
  <c r="G1629" i="3"/>
  <c r="G1630" i="3"/>
  <c r="G1631" i="3"/>
  <c r="G1632" i="3"/>
  <c r="G1633" i="3"/>
  <c r="G1634" i="3"/>
  <c r="G1635" i="3"/>
  <c r="G1636" i="3"/>
  <c r="G1637" i="3"/>
  <c r="G1638" i="3"/>
  <c r="G1639" i="3"/>
  <c r="G1640" i="3"/>
  <c r="G1641" i="3"/>
  <c r="G1642" i="3"/>
  <c r="G1643" i="3"/>
  <c r="G1644" i="3"/>
  <c r="G1645" i="3"/>
  <c r="G1646" i="3"/>
  <c r="G1647" i="3"/>
  <c r="G1648" i="3"/>
  <c r="G1649" i="3"/>
  <c r="G1650" i="3"/>
  <c r="G1651" i="3"/>
  <c r="G1652" i="3"/>
  <c r="G1653" i="3"/>
  <c r="G1654" i="3"/>
  <c r="G1655" i="3"/>
  <c r="G1656" i="3"/>
  <c r="G1657" i="3"/>
  <c r="G1658" i="3"/>
  <c r="G1659" i="3"/>
  <c r="G2" i="3"/>
  <c r="D962" i="3"/>
  <c r="D871" i="2" l="1"/>
  <c r="G3" i="2"/>
  <c r="G7" i="2"/>
  <c r="G11" i="2"/>
  <c r="G15" i="2"/>
  <c r="G19" i="2"/>
  <c r="G23" i="2"/>
  <c r="G27" i="2"/>
  <c r="G31" i="2"/>
  <c r="G35" i="2"/>
  <c r="G39" i="2"/>
  <c r="G43" i="2"/>
  <c r="G47" i="2"/>
  <c r="G51" i="2"/>
  <c r="G55" i="2"/>
  <c r="G59" i="2"/>
  <c r="G63" i="2"/>
  <c r="G67" i="2"/>
  <c r="G71" i="2"/>
  <c r="G75" i="2"/>
  <c r="G79" i="2"/>
  <c r="G83" i="2"/>
  <c r="G87" i="2"/>
  <c r="G91" i="2"/>
  <c r="G95" i="2"/>
  <c r="G99" i="2"/>
  <c r="G103" i="2"/>
  <c r="G107" i="2"/>
  <c r="G111" i="2"/>
  <c r="G115" i="2"/>
  <c r="G119" i="2"/>
  <c r="G123" i="2"/>
  <c r="G127" i="2"/>
  <c r="G131" i="2"/>
  <c r="G135" i="2"/>
  <c r="G139" i="2"/>
  <c r="G143" i="2"/>
  <c r="G147" i="2"/>
  <c r="G151" i="2"/>
  <c r="G155" i="2"/>
  <c r="G159" i="2"/>
  <c r="G163" i="2"/>
  <c r="G167" i="2"/>
  <c r="G171" i="2"/>
  <c r="G175" i="2"/>
  <c r="G179" i="2"/>
  <c r="G183" i="2"/>
  <c r="G187" i="2"/>
  <c r="G191" i="2"/>
  <c r="G195" i="2"/>
  <c r="G199" i="2"/>
  <c r="G203" i="2"/>
  <c r="G207" i="2"/>
  <c r="G211" i="2"/>
  <c r="G215" i="2"/>
  <c r="G219" i="2"/>
  <c r="G223" i="2"/>
  <c r="G227" i="2"/>
  <c r="G231" i="2"/>
  <c r="G235" i="2"/>
  <c r="G239" i="2"/>
  <c r="G243" i="2"/>
  <c r="G247" i="2"/>
  <c r="G251" i="2"/>
  <c r="G255" i="2"/>
  <c r="G259" i="2"/>
  <c r="G263" i="2"/>
  <c r="G267" i="2"/>
  <c r="G271" i="2"/>
  <c r="G275" i="2"/>
  <c r="G279" i="2"/>
  <c r="G283" i="2"/>
  <c r="G287" i="2"/>
  <c r="G291" i="2"/>
  <c r="G295" i="2"/>
  <c r="G299" i="2"/>
  <c r="G303" i="2"/>
  <c r="G307" i="2"/>
  <c r="G311" i="2"/>
  <c r="G315" i="2"/>
  <c r="G319" i="2"/>
  <c r="G323" i="2"/>
  <c r="G327" i="2"/>
  <c r="G331" i="2"/>
  <c r="G335" i="2"/>
  <c r="G339" i="2"/>
  <c r="G343" i="2"/>
  <c r="G347" i="2"/>
  <c r="G351" i="2"/>
  <c r="G355" i="2"/>
  <c r="G359" i="2"/>
  <c r="G363" i="2"/>
  <c r="G367" i="2"/>
  <c r="G371" i="2"/>
  <c r="G375" i="2"/>
  <c r="G379" i="2"/>
  <c r="G383" i="2"/>
  <c r="G387" i="2"/>
  <c r="G391" i="2"/>
  <c r="G395" i="2"/>
  <c r="G399" i="2"/>
  <c r="G403" i="2"/>
  <c r="G407" i="2"/>
  <c r="G411" i="2"/>
  <c r="G415" i="2"/>
  <c r="G419" i="2"/>
  <c r="G423" i="2"/>
  <c r="G427" i="2"/>
  <c r="G431" i="2"/>
  <c r="G435" i="2"/>
  <c r="G439" i="2"/>
  <c r="G443" i="2"/>
  <c r="G447" i="2"/>
  <c r="G451" i="2"/>
  <c r="G455" i="2"/>
  <c r="G459" i="2"/>
  <c r="G463" i="2"/>
  <c r="G467" i="2"/>
  <c r="G471" i="2"/>
  <c r="G475" i="2"/>
  <c r="G479" i="2"/>
  <c r="G483" i="2"/>
  <c r="G487" i="2"/>
  <c r="G491" i="2"/>
  <c r="G495" i="2"/>
  <c r="G499" i="2"/>
  <c r="G503" i="2"/>
  <c r="G507" i="2"/>
  <c r="G4" i="2"/>
  <c r="G8" i="2"/>
  <c r="G12" i="2"/>
  <c r="G16" i="2"/>
  <c r="G20" i="2"/>
  <c r="G24" i="2"/>
  <c r="G28" i="2"/>
  <c r="G32" i="2"/>
  <c r="G36" i="2"/>
  <c r="G40" i="2"/>
  <c r="G44" i="2"/>
  <c r="G48" i="2"/>
  <c r="G52" i="2"/>
  <c r="G56" i="2"/>
  <c r="G60" i="2"/>
  <c r="G64" i="2"/>
  <c r="G68" i="2"/>
  <c r="G72" i="2"/>
  <c r="G76" i="2"/>
  <c r="G80" i="2"/>
  <c r="G84" i="2"/>
  <c r="G88" i="2"/>
  <c r="G92" i="2"/>
  <c r="G96" i="2"/>
  <c r="G100" i="2"/>
  <c r="G104" i="2"/>
  <c r="G108" i="2"/>
  <c r="G112" i="2"/>
  <c r="G116" i="2"/>
  <c r="G120" i="2"/>
  <c r="G124" i="2"/>
  <c r="G128" i="2"/>
  <c r="G132" i="2"/>
  <c r="G136" i="2"/>
  <c r="G140" i="2"/>
  <c r="G144" i="2"/>
  <c r="G148" i="2"/>
  <c r="G152" i="2"/>
  <c r="G156" i="2"/>
  <c r="G160" i="2"/>
  <c r="G164" i="2"/>
  <c r="G168" i="2"/>
  <c r="G172" i="2"/>
  <c r="G176" i="2"/>
  <c r="G180" i="2"/>
  <c r="G184" i="2"/>
  <c r="G188" i="2"/>
  <c r="G192" i="2"/>
  <c r="G196" i="2"/>
  <c r="G200" i="2"/>
  <c r="G204" i="2"/>
  <c r="G208" i="2"/>
  <c r="G212" i="2"/>
  <c r="G216" i="2"/>
  <c r="G220" i="2"/>
  <c r="G224" i="2"/>
  <c r="G228" i="2"/>
  <c r="G232" i="2"/>
  <c r="G236" i="2"/>
  <c r="G240" i="2"/>
  <c r="G244" i="2"/>
  <c r="G248" i="2"/>
  <c r="G252" i="2"/>
  <c r="G256" i="2"/>
  <c r="G260" i="2"/>
  <c r="G264" i="2"/>
  <c r="G268" i="2"/>
  <c r="G272" i="2"/>
  <c r="G276" i="2"/>
  <c r="G280" i="2"/>
  <c r="G284" i="2"/>
  <c r="G288" i="2"/>
  <c r="G292" i="2"/>
  <c r="G296" i="2"/>
  <c r="G300" i="2"/>
  <c r="G304" i="2"/>
  <c r="G308" i="2"/>
  <c r="G312" i="2"/>
  <c r="G316" i="2"/>
  <c r="G320" i="2"/>
  <c r="G324" i="2"/>
  <c r="G328" i="2"/>
  <c r="G332" i="2"/>
  <c r="G336" i="2"/>
  <c r="G340" i="2"/>
  <c r="G344" i="2"/>
  <c r="G348" i="2"/>
  <c r="G352" i="2"/>
  <c r="G356" i="2"/>
  <c r="G360" i="2"/>
  <c r="G364" i="2"/>
  <c r="G368" i="2"/>
  <c r="G372" i="2"/>
  <c r="G376" i="2"/>
  <c r="G380" i="2"/>
  <c r="G384" i="2"/>
  <c r="G388" i="2"/>
  <c r="G392" i="2"/>
  <c r="G396" i="2"/>
  <c r="G400" i="2"/>
  <c r="G404" i="2"/>
  <c r="G408" i="2"/>
  <c r="G412" i="2"/>
  <c r="G416" i="2"/>
  <c r="G420" i="2"/>
  <c r="G424" i="2"/>
  <c r="G428" i="2"/>
  <c r="G432" i="2"/>
  <c r="G436" i="2"/>
  <c r="G440" i="2"/>
  <c r="G444" i="2"/>
  <c r="G448" i="2"/>
  <c r="G452" i="2"/>
  <c r="G456" i="2"/>
  <c r="G460" i="2"/>
  <c r="G464" i="2"/>
  <c r="G468" i="2"/>
  <c r="G472" i="2"/>
  <c r="G476" i="2"/>
  <c r="G480" i="2"/>
  <c r="G484" i="2"/>
  <c r="G488" i="2"/>
  <c r="G492" i="2"/>
  <c r="G496" i="2"/>
  <c r="G5" i="2"/>
  <c r="G9" i="2"/>
  <c r="G13" i="2"/>
  <c r="G17" i="2"/>
  <c r="G21" i="2"/>
  <c r="G25" i="2"/>
  <c r="G29" i="2"/>
  <c r="G33" i="2"/>
  <c r="G37" i="2"/>
  <c r="G41" i="2"/>
  <c r="G45" i="2"/>
  <c r="G49" i="2"/>
  <c r="G53" i="2"/>
  <c r="G57" i="2"/>
  <c r="G61" i="2"/>
  <c r="G65" i="2"/>
  <c r="G69" i="2"/>
  <c r="G73" i="2"/>
  <c r="G77" i="2"/>
  <c r="G81" i="2"/>
  <c r="G85" i="2"/>
  <c r="G89" i="2"/>
  <c r="G93" i="2"/>
  <c r="G97" i="2"/>
  <c r="G101" i="2"/>
  <c r="G105" i="2"/>
  <c r="G109" i="2"/>
  <c r="G113" i="2"/>
  <c r="G117" i="2"/>
  <c r="G121" i="2"/>
  <c r="G125" i="2"/>
  <c r="G129" i="2"/>
  <c r="G133" i="2"/>
  <c r="G137" i="2"/>
  <c r="G141" i="2"/>
  <c r="G145" i="2"/>
  <c r="G149" i="2"/>
  <c r="G153" i="2"/>
  <c r="G157" i="2"/>
  <c r="G161" i="2"/>
  <c r="G165" i="2"/>
  <c r="G169" i="2"/>
  <c r="G173" i="2"/>
  <c r="G177" i="2"/>
  <c r="G181" i="2"/>
  <c r="G185" i="2"/>
  <c r="G189" i="2"/>
  <c r="G193" i="2"/>
  <c r="G197" i="2"/>
  <c r="G201" i="2"/>
  <c r="G205" i="2"/>
  <c r="G209" i="2"/>
  <c r="G213" i="2"/>
  <c r="G217" i="2"/>
  <c r="G221" i="2"/>
  <c r="G225" i="2"/>
  <c r="G229" i="2"/>
  <c r="G233" i="2"/>
  <c r="G237" i="2"/>
  <c r="G241" i="2"/>
  <c r="G245" i="2"/>
  <c r="G249" i="2"/>
  <c r="G253" i="2"/>
  <c r="G257" i="2"/>
  <c r="G261" i="2"/>
  <c r="G265" i="2"/>
  <c r="G269" i="2"/>
  <c r="G273" i="2"/>
  <c r="G277" i="2"/>
  <c r="G281" i="2"/>
  <c r="G285" i="2"/>
  <c r="G289" i="2"/>
  <c r="G293" i="2"/>
  <c r="G297" i="2"/>
  <c r="G301" i="2"/>
  <c r="G305" i="2"/>
  <c r="G309" i="2"/>
  <c r="G313" i="2"/>
  <c r="G317" i="2"/>
  <c r="G321" i="2"/>
  <c r="G325" i="2"/>
  <c r="G329" i="2"/>
  <c r="G333" i="2"/>
  <c r="G337" i="2"/>
  <c r="G341" i="2"/>
  <c r="G345" i="2"/>
  <c r="G349" i="2"/>
  <c r="G353" i="2"/>
  <c r="G357" i="2"/>
  <c r="G361" i="2"/>
  <c r="G365" i="2"/>
  <c r="G369" i="2"/>
  <c r="G373" i="2"/>
  <c r="G377" i="2"/>
  <c r="G381" i="2"/>
  <c r="G385" i="2"/>
  <c r="G389" i="2"/>
  <c r="G393" i="2"/>
  <c r="G397" i="2"/>
  <c r="G401" i="2"/>
  <c r="G405" i="2"/>
  <c r="G409" i="2"/>
  <c r="G413" i="2"/>
  <c r="G417" i="2"/>
  <c r="G421" i="2"/>
  <c r="G425" i="2"/>
  <c r="G429" i="2"/>
  <c r="G433" i="2"/>
  <c r="G437" i="2"/>
  <c r="G441" i="2"/>
  <c r="G445" i="2"/>
  <c r="G449" i="2"/>
  <c r="G453" i="2"/>
  <c r="G457" i="2"/>
  <c r="G461" i="2"/>
  <c r="G465" i="2"/>
  <c r="G469" i="2"/>
  <c r="G473" i="2"/>
  <c r="G477" i="2"/>
  <c r="G481" i="2"/>
  <c r="G485" i="2"/>
  <c r="G489" i="2"/>
  <c r="G493" i="2"/>
  <c r="G497" i="2"/>
  <c r="G501" i="2"/>
  <c r="G505" i="2"/>
  <c r="G509" i="2"/>
  <c r="G6" i="2"/>
  <c r="G22" i="2"/>
  <c r="G38" i="2"/>
  <c r="G54" i="2"/>
  <c r="G70" i="2"/>
  <c r="G86" i="2"/>
  <c r="G102" i="2"/>
  <c r="G118" i="2"/>
  <c r="G134" i="2"/>
  <c r="G150" i="2"/>
  <c r="G166" i="2"/>
  <c r="G182" i="2"/>
  <c r="G198" i="2"/>
  <c r="G214" i="2"/>
  <c r="G230" i="2"/>
  <c r="G246" i="2"/>
  <c r="G262" i="2"/>
  <c r="G278" i="2"/>
  <c r="G294" i="2"/>
  <c r="G310" i="2"/>
  <c r="G326" i="2"/>
  <c r="G342" i="2"/>
  <c r="G358" i="2"/>
  <c r="G374" i="2"/>
  <c r="G390" i="2"/>
  <c r="G406" i="2"/>
  <c r="G422" i="2"/>
  <c r="G438" i="2"/>
  <c r="G454" i="2"/>
  <c r="G470" i="2"/>
  <c r="G486" i="2"/>
  <c r="G500" i="2"/>
  <c r="G508" i="2"/>
  <c r="G513" i="2"/>
  <c r="G517" i="2"/>
  <c r="G521" i="2"/>
  <c r="G525" i="2"/>
  <c r="G529" i="2"/>
  <c r="G533" i="2"/>
  <c r="G537" i="2"/>
  <c r="G541" i="2"/>
  <c r="G545" i="2"/>
  <c r="G549" i="2"/>
  <c r="G553" i="2"/>
  <c r="G557" i="2"/>
  <c r="G561" i="2"/>
  <c r="G565" i="2"/>
  <c r="G569" i="2"/>
  <c r="G573" i="2"/>
  <c r="G577" i="2"/>
  <c r="G581" i="2"/>
  <c r="G585" i="2"/>
  <c r="G589" i="2"/>
  <c r="G593" i="2"/>
  <c r="G597" i="2"/>
  <c r="G601" i="2"/>
  <c r="G605" i="2"/>
  <c r="G609" i="2"/>
  <c r="G613" i="2"/>
  <c r="G617" i="2"/>
  <c r="G621" i="2"/>
  <c r="G625" i="2"/>
  <c r="G629" i="2"/>
  <c r="G633" i="2"/>
  <c r="G637" i="2"/>
  <c r="G641" i="2"/>
  <c r="G645" i="2"/>
  <c r="G649" i="2"/>
  <c r="G653" i="2"/>
  <c r="G657" i="2"/>
  <c r="G661" i="2"/>
  <c r="G665" i="2"/>
  <c r="G669" i="2"/>
  <c r="G673" i="2"/>
  <c r="G677" i="2"/>
  <c r="G681" i="2"/>
  <c r="G685" i="2"/>
  <c r="G689" i="2"/>
  <c r="G693" i="2"/>
  <c r="G697" i="2"/>
  <c r="G701" i="2"/>
  <c r="G705" i="2"/>
  <c r="G709" i="2"/>
  <c r="G713" i="2"/>
  <c r="G717" i="2"/>
  <c r="G721" i="2"/>
  <c r="G725" i="2"/>
  <c r="G729" i="2"/>
  <c r="G733" i="2"/>
  <c r="G737" i="2"/>
  <c r="G741" i="2"/>
  <c r="G745" i="2"/>
  <c r="G749" i="2"/>
  <c r="G753" i="2"/>
  <c r="G757" i="2"/>
  <c r="G761" i="2"/>
  <c r="G765" i="2"/>
  <c r="G769" i="2"/>
  <c r="G773" i="2"/>
  <c r="G777" i="2"/>
  <c r="G781" i="2"/>
  <c r="G785" i="2"/>
  <c r="G789" i="2"/>
  <c r="G793" i="2"/>
  <c r="G797" i="2"/>
  <c r="G801" i="2"/>
  <c r="G805" i="2"/>
  <c r="G809" i="2"/>
  <c r="G813" i="2"/>
  <c r="G817" i="2"/>
  <c r="G821" i="2"/>
  <c r="G825" i="2"/>
  <c r="G829" i="2"/>
  <c r="G833" i="2"/>
  <c r="G837" i="2"/>
  <c r="G841" i="2"/>
  <c r="G845" i="2"/>
  <c r="G849" i="2"/>
  <c r="G853" i="2"/>
  <c r="G857" i="2"/>
  <c r="G861" i="2"/>
  <c r="G865" i="2"/>
  <c r="G869" i="2"/>
  <c r="G873" i="2"/>
  <c r="G877" i="2"/>
  <c r="G881" i="2"/>
  <c r="G885" i="2"/>
  <c r="G889" i="2"/>
  <c r="G10" i="2"/>
  <c r="G26" i="2"/>
  <c r="G42" i="2"/>
  <c r="G58" i="2"/>
  <c r="G74" i="2"/>
  <c r="G90" i="2"/>
  <c r="G106" i="2"/>
  <c r="G122" i="2"/>
  <c r="G138" i="2"/>
  <c r="G154" i="2"/>
  <c r="G170" i="2"/>
  <c r="G186" i="2"/>
  <c r="G202" i="2"/>
  <c r="G218" i="2"/>
  <c r="G234" i="2"/>
  <c r="G250" i="2"/>
  <c r="G266" i="2"/>
  <c r="G282" i="2"/>
  <c r="G298" i="2"/>
  <c r="G314" i="2"/>
  <c r="G330" i="2"/>
  <c r="G346" i="2"/>
  <c r="G362" i="2"/>
  <c r="G378" i="2"/>
  <c r="G394" i="2"/>
  <c r="G410" i="2"/>
  <c r="G426" i="2"/>
  <c r="G442" i="2"/>
  <c r="G458" i="2"/>
  <c r="G474" i="2"/>
  <c r="G490" i="2"/>
  <c r="G502" i="2"/>
  <c r="G510" i="2"/>
  <c r="G514" i="2"/>
  <c r="G518" i="2"/>
  <c r="G522" i="2"/>
  <c r="G526" i="2"/>
  <c r="G530" i="2"/>
  <c r="G534" i="2"/>
  <c r="G538" i="2"/>
  <c r="G542" i="2"/>
  <c r="G546" i="2"/>
  <c r="G550" i="2"/>
  <c r="G554" i="2"/>
  <c r="G558" i="2"/>
  <c r="G562" i="2"/>
  <c r="G566" i="2"/>
  <c r="G570" i="2"/>
  <c r="G574" i="2"/>
  <c r="G578" i="2"/>
  <c r="G582" i="2"/>
  <c r="G586" i="2"/>
  <c r="G590" i="2"/>
  <c r="G594" i="2"/>
  <c r="G598" i="2"/>
  <c r="G602" i="2"/>
  <c r="G606" i="2"/>
  <c r="G610" i="2"/>
  <c r="G614" i="2"/>
  <c r="G618" i="2"/>
  <c r="G622" i="2"/>
  <c r="G626" i="2"/>
  <c r="G630" i="2"/>
  <c r="G634" i="2"/>
  <c r="G638" i="2"/>
  <c r="G642" i="2"/>
  <c r="G646" i="2"/>
  <c r="G650" i="2"/>
  <c r="G654" i="2"/>
  <c r="G658" i="2"/>
  <c r="G662" i="2"/>
  <c r="G666" i="2"/>
  <c r="G670" i="2"/>
  <c r="G674" i="2"/>
  <c r="G678" i="2"/>
  <c r="G682" i="2"/>
  <c r="G686" i="2"/>
  <c r="G690" i="2"/>
  <c r="G694" i="2"/>
  <c r="G698" i="2"/>
  <c r="G702" i="2"/>
  <c r="G706" i="2"/>
  <c r="G710" i="2"/>
  <c r="G714" i="2"/>
  <c r="G718" i="2"/>
  <c r="G722" i="2"/>
  <c r="G726" i="2"/>
  <c r="G730" i="2"/>
  <c r="G734" i="2"/>
  <c r="G738" i="2"/>
  <c r="G742" i="2"/>
  <c r="G746" i="2"/>
  <c r="G750" i="2"/>
  <c r="G754" i="2"/>
  <c r="G758" i="2"/>
  <c r="G762" i="2"/>
  <c r="G766" i="2"/>
  <c r="G770" i="2"/>
  <c r="G774" i="2"/>
  <c r="G778" i="2"/>
  <c r="G782" i="2"/>
  <c r="G786" i="2"/>
  <c r="G790" i="2"/>
  <c r="G794" i="2"/>
  <c r="G798" i="2"/>
  <c r="G802" i="2"/>
  <c r="G806" i="2"/>
  <c r="G810" i="2"/>
  <c r="G814" i="2"/>
  <c r="G818" i="2"/>
  <c r="G822" i="2"/>
  <c r="G826" i="2"/>
  <c r="G830" i="2"/>
  <c r="G834" i="2"/>
  <c r="G838" i="2"/>
  <c r="G842" i="2"/>
  <c r="G846" i="2"/>
  <c r="G850" i="2"/>
  <c r="G854" i="2"/>
  <c r="G858" i="2"/>
  <c r="G862" i="2"/>
  <c r="G866" i="2"/>
  <c r="G870" i="2"/>
  <c r="G874" i="2"/>
  <c r="G14" i="2"/>
  <c r="G30" i="2"/>
  <c r="G46" i="2"/>
  <c r="G62" i="2"/>
  <c r="G78" i="2"/>
  <c r="G94" i="2"/>
  <c r="G110" i="2"/>
  <c r="G126" i="2"/>
  <c r="G142" i="2"/>
  <c r="G158" i="2"/>
  <c r="G174" i="2"/>
  <c r="G190" i="2"/>
  <c r="G206" i="2"/>
  <c r="G222" i="2"/>
  <c r="G238" i="2"/>
  <c r="G254" i="2"/>
  <c r="G270" i="2"/>
  <c r="G286" i="2"/>
  <c r="G302" i="2"/>
  <c r="G318" i="2"/>
  <c r="G334" i="2"/>
  <c r="G350" i="2"/>
  <c r="G366" i="2"/>
  <c r="G382" i="2"/>
  <c r="G398" i="2"/>
  <c r="G414" i="2"/>
  <c r="G430" i="2"/>
  <c r="G446" i="2"/>
  <c r="G462" i="2"/>
  <c r="G478" i="2"/>
  <c r="G494" i="2"/>
  <c r="G504" i="2"/>
  <c r="G511" i="2"/>
  <c r="G515" i="2"/>
  <c r="G519" i="2"/>
  <c r="G523" i="2"/>
  <c r="G527" i="2"/>
  <c r="G531" i="2"/>
  <c r="G535" i="2"/>
  <c r="G539" i="2"/>
  <c r="G543" i="2"/>
  <c r="G547" i="2"/>
  <c r="G551" i="2"/>
  <c r="G555" i="2"/>
  <c r="G559" i="2"/>
  <c r="G563" i="2"/>
  <c r="G567" i="2"/>
  <c r="G571" i="2"/>
  <c r="G575" i="2"/>
  <c r="G579" i="2"/>
  <c r="G583" i="2"/>
  <c r="G587" i="2"/>
  <c r="G591" i="2"/>
  <c r="G595" i="2"/>
  <c r="G599" i="2"/>
  <c r="G603" i="2"/>
  <c r="G607" i="2"/>
  <c r="G611" i="2"/>
  <c r="G615" i="2"/>
  <c r="G619" i="2"/>
  <c r="G623" i="2"/>
  <c r="G627" i="2"/>
  <c r="G631" i="2"/>
  <c r="G635" i="2"/>
  <c r="G639" i="2"/>
  <c r="G643" i="2"/>
  <c r="G647" i="2"/>
  <c r="G651" i="2"/>
  <c r="G655" i="2"/>
  <c r="G659" i="2"/>
  <c r="G663" i="2"/>
  <c r="G667" i="2"/>
  <c r="G671" i="2"/>
  <c r="G675" i="2"/>
  <c r="G679" i="2"/>
  <c r="G683" i="2"/>
  <c r="G687" i="2"/>
  <c r="G691" i="2"/>
  <c r="G695" i="2"/>
  <c r="G699" i="2"/>
  <c r="G703" i="2"/>
  <c r="G707" i="2"/>
  <c r="G711" i="2"/>
  <c r="G715" i="2"/>
  <c r="G719" i="2"/>
  <c r="G723" i="2"/>
  <c r="G727" i="2"/>
  <c r="G731" i="2"/>
  <c r="G735" i="2"/>
  <c r="G739" i="2"/>
  <c r="G743" i="2"/>
  <c r="G747" i="2"/>
  <c r="G751" i="2"/>
  <c r="G755" i="2"/>
  <c r="G759" i="2"/>
  <c r="G763" i="2"/>
  <c r="G767" i="2"/>
  <c r="G771" i="2"/>
  <c r="G775" i="2"/>
  <c r="G779" i="2"/>
  <c r="G783" i="2"/>
  <c r="G787" i="2"/>
  <c r="G791" i="2"/>
  <c r="G795" i="2"/>
  <c r="G799" i="2"/>
  <c r="G803" i="2"/>
  <c r="G807" i="2"/>
  <c r="G811" i="2"/>
  <c r="G815" i="2"/>
  <c r="G819" i="2"/>
  <c r="G823" i="2"/>
  <c r="G827" i="2"/>
  <c r="G831" i="2"/>
  <c r="G835" i="2"/>
  <c r="G839" i="2"/>
  <c r="G843" i="2"/>
  <c r="G847" i="2"/>
  <c r="G851" i="2"/>
  <c r="G855" i="2"/>
  <c r="G859" i="2"/>
  <c r="G863" i="2"/>
  <c r="G867" i="2"/>
  <c r="G871" i="2"/>
  <c r="G875" i="2"/>
  <c r="G879" i="2"/>
  <c r="G883" i="2"/>
  <c r="G887" i="2"/>
  <c r="G18" i="2"/>
  <c r="G82" i="2"/>
  <c r="G146" i="2"/>
  <c r="G210" i="2"/>
  <c r="G274" i="2"/>
  <c r="G338" i="2"/>
  <c r="G402" i="2"/>
  <c r="G466" i="2"/>
  <c r="G512" i="2"/>
  <c r="G528" i="2"/>
  <c r="G544" i="2"/>
  <c r="G560" i="2"/>
  <c r="G576" i="2"/>
  <c r="G592" i="2"/>
  <c r="G608" i="2"/>
  <c r="G624" i="2"/>
  <c r="G640" i="2"/>
  <c r="G656" i="2"/>
  <c r="G672" i="2"/>
  <c r="G688" i="2"/>
  <c r="G704" i="2"/>
  <c r="G720" i="2"/>
  <c r="G736" i="2"/>
  <c r="G752" i="2"/>
  <c r="G768" i="2"/>
  <c r="G784" i="2"/>
  <c r="G800" i="2"/>
  <c r="G816" i="2"/>
  <c r="G832" i="2"/>
  <c r="G848" i="2"/>
  <c r="G864" i="2"/>
  <c r="G878" i="2"/>
  <c r="G886" i="2"/>
  <c r="G892" i="2"/>
  <c r="G896" i="2"/>
  <c r="G900" i="2"/>
  <c r="G904" i="2"/>
  <c r="G908" i="2"/>
  <c r="G912" i="2"/>
  <c r="G916" i="2"/>
  <c r="G920" i="2"/>
  <c r="G924" i="2"/>
  <c r="G928" i="2"/>
  <c r="G932" i="2"/>
  <c r="G936" i="2"/>
  <c r="G940" i="2"/>
  <c r="G944" i="2"/>
  <c r="G948" i="2"/>
  <c r="G952" i="2"/>
  <c r="G956" i="2"/>
  <c r="G960" i="2"/>
  <c r="G964" i="2"/>
  <c r="G968" i="2"/>
  <c r="G972" i="2"/>
  <c r="G976" i="2"/>
  <c r="G980" i="2"/>
  <c r="G984" i="2"/>
  <c r="G988" i="2"/>
  <c r="G992" i="2"/>
  <c r="G996" i="2"/>
  <c r="G1000" i="2"/>
  <c r="G1004" i="2"/>
  <c r="G1008" i="2"/>
  <c r="G1012" i="2"/>
  <c r="G1016" i="2"/>
  <c r="G1020" i="2"/>
  <c r="G1024" i="2"/>
  <c r="G1028" i="2"/>
  <c r="G1032" i="2"/>
  <c r="G1036" i="2"/>
  <c r="G1040" i="2"/>
  <c r="G1044" i="2"/>
  <c r="G1048" i="2"/>
  <c r="G1052" i="2"/>
  <c r="G1056" i="2"/>
  <c r="G1060" i="2"/>
  <c r="G1064" i="2"/>
  <c r="G1068" i="2"/>
  <c r="G1072" i="2"/>
  <c r="G1076" i="2"/>
  <c r="G1080" i="2"/>
  <c r="G1084" i="2"/>
  <c r="G1088" i="2"/>
  <c r="G1092" i="2"/>
  <c r="G1096" i="2"/>
  <c r="G1100" i="2"/>
  <c r="G1104" i="2"/>
  <c r="G1108" i="2"/>
  <c r="G1112" i="2"/>
  <c r="G1116" i="2"/>
  <c r="G1120" i="2"/>
  <c r="G1124" i="2"/>
  <c r="G1128" i="2"/>
  <c r="G1132" i="2"/>
  <c r="G1136" i="2"/>
  <c r="G1140" i="2"/>
  <c r="G1144" i="2"/>
  <c r="G1148" i="2"/>
  <c r="G1152" i="2"/>
  <c r="G1156" i="2"/>
  <c r="G1160" i="2"/>
  <c r="G1164" i="2"/>
  <c r="G1168" i="2"/>
  <c r="G1172" i="2"/>
  <c r="G1176" i="2"/>
  <c r="G1180" i="2"/>
  <c r="G1184" i="2"/>
  <c r="G1188" i="2"/>
  <c r="G1192" i="2"/>
  <c r="G1196" i="2"/>
  <c r="G1200" i="2"/>
  <c r="G1204" i="2"/>
  <c r="G1208" i="2"/>
  <c r="G1212" i="2"/>
  <c r="G1216" i="2"/>
  <c r="G1220" i="2"/>
  <c r="G1224" i="2"/>
  <c r="G1228" i="2"/>
  <c r="G1232" i="2"/>
  <c r="G1236" i="2"/>
  <c r="G1240" i="2"/>
  <c r="G1244" i="2"/>
  <c r="G1248" i="2"/>
  <c r="G1252" i="2"/>
  <c r="G1256" i="2"/>
  <c r="G1260" i="2"/>
  <c r="G1264" i="2"/>
  <c r="G1268" i="2"/>
  <c r="G1272" i="2"/>
  <c r="G1276" i="2"/>
  <c r="G1280" i="2"/>
  <c r="G1284" i="2"/>
  <c r="G1288" i="2"/>
  <c r="G34" i="2"/>
  <c r="G98" i="2"/>
  <c r="G162" i="2"/>
  <c r="G226" i="2"/>
  <c r="G290" i="2"/>
  <c r="G354" i="2"/>
  <c r="G418" i="2"/>
  <c r="G482" i="2"/>
  <c r="G516" i="2"/>
  <c r="G532" i="2"/>
  <c r="G548" i="2"/>
  <c r="G564" i="2"/>
  <c r="G580" i="2"/>
  <c r="G596" i="2"/>
  <c r="G612" i="2"/>
  <c r="G628" i="2"/>
  <c r="G644" i="2"/>
  <c r="G660" i="2"/>
  <c r="G676" i="2"/>
  <c r="G692" i="2"/>
  <c r="G708" i="2"/>
  <c r="G724" i="2"/>
  <c r="G740" i="2"/>
  <c r="G756" i="2"/>
  <c r="G772" i="2"/>
  <c r="G788" i="2"/>
  <c r="G804" i="2"/>
  <c r="G820" i="2"/>
  <c r="G836" i="2"/>
  <c r="G852" i="2"/>
  <c r="G868" i="2"/>
  <c r="G880" i="2"/>
  <c r="G888" i="2"/>
  <c r="G893" i="2"/>
  <c r="G897" i="2"/>
  <c r="G901" i="2"/>
  <c r="G905" i="2"/>
  <c r="G909" i="2"/>
  <c r="G913" i="2"/>
  <c r="G917" i="2"/>
  <c r="G921" i="2"/>
  <c r="G925" i="2"/>
  <c r="G929" i="2"/>
  <c r="G933" i="2"/>
  <c r="G937" i="2"/>
  <c r="G941" i="2"/>
  <c r="G945" i="2"/>
  <c r="G949" i="2"/>
  <c r="G953" i="2"/>
  <c r="G957" i="2"/>
  <c r="G961" i="2"/>
  <c r="G965" i="2"/>
  <c r="G969" i="2"/>
  <c r="G973" i="2"/>
  <c r="G977" i="2"/>
  <c r="G981" i="2"/>
  <c r="G985" i="2"/>
  <c r="G989" i="2"/>
  <c r="G993" i="2"/>
  <c r="G997" i="2"/>
  <c r="G1001" i="2"/>
  <c r="G1005" i="2"/>
  <c r="G1009" i="2"/>
  <c r="G1013" i="2"/>
  <c r="G1017" i="2"/>
  <c r="G1021" i="2"/>
  <c r="G1025" i="2"/>
  <c r="G1029" i="2"/>
  <c r="G1033" i="2"/>
  <c r="G1037" i="2"/>
  <c r="G1041" i="2"/>
  <c r="G1045" i="2"/>
  <c r="G1049" i="2"/>
  <c r="G1053" i="2"/>
  <c r="G1057" i="2"/>
  <c r="G1061" i="2"/>
  <c r="G1065" i="2"/>
  <c r="G1069" i="2"/>
  <c r="G1073" i="2"/>
  <c r="G1077" i="2"/>
  <c r="G1081" i="2"/>
  <c r="G1085" i="2"/>
  <c r="G1089" i="2"/>
  <c r="G1093" i="2"/>
  <c r="G1097" i="2"/>
  <c r="G1101" i="2"/>
  <c r="G1105" i="2"/>
  <c r="G1109" i="2"/>
  <c r="G1113" i="2"/>
  <c r="G1117" i="2"/>
  <c r="G1121" i="2"/>
  <c r="G1125" i="2"/>
  <c r="G1129" i="2"/>
  <c r="G1133" i="2"/>
  <c r="G1137" i="2"/>
  <c r="G1141" i="2"/>
  <c r="G1145" i="2"/>
  <c r="G1149" i="2"/>
  <c r="G1153" i="2"/>
  <c r="G1157" i="2"/>
  <c r="G1161" i="2"/>
  <c r="G1165" i="2"/>
  <c r="G1169" i="2"/>
  <c r="G1173" i="2"/>
  <c r="G1177" i="2"/>
  <c r="G1181" i="2"/>
  <c r="G1185" i="2"/>
  <c r="G1189" i="2"/>
  <c r="G1193" i="2"/>
  <c r="G1197" i="2"/>
  <c r="G1201" i="2"/>
  <c r="G1205" i="2"/>
  <c r="G1209" i="2"/>
  <c r="G1213" i="2"/>
  <c r="G1217" i="2"/>
  <c r="G1221" i="2"/>
  <c r="G1225" i="2"/>
  <c r="G1229" i="2"/>
  <c r="G1233" i="2"/>
  <c r="G1237" i="2"/>
  <c r="G1241" i="2"/>
  <c r="G1245" i="2"/>
  <c r="G1249" i="2"/>
  <c r="G1253" i="2"/>
  <c r="G1257" i="2"/>
  <c r="G1261" i="2"/>
  <c r="G1265" i="2"/>
  <c r="G50" i="2"/>
  <c r="G114" i="2"/>
  <c r="G178" i="2"/>
  <c r="G242" i="2"/>
  <c r="G306" i="2"/>
  <c r="G370" i="2"/>
  <c r="G434" i="2"/>
  <c r="G498" i="2"/>
  <c r="G520" i="2"/>
  <c r="G536" i="2"/>
  <c r="G552" i="2"/>
  <c r="G568" i="2"/>
  <c r="G584" i="2"/>
  <c r="G600" i="2"/>
  <c r="G616" i="2"/>
  <c r="G632" i="2"/>
  <c r="G648" i="2"/>
  <c r="G664" i="2"/>
  <c r="G680" i="2"/>
  <c r="G696" i="2"/>
  <c r="G712" i="2"/>
  <c r="G728" i="2"/>
  <c r="G744" i="2"/>
  <c r="G760" i="2"/>
  <c r="G776" i="2"/>
  <c r="G792" i="2"/>
  <c r="G808" i="2"/>
  <c r="G824" i="2"/>
  <c r="G840" i="2"/>
  <c r="G856" i="2"/>
  <c r="G872" i="2"/>
  <c r="G882" i="2"/>
  <c r="G890" i="2"/>
  <c r="G894" i="2"/>
  <c r="G898" i="2"/>
  <c r="G902" i="2"/>
  <c r="G906" i="2"/>
  <c r="G910" i="2"/>
  <c r="G914" i="2"/>
  <c r="G918" i="2"/>
  <c r="G922" i="2"/>
  <c r="G926" i="2"/>
  <c r="G930" i="2"/>
  <c r="G934" i="2"/>
  <c r="G938" i="2"/>
  <c r="G942" i="2"/>
  <c r="G946" i="2"/>
  <c r="G950" i="2"/>
  <c r="G954" i="2"/>
  <c r="G958" i="2"/>
  <c r="G962" i="2"/>
  <c r="G966" i="2"/>
  <c r="G970" i="2"/>
  <c r="G974" i="2"/>
  <c r="G978" i="2"/>
  <c r="G982" i="2"/>
  <c r="G986" i="2"/>
  <c r="G990" i="2"/>
  <c r="G994" i="2"/>
  <c r="G998" i="2"/>
  <c r="G1002" i="2"/>
  <c r="G1006" i="2"/>
  <c r="G1010" i="2"/>
  <c r="G1014" i="2"/>
  <c r="G1018" i="2"/>
  <c r="G1022" i="2"/>
  <c r="G1026" i="2"/>
  <c r="G1030" i="2"/>
  <c r="G1034" i="2"/>
  <c r="G1038" i="2"/>
  <c r="G1042" i="2"/>
  <c r="G1046" i="2"/>
  <c r="G1050" i="2"/>
  <c r="G1054" i="2"/>
  <c r="G1058" i="2"/>
  <c r="G1062" i="2"/>
  <c r="G1066" i="2"/>
  <c r="G1070" i="2"/>
  <c r="G1074" i="2"/>
  <c r="G1078" i="2"/>
  <c r="G1082" i="2"/>
  <c r="G1086" i="2"/>
  <c r="G1090" i="2"/>
  <c r="G1094" i="2"/>
  <c r="G1098" i="2"/>
  <c r="G1102" i="2"/>
  <c r="G1106" i="2"/>
  <c r="G1110" i="2"/>
  <c r="G1114" i="2"/>
  <c r="G1118" i="2"/>
  <c r="G1122" i="2"/>
  <c r="G1126" i="2"/>
  <c r="G1130" i="2"/>
  <c r="G1134" i="2"/>
  <c r="G1138" i="2"/>
  <c r="G1142" i="2"/>
  <c r="G1146" i="2"/>
  <c r="G1150" i="2"/>
  <c r="G1154" i="2"/>
  <c r="G1158" i="2"/>
  <c r="G1162" i="2"/>
  <c r="G1166" i="2"/>
  <c r="G1170" i="2"/>
  <c r="G1174" i="2"/>
  <c r="G1178" i="2"/>
  <c r="G1182" i="2"/>
  <c r="G1186" i="2"/>
  <c r="G1190" i="2"/>
  <c r="G1194" i="2"/>
  <c r="G1198" i="2"/>
  <c r="G1202" i="2"/>
  <c r="G1206" i="2"/>
  <c r="G1210" i="2"/>
  <c r="G1214" i="2"/>
  <c r="G1218" i="2"/>
  <c r="G1222" i="2"/>
  <c r="G1226" i="2"/>
  <c r="G1230" i="2"/>
  <c r="G1234" i="2"/>
  <c r="G1238" i="2"/>
  <c r="G1242" i="2"/>
  <c r="G1246" i="2"/>
  <c r="G1250" i="2"/>
  <c r="G1254" i="2"/>
  <c r="G1258" i="2"/>
  <c r="G1262" i="2"/>
  <c r="G1266" i="2"/>
  <c r="G1270" i="2"/>
  <c r="G1274" i="2"/>
  <c r="G1278" i="2"/>
  <c r="G1282" i="2"/>
  <c r="G1286" i="2"/>
  <c r="G66" i="2"/>
  <c r="G322" i="2"/>
  <c r="G524" i="2"/>
  <c r="G588" i="2"/>
  <c r="G652" i="2"/>
  <c r="G716" i="2"/>
  <c r="G780" i="2"/>
  <c r="G844" i="2"/>
  <c r="G891" i="2"/>
  <c r="G907" i="2"/>
  <c r="G923" i="2"/>
  <c r="G939" i="2"/>
  <c r="G955" i="2"/>
  <c r="G971" i="2"/>
  <c r="G987" i="2"/>
  <c r="G1003" i="2"/>
  <c r="G1019" i="2"/>
  <c r="G1035" i="2"/>
  <c r="G1051" i="2"/>
  <c r="G1067" i="2"/>
  <c r="G1083" i="2"/>
  <c r="G1099" i="2"/>
  <c r="G1115" i="2"/>
  <c r="G1131" i="2"/>
  <c r="G1147" i="2"/>
  <c r="G1163" i="2"/>
  <c r="G1179" i="2"/>
  <c r="G1195" i="2"/>
  <c r="G1211" i="2"/>
  <c r="G1227" i="2"/>
  <c r="G1243" i="2"/>
  <c r="G1259" i="2"/>
  <c r="G1271" i="2"/>
  <c r="G1279" i="2"/>
  <c r="G1287" i="2"/>
  <c r="G1292" i="2"/>
  <c r="G1296" i="2"/>
  <c r="G1300" i="2"/>
  <c r="G1304" i="2"/>
  <c r="G1308" i="2"/>
  <c r="G1312" i="2"/>
  <c r="G1316" i="2"/>
  <c r="G1320" i="2"/>
  <c r="G1324" i="2"/>
  <c r="G1328" i="2"/>
  <c r="G1332" i="2"/>
  <c r="G1336" i="2"/>
  <c r="G1340" i="2"/>
  <c r="G1344" i="2"/>
  <c r="G1348" i="2"/>
  <c r="G1352" i="2"/>
  <c r="G1356" i="2"/>
  <c r="G1360" i="2"/>
  <c r="G1364" i="2"/>
  <c r="G1368" i="2"/>
  <c r="G1372" i="2"/>
  <c r="G1376" i="2"/>
  <c r="G1380" i="2"/>
  <c r="G1384" i="2"/>
  <c r="G1388" i="2"/>
  <c r="G1392" i="2"/>
  <c r="G1396" i="2"/>
  <c r="G1400" i="2"/>
  <c r="G1404" i="2"/>
  <c r="G1408" i="2"/>
  <c r="G1412" i="2"/>
  <c r="G1416" i="2"/>
  <c r="G1420" i="2"/>
  <c r="G1424" i="2"/>
  <c r="G1428" i="2"/>
  <c r="G1432" i="2"/>
  <c r="G1436" i="2"/>
  <c r="G1440" i="2"/>
  <c r="G1444" i="2"/>
  <c r="G1448" i="2"/>
  <c r="G1452" i="2"/>
  <c r="G1456" i="2"/>
  <c r="G1460" i="2"/>
  <c r="G1464" i="2"/>
  <c r="G1468" i="2"/>
  <c r="G1472" i="2"/>
  <c r="G1476" i="2"/>
  <c r="G1480" i="2"/>
  <c r="G1484" i="2"/>
  <c r="G1488" i="2"/>
  <c r="G1492" i="2"/>
  <c r="G1496" i="2"/>
  <c r="G1500" i="2"/>
  <c r="G1504" i="2"/>
  <c r="G1508" i="2"/>
  <c r="G1512" i="2"/>
  <c r="G1516" i="2"/>
  <c r="G1520" i="2"/>
  <c r="G1524" i="2"/>
  <c r="G1528" i="2"/>
  <c r="G1532" i="2"/>
  <c r="G1536" i="2"/>
  <c r="G1540" i="2"/>
  <c r="G1544" i="2"/>
  <c r="G1548" i="2"/>
  <c r="G1552" i="2"/>
  <c r="G1556" i="2"/>
  <c r="G1560" i="2"/>
  <c r="G1564" i="2"/>
  <c r="G1568" i="2"/>
  <c r="G1572" i="2"/>
  <c r="G1576" i="2"/>
  <c r="G1580" i="2"/>
  <c r="G1584" i="2"/>
  <c r="G1588" i="2"/>
  <c r="G1592" i="2"/>
  <c r="G1596" i="2"/>
  <c r="G1600" i="2"/>
  <c r="G1604" i="2"/>
  <c r="G1608" i="2"/>
  <c r="G1612" i="2"/>
  <c r="G1616" i="2"/>
  <c r="G1620" i="2"/>
  <c r="G1624" i="2"/>
  <c r="G1628" i="2"/>
  <c r="G1632" i="2"/>
  <c r="G1636" i="2"/>
  <c r="G1640" i="2"/>
  <c r="G1644" i="2"/>
  <c r="G1648" i="2"/>
  <c r="G1652" i="2"/>
  <c r="G1656" i="2"/>
  <c r="G1660" i="2"/>
  <c r="G1664" i="2"/>
  <c r="G1668" i="2"/>
  <c r="G1672" i="2"/>
  <c r="G1676" i="2"/>
  <c r="G1680" i="2"/>
  <c r="G1684" i="2"/>
  <c r="G1688" i="2"/>
  <c r="G1692" i="2"/>
  <c r="G1696" i="2"/>
  <c r="G1700" i="2"/>
  <c r="G1704" i="2"/>
  <c r="G1708" i="2"/>
  <c r="G1712" i="2"/>
  <c r="G1716" i="2"/>
  <c r="G1720" i="2"/>
  <c r="G1724" i="2"/>
  <c r="G1728" i="2"/>
  <c r="G1732" i="2"/>
  <c r="G1736" i="2"/>
  <c r="G1740" i="2"/>
  <c r="G1744" i="2"/>
  <c r="G1748" i="2"/>
  <c r="G1752" i="2"/>
  <c r="G1756" i="2"/>
  <c r="G1760" i="2"/>
  <c r="G1764" i="2"/>
  <c r="G1768" i="2"/>
  <c r="G1772" i="2"/>
  <c r="G1776" i="2"/>
  <c r="G1780" i="2"/>
  <c r="G1784" i="2"/>
  <c r="G1788" i="2"/>
  <c r="G1792" i="2"/>
  <c r="G1796" i="2"/>
  <c r="G1800" i="2"/>
  <c r="G1804" i="2"/>
  <c r="G1808" i="2"/>
  <c r="G1812" i="2"/>
  <c r="G1816" i="2"/>
  <c r="G1820" i="2"/>
  <c r="G1824" i="2"/>
  <c r="G1828" i="2"/>
  <c r="G1832" i="2"/>
  <c r="G1836" i="2"/>
  <c r="G1840" i="2"/>
  <c r="G1844" i="2"/>
  <c r="G1848" i="2"/>
  <c r="G1852" i="2"/>
  <c r="G1856" i="2"/>
  <c r="G1860" i="2"/>
  <c r="G1864" i="2"/>
  <c r="G1868" i="2"/>
  <c r="G1872" i="2"/>
  <c r="G1876" i="2"/>
  <c r="G1880" i="2"/>
  <c r="G1884" i="2"/>
  <c r="G1888" i="2"/>
  <c r="G1892" i="2"/>
  <c r="G1896" i="2"/>
  <c r="G1900" i="2"/>
  <c r="G1904" i="2"/>
  <c r="G1908" i="2"/>
  <c r="G1912" i="2"/>
  <c r="G1916" i="2"/>
  <c r="G1920" i="2"/>
  <c r="G1924" i="2"/>
  <c r="G1928" i="2"/>
  <c r="G1932" i="2"/>
  <c r="G1936" i="2"/>
  <c r="G1940" i="2"/>
  <c r="G1944" i="2"/>
  <c r="G1948" i="2"/>
  <c r="G1952" i="2"/>
  <c r="G1956" i="2"/>
  <c r="G1960" i="2"/>
  <c r="G1964" i="2"/>
  <c r="G1968" i="2"/>
  <c r="G1972" i="2"/>
  <c r="G1976" i="2"/>
  <c r="G1980" i="2"/>
  <c r="G1984" i="2"/>
  <c r="G1988" i="2"/>
  <c r="G1992" i="2"/>
  <c r="G1996" i="2"/>
  <c r="G2000" i="2"/>
  <c r="G1981" i="2"/>
  <c r="G1989" i="2"/>
  <c r="G1997" i="2"/>
  <c r="G506" i="2"/>
  <c r="G636" i="2"/>
  <c r="G764" i="2"/>
  <c r="G903" i="2"/>
  <c r="G951" i="2"/>
  <c r="G999" i="2"/>
  <c r="G1063" i="2"/>
  <c r="G1111" i="2"/>
  <c r="G1143" i="2"/>
  <c r="G1191" i="2"/>
  <c r="G1239" i="2"/>
  <c r="G1277" i="2"/>
  <c r="G1295" i="2"/>
  <c r="G1307" i="2"/>
  <c r="G1319" i="2"/>
  <c r="G1327" i="2"/>
  <c r="G1339" i="2"/>
  <c r="G1355" i="2"/>
  <c r="G1367" i="2"/>
  <c r="G1375" i="2"/>
  <c r="G1387" i="2"/>
  <c r="G1399" i="2"/>
  <c r="G1411" i="2"/>
  <c r="G1427" i="2"/>
  <c r="G1435" i="2"/>
  <c r="G1443" i="2"/>
  <c r="G1455" i="2"/>
  <c r="G1467" i="2"/>
  <c r="G1479" i="2"/>
  <c r="G1491" i="2"/>
  <c r="G1503" i="2"/>
  <c r="G1519" i="2"/>
  <c r="G1531" i="2"/>
  <c r="G1539" i="2"/>
  <c r="G1551" i="2"/>
  <c r="G1567" i="2"/>
  <c r="G1575" i="2"/>
  <c r="G1587" i="2"/>
  <c r="G1599" i="2"/>
  <c r="G130" i="2"/>
  <c r="G386" i="2"/>
  <c r="G540" i="2"/>
  <c r="G604" i="2"/>
  <c r="G668" i="2"/>
  <c r="G732" i="2"/>
  <c r="G796" i="2"/>
  <c r="G860" i="2"/>
  <c r="G895" i="2"/>
  <c r="G911" i="2"/>
  <c r="G927" i="2"/>
  <c r="G943" i="2"/>
  <c r="G959" i="2"/>
  <c r="G975" i="2"/>
  <c r="G991" i="2"/>
  <c r="G1007" i="2"/>
  <c r="G1023" i="2"/>
  <c r="G1039" i="2"/>
  <c r="G1055" i="2"/>
  <c r="G1071" i="2"/>
  <c r="G1087" i="2"/>
  <c r="G1103" i="2"/>
  <c r="G1119" i="2"/>
  <c r="G1135" i="2"/>
  <c r="G1151" i="2"/>
  <c r="G1167" i="2"/>
  <c r="G1183" i="2"/>
  <c r="G1199" i="2"/>
  <c r="G1215" i="2"/>
  <c r="G1231" i="2"/>
  <c r="G1247" i="2"/>
  <c r="G1263" i="2"/>
  <c r="G1273" i="2"/>
  <c r="G1281" i="2"/>
  <c r="G1289" i="2"/>
  <c r="G1293" i="2"/>
  <c r="G1297" i="2"/>
  <c r="G1301" i="2"/>
  <c r="G1305" i="2"/>
  <c r="G1309" i="2"/>
  <c r="G1313" i="2"/>
  <c r="G1317" i="2"/>
  <c r="G1321" i="2"/>
  <c r="G1325" i="2"/>
  <c r="G1329" i="2"/>
  <c r="G1333" i="2"/>
  <c r="G1337" i="2"/>
  <c r="G1341" i="2"/>
  <c r="G1345" i="2"/>
  <c r="G1349" i="2"/>
  <c r="G1353" i="2"/>
  <c r="G1357" i="2"/>
  <c r="G1361" i="2"/>
  <c r="G1365" i="2"/>
  <c r="G1369" i="2"/>
  <c r="G1373" i="2"/>
  <c r="G1377" i="2"/>
  <c r="G1381" i="2"/>
  <c r="G1385" i="2"/>
  <c r="G1389" i="2"/>
  <c r="G1393" i="2"/>
  <c r="G1397" i="2"/>
  <c r="G1401" i="2"/>
  <c r="G1405" i="2"/>
  <c r="G1409" i="2"/>
  <c r="G1413" i="2"/>
  <c r="G1417" i="2"/>
  <c r="G1421" i="2"/>
  <c r="G1425" i="2"/>
  <c r="G1429" i="2"/>
  <c r="G1433" i="2"/>
  <c r="G1437" i="2"/>
  <c r="G1441" i="2"/>
  <c r="G1445" i="2"/>
  <c r="G1449" i="2"/>
  <c r="G1453" i="2"/>
  <c r="G1457" i="2"/>
  <c r="G1461" i="2"/>
  <c r="G1465" i="2"/>
  <c r="G1469" i="2"/>
  <c r="G1473" i="2"/>
  <c r="G1477" i="2"/>
  <c r="G1481" i="2"/>
  <c r="G1485" i="2"/>
  <c r="G1489" i="2"/>
  <c r="G1493" i="2"/>
  <c r="G1497" i="2"/>
  <c r="G1501" i="2"/>
  <c r="G1505" i="2"/>
  <c r="G1509" i="2"/>
  <c r="G1513" i="2"/>
  <c r="G1517" i="2"/>
  <c r="G1521" i="2"/>
  <c r="G1525" i="2"/>
  <c r="G1529" i="2"/>
  <c r="G1533" i="2"/>
  <c r="G1537" i="2"/>
  <c r="G1541" i="2"/>
  <c r="G1545" i="2"/>
  <c r="G1549" i="2"/>
  <c r="G1553" i="2"/>
  <c r="G1557" i="2"/>
  <c r="G1561" i="2"/>
  <c r="G1565" i="2"/>
  <c r="G1569" i="2"/>
  <c r="G1573" i="2"/>
  <c r="G1577" i="2"/>
  <c r="G1581" i="2"/>
  <c r="G1585" i="2"/>
  <c r="G1589" i="2"/>
  <c r="G1593" i="2"/>
  <c r="G1597" i="2"/>
  <c r="G1601" i="2"/>
  <c r="G1605" i="2"/>
  <c r="G1609" i="2"/>
  <c r="G1613" i="2"/>
  <c r="G1617" i="2"/>
  <c r="G1621" i="2"/>
  <c r="G1625" i="2"/>
  <c r="G1629" i="2"/>
  <c r="G1633" i="2"/>
  <c r="G1637" i="2"/>
  <c r="G1641" i="2"/>
  <c r="G1645" i="2"/>
  <c r="G1649" i="2"/>
  <c r="G1653" i="2"/>
  <c r="G1657" i="2"/>
  <c r="G1661" i="2"/>
  <c r="G1665" i="2"/>
  <c r="G1669" i="2"/>
  <c r="G1673" i="2"/>
  <c r="G1677" i="2"/>
  <c r="G1681" i="2"/>
  <c r="G1685" i="2"/>
  <c r="G1689" i="2"/>
  <c r="G1693" i="2"/>
  <c r="G1697" i="2"/>
  <c r="G1701" i="2"/>
  <c r="G1705" i="2"/>
  <c r="G1709" i="2"/>
  <c r="G1713" i="2"/>
  <c r="G1717" i="2"/>
  <c r="G1721" i="2"/>
  <c r="G1725" i="2"/>
  <c r="G1729" i="2"/>
  <c r="G1733" i="2"/>
  <c r="G1737" i="2"/>
  <c r="G1741" i="2"/>
  <c r="G1745" i="2"/>
  <c r="G1749" i="2"/>
  <c r="G1753" i="2"/>
  <c r="G1757" i="2"/>
  <c r="G1761" i="2"/>
  <c r="G1765" i="2"/>
  <c r="G1769" i="2"/>
  <c r="G1773" i="2"/>
  <c r="G1777" i="2"/>
  <c r="G1781" i="2"/>
  <c r="G1785" i="2"/>
  <c r="G1789" i="2"/>
  <c r="G1793" i="2"/>
  <c r="G1797" i="2"/>
  <c r="G1801" i="2"/>
  <c r="G1805" i="2"/>
  <c r="G1809" i="2"/>
  <c r="G1813" i="2"/>
  <c r="G1817" i="2"/>
  <c r="G1821" i="2"/>
  <c r="G1825" i="2"/>
  <c r="G1829" i="2"/>
  <c r="G1833" i="2"/>
  <c r="G1837" i="2"/>
  <c r="G1841" i="2"/>
  <c r="G1845" i="2"/>
  <c r="G1849" i="2"/>
  <c r="G1853" i="2"/>
  <c r="G1857" i="2"/>
  <c r="G1861" i="2"/>
  <c r="G1865" i="2"/>
  <c r="G1869" i="2"/>
  <c r="G1873" i="2"/>
  <c r="G1877" i="2"/>
  <c r="G1881" i="2"/>
  <c r="G1885" i="2"/>
  <c r="G1889" i="2"/>
  <c r="G1893" i="2"/>
  <c r="G1897" i="2"/>
  <c r="G1901" i="2"/>
  <c r="G1905" i="2"/>
  <c r="G1909" i="2"/>
  <c r="G1913" i="2"/>
  <c r="G1917" i="2"/>
  <c r="G1921" i="2"/>
  <c r="G1925" i="2"/>
  <c r="G1929" i="2"/>
  <c r="G1933" i="2"/>
  <c r="G1937" i="2"/>
  <c r="G1941" i="2"/>
  <c r="G1945" i="2"/>
  <c r="G1949" i="2"/>
  <c r="G1953" i="2"/>
  <c r="G1957" i="2"/>
  <c r="G1961" i="2"/>
  <c r="G1965" i="2"/>
  <c r="G1969" i="2"/>
  <c r="G1973" i="2"/>
  <c r="G1977" i="2"/>
  <c r="G1985" i="2"/>
  <c r="G1993" i="2"/>
  <c r="G2001" i="2"/>
  <c r="G572" i="2"/>
  <c r="G884" i="2"/>
  <c r="G935" i="2"/>
  <c r="G983" i="2"/>
  <c r="G1031" i="2"/>
  <c r="G1095" i="2"/>
  <c r="G1159" i="2"/>
  <c r="G1207" i="2"/>
  <c r="G1255" i="2"/>
  <c r="G1285" i="2"/>
  <c r="G1299" i="2"/>
  <c r="G1311" i="2"/>
  <c r="G1323" i="2"/>
  <c r="G1335" i="2"/>
  <c r="G1347" i="2"/>
  <c r="G1359" i="2"/>
  <c r="G1371" i="2"/>
  <c r="G1383" i="2"/>
  <c r="G1395" i="2"/>
  <c r="G1407" i="2"/>
  <c r="G1419" i="2"/>
  <c r="G1431" i="2"/>
  <c r="G1447" i="2"/>
  <c r="G1463" i="2"/>
  <c r="G1475" i="2"/>
  <c r="G1487" i="2"/>
  <c r="G1499" i="2"/>
  <c r="G1511" i="2"/>
  <c r="G1523" i="2"/>
  <c r="G1543" i="2"/>
  <c r="G1555" i="2"/>
  <c r="G1563" i="2"/>
  <c r="G1579" i="2"/>
  <c r="G1591" i="2"/>
  <c r="G1603" i="2"/>
  <c r="G194" i="2"/>
  <c r="G450" i="2"/>
  <c r="G556" i="2"/>
  <c r="G620" i="2"/>
  <c r="G684" i="2"/>
  <c r="G748" i="2"/>
  <c r="G812" i="2"/>
  <c r="G876" i="2"/>
  <c r="G899" i="2"/>
  <c r="G915" i="2"/>
  <c r="G931" i="2"/>
  <c r="G947" i="2"/>
  <c r="G963" i="2"/>
  <c r="G979" i="2"/>
  <c r="G995" i="2"/>
  <c r="G1011" i="2"/>
  <c r="G1027" i="2"/>
  <c r="G1043" i="2"/>
  <c r="G1059" i="2"/>
  <c r="G1075" i="2"/>
  <c r="G1091" i="2"/>
  <c r="G1107" i="2"/>
  <c r="G1123" i="2"/>
  <c r="G1139" i="2"/>
  <c r="G1155" i="2"/>
  <c r="G1171" i="2"/>
  <c r="G1187" i="2"/>
  <c r="G1203" i="2"/>
  <c r="G1219" i="2"/>
  <c r="G1235" i="2"/>
  <c r="G1251" i="2"/>
  <c r="G1267" i="2"/>
  <c r="G1275" i="2"/>
  <c r="G1283" i="2"/>
  <c r="G1290" i="2"/>
  <c r="G1294" i="2"/>
  <c r="G1298" i="2"/>
  <c r="G1302" i="2"/>
  <c r="G1306" i="2"/>
  <c r="G1310" i="2"/>
  <c r="G1314" i="2"/>
  <c r="G1318" i="2"/>
  <c r="G1322" i="2"/>
  <c r="G1326" i="2"/>
  <c r="G1330" i="2"/>
  <c r="G1334" i="2"/>
  <c r="G1338" i="2"/>
  <c r="G1342" i="2"/>
  <c r="G1346" i="2"/>
  <c r="G1350" i="2"/>
  <c r="G1354" i="2"/>
  <c r="G1358" i="2"/>
  <c r="G1362" i="2"/>
  <c r="G1366" i="2"/>
  <c r="G1370" i="2"/>
  <c r="G1374" i="2"/>
  <c r="G1378" i="2"/>
  <c r="G1382" i="2"/>
  <c r="G1386" i="2"/>
  <c r="G1390" i="2"/>
  <c r="G1394" i="2"/>
  <c r="G1398" i="2"/>
  <c r="G1402" i="2"/>
  <c r="G1406" i="2"/>
  <c r="G1410" i="2"/>
  <c r="G1414" i="2"/>
  <c r="G1418" i="2"/>
  <c r="G1422" i="2"/>
  <c r="G1426" i="2"/>
  <c r="G1430" i="2"/>
  <c r="G1434" i="2"/>
  <c r="G1438" i="2"/>
  <c r="G1442" i="2"/>
  <c r="G1446" i="2"/>
  <c r="G1450" i="2"/>
  <c r="G1454" i="2"/>
  <c r="G1458" i="2"/>
  <c r="G1462" i="2"/>
  <c r="G1466" i="2"/>
  <c r="G1470" i="2"/>
  <c r="G1474" i="2"/>
  <c r="G1478" i="2"/>
  <c r="G1482" i="2"/>
  <c r="G1486" i="2"/>
  <c r="G1490" i="2"/>
  <c r="G1494" i="2"/>
  <c r="G1498" i="2"/>
  <c r="G1502" i="2"/>
  <c r="G1506" i="2"/>
  <c r="G1510" i="2"/>
  <c r="G1514" i="2"/>
  <c r="G1518" i="2"/>
  <c r="G1522" i="2"/>
  <c r="G1526" i="2"/>
  <c r="G1530" i="2"/>
  <c r="G1534" i="2"/>
  <c r="G1538" i="2"/>
  <c r="G1542" i="2"/>
  <c r="G1546" i="2"/>
  <c r="G1550" i="2"/>
  <c r="G1554" i="2"/>
  <c r="G1558" i="2"/>
  <c r="G1562" i="2"/>
  <c r="G1566" i="2"/>
  <c r="G1570" i="2"/>
  <c r="G1574" i="2"/>
  <c r="G1578" i="2"/>
  <c r="G1582" i="2"/>
  <c r="G1586" i="2"/>
  <c r="G1590" i="2"/>
  <c r="G1594" i="2"/>
  <c r="G1598" i="2"/>
  <c r="G1602" i="2"/>
  <c r="G1606" i="2"/>
  <c r="G1610" i="2"/>
  <c r="G1614" i="2"/>
  <c r="G1618" i="2"/>
  <c r="G1622" i="2"/>
  <c r="G1626" i="2"/>
  <c r="G1630" i="2"/>
  <c r="G1634" i="2"/>
  <c r="G1638" i="2"/>
  <c r="G1642" i="2"/>
  <c r="G1646" i="2"/>
  <c r="G1650" i="2"/>
  <c r="G1654" i="2"/>
  <c r="G1658" i="2"/>
  <c r="G1662" i="2"/>
  <c r="G1666" i="2"/>
  <c r="G1670" i="2"/>
  <c r="G1674" i="2"/>
  <c r="G1678" i="2"/>
  <c r="G1682" i="2"/>
  <c r="G1686" i="2"/>
  <c r="G1690" i="2"/>
  <c r="G1694" i="2"/>
  <c r="G1698" i="2"/>
  <c r="G1702" i="2"/>
  <c r="G1706" i="2"/>
  <c r="G1710" i="2"/>
  <c r="G1714" i="2"/>
  <c r="G1718" i="2"/>
  <c r="G1722" i="2"/>
  <c r="G1726" i="2"/>
  <c r="G1730" i="2"/>
  <c r="G1734" i="2"/>
  <c r="G1738" i="2"/>
  <c r="G1742" i="2"/>
  <c r="G1746" i="2"/>
  <c r="G1750" i="2"/>
  <c r="G1754" i="2"/>
  <c r="G1758" i="2"/>
  <c r="G1762" i="2"/>
  <c r="G1766" i="2"/>
  <c r="G1770" i="2"/>
  <c r="G1774" i="2"/>
  <c r="G1778" i="2"/>
  <c r="G1782" i="2"/>
  <c r="G1786" i="2"/>
  <c r="G1790" i="2"/>
  <c r="G1794" i="2"/>
  <c r="G1798" i="2"/>
  <c r="G1802" i="2"/>
  <c r="G1806" i="2"/>
  <c r="G1810" i="2"/>
  <c r="G1814" i="2"/>
  <c r="G1818" i="2"/>
  <c r="G1822" i="2"/>
  <c r="G1826" i="2"/>
  <c r="G1830" i="2"/>
  <c r="G1834" i="2"/>
  <c r="G1838" i="2"/>
  <c r="G1842" i="2"/>
  <c r="G1846" i="2"/>
  <c r="G1850" i="2"/>
  <c r="G1854" i="2"/>
  <c r="G1858" i="2"/>
  <c r="G1862" i="2"/>
  <c r="G1866" i="2"/>
  <c r="G1870" i="2"/>
  <c r="G1874" i="2"/>
  <c r="G1878" i="2"/>
  <c r="G1882" i="2"/>
  <c r="G1886" i="2"/>
  <c r="G1890" i="2"/>
  <c r="G1894" i="2"/>
  <c r="G1898" i="2"/>
  <c r="G1902" i="2"/>
  <c r="G1906" i="2"/>
  <c r="G1910" i="2"/>
  <c r="G1914" i="2"/>
  <c r="G1918" i="2"/>
  <c r="G1922" i="2"/>
  <c r="G1926" i="2"/>
  <c r="G1930" i="2"/>
  <c r="G1934" i="2"/>
  <c r="G1938" i="2"/>
  <c r="G1942" i="2"/>
  <c r="G1946" i="2"/>
  <c r="G1950" i="2"/>
  <c r="G1954" i="2"/>
  <c r="G1958" i="2"/>
  <c r="G1962" i="2"/>
  <c r="G1966" i="2"/>
  <c r="G1970" i="2"/>
  <c r="G1974" i="2"/>
  <c r="G1978" i="2"/>
  <c r="G1982" i="2"/>
  <c r="G1986" i="2"/>
  <c r="G1990" i="2"/>
  <c r="G1994" i="2"/>
  <c r="G1998" i="2"/>
  <c r="G258" i="2"/>
  <c r="G700" i="2"/>
  <c r="G828" i="2"/>
  <c r="G919" i="2"/>
  <c r="G967" i="2"/>
  <c r="G1015" i="2"/>
  <c r="G1047" i="2"/>
  <c r="G1079" i="2"/>
  <c r="G1127" i="2"/>
  <c r="G1175" i="2"/>
  <c r="G1223" i="2"/>
  <c r="G1269" i="2"/>
  <c r="G1291" i="2"/>
  <c r="G1303" i="2"/>
  <c r="G1315" i="2"/>
  <c r="G1331" i="2"/>
  <c r="G1343" i="2"/>
  <c r="G1351" i="2"/>
  <c r="G1363" i="2"/>
  <c r="G1379" i="2"/>
  <c r="G1391" i="2"/>
  <c r="G1403" i="2"/>
  <c r="G1415" i="2"/>
  <c r="G1423" i="2"/>
  <c r="G1439" i="2"/>
  <c r="G1451" i="2"/>
  <c r="G1459" i="2"/>
  <c r="G1471" i="2"/>
  <c r="G1483" i="2"/>
  <c r="G1495" i="2"/>
  <c r="G1507" i="2"/>
  <c r="G1515" i="2"/>
  <c r="G1527" i="2"/>
  <c r="G1535" i="2"/>
  <c r="G1547" i="2"/>
  <c r="G1559" i="2"/>
  <c r="G1571" i="2"/>
  <c r="G1583" i="2"/>
  <c r="G1595" i="2"/>
  <c r="G1607" i="2"/>
  <c r="G1611" i="2"/>
  <c r="G1627" i="2"/>
  <c r="G1643" i="2"/>
  <c r="G1659" i="2"/>
  <c r="G1675" i="2"/>
  <c r="G1691" i="2"/>
  <c r="G1707" i="2"/>
  <c r="G1723" i="2"/>
  <c r="G1739" i="2"/>
  <c r="G1755" i="2"/>
  <c r="G1771" i="2"/>
  <c r="G1787" i="2"/>
  <c r="G1803" i="2"/>
  <c r="G1819" i="2"/>
  <c r="G1835" i="2"/>
  <c r="G1851" i="2"/>
  <c r="G1867" i="2"/>
  <c r="G1883" i="2"/>
  <c r="G1899" i="2"/>
  <c r="G1915" i="2"/>
  <c r="G1931" i="2"/>
  <c r="G1947" i="2"/>
  <c r="G1963" i="2"/>
  <c r="G1979" i="2"/>
  <c r="G1995" i="2"/>
  <c r="G1951" i="2"/>
  <c r="G1983" i="2"/>
  <c r="G1999" i="2"/>
  <c r="G1655" i="2"/>
  <c r="G1687" i="2"/>
  <c r="G1735" i="2"/>
  <c r="G1783" i="2"/>
  <c r="G1831" i="2"/>
  <c r="G1863" i="2"/>
  <c r="G1911" i="2"/>
  <c r="G1959" i="2"/>
  <c r="G1615" i="2"/>
  <c r="G1631" i="2"/>
  <c r="G1647" i="2"/>
  <c r="G1663" i="2"/>
  <c r="G1679" i="2"/>
  <c r="G1695" i="2"/>
  <c r="G1711" i="2"/>
  <c r="G1727" i="2"/>
  <c r="G1743" i="2"/>
  <c r="G1759" i="2"/>
  <c r="G1775" i="2"/>
  <c r="G1791" i="2"/>
  <c r="G1807" i="2"/>
  <c r="G1823" i="2"/>
  <c r="G1839" i="2"/>
  <c r="G1855" i="2"/>
  <c r="G1871" i="2"/>
  <c r="G1887" i="2"/>
  <c r="G1903" i="2"/>
  <c r="G1919" i="2"/>
  <c r="G1935" i="2"/>
  <c r="G1967" i="2"/>
  <c r="G1639" i="2"/>
  <c r="G1671" i="2"/>
  <c r="G1719" i="2"/>
  <c r="G1767" i="2"/>
  <c r="G1815" i="2"/>
  <c r="G1879" i="2"/>
  <c r="G1927" i="2"/>
  <c r="G1975" i="2"/>
  <c r="G1619" i="2"/>
  <c r="G1635" i="2"/>
  <c r="G1651" i="2"/>
  <c r="G1667" i="2"/>
  <c r="G1683" i="2"/>
  <c r="G1699" i="2"/>
  <c r="G1715" i="2"/>
  <c r="G1731" i="2"/>
  <c r="G1747" i="2"/>
  <c r="G1763" i="2"/>
  <c r="G1779" i="2"/>
  <c r="G1795" i="2"/>
  <c r="G1811" i="2"/>
  <c r="G1827" i="2"/>
  <c r="G1843" i="2"/>
  <c r="G1859" i="2"/>
  <c r="G1875" i="2"/>
  <c r="G1891" i="2"/>
  <c r="G1907" i="2"/>
  <c r="G1923" i="2"/>
  <c r="G1939" i="2"/>
  <c r="G1955" i="2"/>
  <c r="G1971" i="2"/>
  <c r="G1987" i="2"/>
  <c r="G1623" i="2"/>
  <c r="G1703" i="2"/>
  <c r="G1751" i="2"/>
  <c r="G1799" i="2"/>
  <c r="G1847" i="2"/>
  <c r="G1895" i="2"/>
  <c r="G1943" i="2"/>
  <c r="G1991" i="2"/>
  <c r="G2" i="2"/>
  <c r="D400" i="1" l="1"/>
  <c r="G127" i="1"/>
  <c r="G255" i="1"/>
  <c r="G383" i="1"/>
  <c r="G4" i="1"/>
  <c r="G132" i="1"/>
  <c r="G260" i="1"/>
  <c r="G388" i="1"/>
  <c r="G9" i="1"/>
  <c r="G137" i="1"/>
  <c r="G265" i="1"/>
  <c r="G393" i="1"/>
  <c r="G38" i="1"/>
  <c r="G520" i="1"/>
  <c r="G648" i="1"/>
  <c r="G776" i="1"/>
  <c r="G35" i="1"/>
  <c r="G163" i="1"/>
  <c r="G291" i="1"/>
  <c r="G419" i="1"/>
  <c r="G40" i="1"/>
  <c r="G168" i="1"/>
  <c r="G296" i="1"/>
  <c r="G424" i="1"/>
  <c r="G45" i="1"/>
  <c r="G173" i="1"/>
  <c r="G301" i="1"/>
  <c r="G429" i="1"/>
  <c r="G182" i="1"/>
  <c r="G556" i="1"/>
  <c r="G684" i="1"/>
  <c r="G23" i="1"/>
  <c r="G151" i="1"/>
  <c r="G279" i="1"/>
  <c r="G407" i="1"/>
  <c r="G28" i="1"/>
  <c r="G156" i="1"/>
  <c r="G284" i="1"/>
  <c r="G412" i="1"/>
  <c r="G33" i="1"/>
  <c r="G161" i="1"/>
  <c r="G289" i="1"/>
  <c r="G417" i="1"/>
  <c r="G134" i="1"/>
  <c r="G544" i="1"/>
  <c r="G672" i="1"/>
  <c r="G800" i="1"/>
  <c r="G139" i="1"/>
  <c r="G144" i="1"/>
  <c r="G149" i="1"/>
  <c r="G532" i="1"/>
  <c r="G896" i="1"/>
  <c r="G474" i="1"/>
  <c r="G629" i="1"/>
  <c r="G757" i="1"/>
  <c r="G885" i="1"/>
  <c r="G494" i="1"/>
  <c r="G634" i="1"/>
  <c r="G762" i="1"/>
  <c r="G890" i="1"/>
  <c r="G819" i="1"/>
  <c r="G1009" i="1"/>
  <c r="G1137" i="1"/>
  <c r="G219" i="1"/>
  <c r="G224" i="1"/>
  <c r="G229" i="1"/>
  <c r="G612" i="1"/>
  <c r="G42" i="1"/>
  <c r="G521" i="1"/>
  <c r="G649" i="1"/>
  <c r="G777" i="1"/>
  <c r="G62" i="1"/>
  <c r="G526" i="1"/>
  <c r="G654" i="1"/>
  <c r="G782" i="1"/>
  <c r="G18" i="1"/>
  <c r="G15" i="1"/>
  <c r="G143" i="1"/>
  <c r="G271" i="1"/>
  <c r="G399" i="1"/>
  <c r="G20" i="1"/>
  <c r="G148" i="1"/>
  <c r="G276" i="1"/>
  <c r="G404" i="1"/>
  <c r="G25" i="1"/>
  <c r="G153" i="1"/>
  <c r="G281" i="1"/>
  <c r="G409" i="1"/>
  <c r="G102" i="1"/>
  <c r="G536" i="1"/>
  <c r="G664" i="1"/>
  <c r="G792" i="1"/>
  <c r="G51" i="1"/>
  <c r="G179" i="1"/>
  <c r="G307" i="1"/>
  <c r="G435" i="1"/>
  <c r="G56" i="1"/>
  <c r="G184" i="1"/>
  <c r="G312" i="1"/>
  <c r="G440" i="1"/>
  <c r="G61" i="1"/>
  <c r="G189" i="1"/>
  <c r="G317" i="1"/>
  <c r="G445" i="1"/>
  <c r="G246" i="1"/>
  <c r="G572" i="1"/>
  <c r="G700" i="1"/>
  <c r="G39" i="1"/>
  <c r="G167" i="1"/>
  <c r="G295" i="1"/>
  <c r="G423" i="1"/>
  <c r="G44" i="1"/>
  <c r="G172" i="1"/>
  <c r="G300" i="1"/>
  <c r="G428" i="1"/>
  <c r="G49" i="1"/>
  <c r="G177" i="1"/>
  <c r="G305" i="1"/>
  <c r="G433" i="1"/>
  <c r="G198" i="1"/>
  <c r="G560" i="1"/>
  <c r="G688" i="1"/>
  <c r="G816" i="1"/>
  <c r="G203" i="1"/>
  <c r="G208" i="1"/>
  <c r="G213" i="1"/>
  <c r="G596" i="1"/>
  <c r="G26" i="1"/>
  <c r="G517" i="1"/>
  <c r="G645" i="1"/>
  <c r="G773" i="1"/>
  <c r="G46" i="1"/>
  <c r="G522" i="1"/>
  <c r="G650" i="1"/>
  <c r="G778" i="1"/>
  <c r="G906" i="1"/>
  <c r="G883" i="1"/>
  <c r="G1025" i="1"/>
  <c r="G1153" i="1"/>
  <c r="G283" i="1"/>
  <c r="G288" i="1"/>
  <c r="G293" i="1"/>
  <c r="G676" i="1"/>
  <c r="G106" i="1"/>
  <c r="G537" i="1"/>
  <c r="G665" i="1"/>
  <c r="G793" i="1"/>
  <c r="G126" i="1"/>
  <c r="G542" i="1"/>
  <c r="G670" i="1"/>
  <c r="G798" i="1"/>
  <c r="G274" i="1"/>
  <c r="G917" i="1"/>
  <c r="G1045" i="1"/>
  <c r="G1173" i="1"/>
  <c r="G363" i="1"/>
  <c r="G368" i="1"/>
  <c r="G373" i="1"/>
  <c r="G756" i="1"/>
  <c r="G186" i="1"/>
  <c r="G557" i="1"/>
  <c r="G685" i="1"/>
  <c r="G813" i="1"/>
  <c r="G206" i="1"/>
  <c r="G562" i="1"/>
  <c r="G690" i="1"/>
  <c r="G818" i="1"/>
  <c r="G531" i="1"/>
  <c r="G937" i="1"/>
  <c r="G1065" i="1"/>
  <c r="G1193" i="1"/>
  <c r="G1321" i="1"/>
  <c r="G69" i="1"/>
  <c r="G609" i="1"/>
  <c r="G614" i="1"/>
  <c r="G989" i="1"/>
  <c r="G1309" i="1"/>
  <c r="G1453" i="1"/>
  <c r="G1581" i="1"/>
  <c r="G1709" i="1"/>
  <c r="G567" i="1"/>
  <c r="G946" i="1"/>
  <c r="G1074" i="1"/>
  <c r="G1202" i="1"/>
  <c r="G1330" i="1"/>
  <c r="G1458" i="1"/>
  <c r="G1586" i="1"/>
  <c r="G1714" i="1"/>
  <c r="G619" i="1"/>
  <c r="G123" i="1"/>
  <c r="G892" i="1"/>
  <c r="G881" i="1"/>
  <c r="G886" i="1"/>
  <c r="G1229" i="1"/>
  <c r="G1393" i="1"/>
  <c r="G1521" i="1"/>
  <c r="G1649" i="1"/>
  <c r="G1777" i="1"/>
  <c r="G839" i="1"/>
  <c r="G1014" i="1"/>
  <c r="G1142" i="1"/>
  <c r="G1270" i="1"/>
  <c r="G1398" i="1"/>
  <c r="G31" i="1"/>
  <c r="G47" i="1"/>
  <c r="G63" i="1"/>
  <c r="G191" i="1"/>
  <c r="G319" i="1"/>
  <c r="G447" i="1"/>
  <c r="G68" i="1"/>
  <c r="G196" i="1"/>
  <c r="G324" i="1"/>
  <c r="G452" i="1"/>
  <c r="G73" i="1"/>
  <c r="G201" i="1"/>
  <c r="G329" i="1"/>
  <c r="G457" i="1"/>
  <c r="G294" i="1"/>
  <c r="G584" i="1"/>
  <c r="G712" i="1"/>
  <c r="G840" i="1"/>
  <c r="G99" i="1"/>
  <c r="G227" i="1"/>
  <c r="G355" i="1"/>
  <c r="G483" i="1"/>
  <c r="G104" i="1"/>
  <c r="G232" i="1"/>
  <c r="G360" i="1"/>
  <c r="G488" i="1"/>
  <c r="G109" i="1"/>
  <c r="G237" i="1"/>
  <c r="G365" i="1"/>
  <c r="G493" i="1"/>
  <c r="G438" i="1"/>
  <c r="G620" i="1"/>
  <c r="G748" i="1"/>
  <c r="G87" i="1"/>
  <c r="G215" i="1"/>
  <c r="G343" i="1"/>
  <c r="G471" i="1"/>
  <c r="G92" i="1"/>
  <c r="G220" i="1"/>
  <c r="G348" i="1"/>
  <c r="G476" i="1"/>
  <c r="G97" i="1"/>
  <c r="G225" i="1"/>
  <c r="G353" i="1"/>
  <c r="G481" i="1"/>
  <c r="G390" i="1"/>
  <c r="G608" i="1"/>
  <c r="G736" i="1"/>
  <c r="G864" i="1"/>
  <c r="G395" i="1"/>
  <c r="G400" i="1"/>
  <c r="G405" i="1"/>
  <c r="G788" i="1"/>
  <c r="G218" i="1"/>
  <c r="G565" i="1"/>
  <c r="G693" i="1"/>
  <c r="G821" i="1"/>
  <c r="G238" i="1"/>
  <c r="G570" i="1"/>
  <c r="G698" i="1"/>
  <c r="G826" i="1"/>
  <c r="G563" i="1"/>
  <c r="G945" i="1"/>
  <c r="G1073" i="1"/>
  <c r="G1201" i="1"/>
  <c r="G475" i="1"/>
  <c r="G480" i="1"/>
  <c r="G485" i="1"/>
  <c r="G828" i="1"/>
  <c r="G298" i="1"/>
  <c r="G585" i="1"/>
  <c r="G713" i="1"/>
  <c r="G841" i="1"/>
  <c r="G318" i="1"/>
  <c r="G590" i="1"/>
  <c r="G718" i="1"/>
  <c r="G846" i="1"/>
  <c r="G643" i="1"/>
  <c r="G965" i="1"/>
  <c r="G1093" i="1"/>
  <c r="G43" i="1"/>
  <c r="G48" i="1"/>
  <c r="G53" i="1"/>
  <c r="G214" i="1"/>
  <c r="G868" i="1"/>
  <c r="G378" i="1"/>
  <c r="G605" i="1"/>
  <c r="G733" i="1"/>
  <c r="G861" i="1"/>
  <c r="G398" i="1"/>
  <c r="G610" i="1"/>
  <c r="G738" i="1"/>
  <c r="G866" i="1"/>
  <c r="G723" i="1"/>
  <c r="G985" i="1"/>
  <c r="G1113" i="1"/>
  <c r="G1241" i="1"/>
  <c r="G1369" i="1"/>
  <c r="G708" i="1"/>
  <c r="G801" i="1"/>
  <c r="G806" i="1"/>
  <c r="G1181" i="1"/>
  <c r="G1373" i="1"/>
  <c r="G1501" i="1"/>
  <c r="G1629" i="1"/>
  <c r="G1757" i="1"/>
  <c r="G759" i="1"/>
  <c r="G994" i="1"/>
  <c r="G1122" i="1"/>
  <c r="G1250" i="1"/>
  <c r="G1378" i="1"/>
  <c r="G1506" i="1"/>
  <c r="G1634" i="1"/>
  <c r="G1762" i="1"/>
  <c r="G811" i="1"/>
  <c r="G384" i="1"/>
  <c r="G561" i="1"/>
  <c r="G566" i="1"/>
  <c r="G941" i="1"/>
  <c r="G1293" i="1"/>
  <c r="G1441" i="1"/>
  <c r="G1569" i="1"/>
  <c r="G1697" i="1"/>
  <c r="G519" i="1"/>
  <c r="G934" i="1"/>
  <c r="G1062" i="1"/>
  <c r="G1190" i="1"/>
  <c r="G1318" i="1"/>
  <c r="G79" i="1"/>
  <c r="G95" i="1"/>
  <c r="G223" i="1"/>
  <c r="G351" i="1"/>
  <c r="G111" i="1"/>
  <c r="G239" i="1"/>
  <c r="G367" i="1"/>
  <c r="G495" i="1"/>
  <c r="G116" i="1"/>
  <c r="G244" i="1"/>
  <c r="G372" i="1"/>
  <c r="G500" i="1"/>
  <c r="G121" i="1"/>
  <c r="G249" i="1"/>
  <c r="G377" i="1"/>
  <c r="G505" i="1"/>
  <c r="G486" i="1"/>
  <c r="G632" i="1"/>
  <c r="G760" i="1"/>
  <c r="G19" i="1"/>
  <c r="G147" i="1"/>
  <c r="G275" i="1"/>
  <c r="G403" i="1"/>
  <c r="G24" i="1"/>
  <c r="G152" i="1"/>
  <c r="G280" i="1"/>
  <c r="G408" i="1"/>
  <c r="G29" i="1"/>
  <c r="G157" i="1"/>
  <c r="G285" i="1"/>
  <c r="G413" i="1"/>
  <c r="G118" i="1"/>
  <c r="G540" i="1"/>
  <c r="G668" i="1"/>
  <c r="G7" i="1"/>
  <c r="G135" i="1"/>
  <c r="G263" i="1"/>
  <c r="G391" i="1"/>
  <c r="G12" i="1"/>
  <c r="G140" i="1"/>
  <c r="G268" i="1"/>
  <c r="G396" i="1"/>
  <c r="G17" i="1"/>
  <c r="G145" i="1"/>
  <c r="G273" i="1"/>
  <c r="G401" i="1"/>
  <c r="G70" i="1"/>
  <c r="G528" i="1"/>
  <c r="G656" i="1"/>
  <c r="G784" i="1"/>
  <c r="G75" i="1"/>
  <c r="G80" i="1"/>
  <c r="G85" i="1"/>
  <c r="G342" i="1"/>
  <c r="G876" i="1"/>
  <c r="G410" i="1"/>
  <c r="G613" i="1"/>
  <c r="G741" i="1"/>
  <c r="G869" i="1"/>
  <c r="G430" i="1"/>
  <c r="G618" i="1"/>
  <c r="G746" i="1"/>
  <c r="G874" i="1"/>
  <c r="G755" i="1"/>
  <c r="G993" i="1"/>
  <c r="G1121" i="1"/>
  <c r="G155" i="1"/>
  <c r="G160" i="1"/>
  <c r="G165" i="1"/>
  <c r="G548" i="1"/>
  <c r="G900" i="1"/>
  <c r="G490" i="1"/>
  <c r="G633" i="1"/>
  <c r="G761" i="1"/>
  <c r="G889" i="1"/>
  <c r="G510" i="1"/>
  <c r="G638" i="1"/>
  <c r="G766" i="1"/>
  <c r="G894" i="1"/>
  <c r="G835" i="1"/>
  <c r="G1013" i="1"/>
  <c r="G1141" i="1"/>
  <c r="G235" i="1"/>
  <c r="G240" i="1"/>
  <c r="G245" i="1"/>
  <c r="G628" i="1"/>
  <c r="G58" i="1"/>
  <c r="G525" i="1"/>
  <c r="G653" i="1"/>
  <c r="G781" i="1"/>
  <c r="G78" i="1"/>
  <c r="G530" i="1"/>
  <c r="G658" i="1"/>
  <c r="G159" i="1"/>
  <c r="G463" i="1"/>
  <c r="G212" i="1"/>
  <c r="G468" i="1"/>
  <c r="G217" i="1"/>
  <c r="G473" i="1"/>
  <c r="G600" i="1"/>
  <c r="G856" i="1"/>
  <c r="G243" i="1"/>
  <c r="G499" i="1"/>
  <c r="G248" i="1"/>
  <c r="G504" i="1"/>
  <c r="G253" i="1"/>
  <c r="G509" i="1"/>
  <c r="G636" i="1"/>
  <c r="G103" i="1"/>
  <c r="G359" i="1"/>
  <c r="G108" i="1"/>
  <c r="G364" i="1"/>
  <c r="G113" i="1"/>
  <c r="G369" i="1"/>
  <c r="G454" i="1"/>
  <c r="G752" i="1"/>
  <c r="G459" i="1"/>
  <c r="G469" i="1"/>
  <c r="G282" i="1"/>
  <c r="G709" i="1"/>
  <c r="G302" i="1"/>
  <c r="G714" i="1"/>
  <c r="G627" i="1"/>
  <c r="G1089" i="1"/>
  <c r="G32" i="1"/>
  <c r="G150" i="1"/>
  <c r="G362" i="1"/>
  <c r="G729" i="1"/>
  <c r="G382" i="1"/>
  <c r="G734" i="1"/>
  <c r="G707" i="1"/>
  <c r="G1061" i="1"/>
  <c r="G171" i="1"/>
  <c r="G496" i="1"/>
  <c r="G692" i="1"/>
  <c r="G442" i="1"/>
  <c r="G701" i="1"/>
  <c r="G14" i="1"/>
  <c r="G594" i="1"/>
  <c r="G786" i="1"/>
  <c r="G595" i="1"/>
  <c r="G1001" i="1"/>
  <c r="G1161" i="1"/>
  <c r="G1337" i="1"/>
  <c r="G872" i="1"/>
  <c r="G414" i="1"/>
  <c r="G1053" i="1"/>
  <c r="G1389" i="1"/>
  <c r="G1549" i="1"/>
  <c r="G1725" i="1"/>
  <c r="G823" i="1"/>
  <c r="G1042" i="1"/>
  <c r="G1218" i="1"/>
  <c r="G1394" i="1"/>
  <c r="G1554" i="1"/>
  <c r="G1730" i="1"/>
  <c r="G875" i="1"/>
  <c r="G516" i="1"/>
  <c r="G222" i="1"/>
  <c r="G1005" i="1"/>
  <c r="G1357" i="1"/>
  <c r="G1537" i="1"/>
  <c r="G1713" i="1"/>
  <c r="G711" i="1"/>
  <c r="G1030" i="1"/>
  <c r="G1206" i="1"/>
  <c r="G1366" i="1"/>
  <c r="G1510" i="1"/>
  <c r="G1638" i="1"/>
  <c r="G187" i="1"/>
  <c r="G10" i="1"/>
  <c r="G30" i="1"/>
  <c r="G902" i="1"/>
  <c r="G1233" i="1"/>
  <c r="G1397" i="1"/>
  <c r="G1525" i="1"/>
  <c r="G1653" i="1"/>
  <c r="G1781" i="1"/>
  <c r="G855" i="1"/>
  <c r="G1018" i="1"/>
  <c r="G1146" i="1"/>
  <c r="G1274" i="1"/>
  <c r="G1402" i="1"/>
  <c r="G1530" i="1"/>
  <c r="G1658" i="1"/>
  <c r="G50" i="1"/>
  <c r="G899" i="1"/>
  <c r="G261" i="1"/>
  <c r="G1325" i="1"/>
  <c r="G615" i="1"/>
  <c r="G1342" i="1"/>
  <c r="G370" i="1"/>
  <c r="G1015" i="1"/>
  <c r="G1143" i="1"/>
  <c r="G1271" i="1"/>
  <c r="G1399" i="1"/>
  <c r="G1527" i="1"/>
  <c r="G1655" i="1"/>
  <c r="G175" i="1"/>
  <c r="G479" i="1"/>
  <c r="G228" i="1"/>
  <c r="G484" i="1"/>
  <c r="G233" i="1"/>
  <c r="G489" i="1"/>
  <c r="G616" i="1"/>
  <c r="G3" i="1"/>
  <c r="G259" i="1"/>
  <c r="G8" i="1"/>
  <c r="G264" i="1"/>
  <c r="G13" i="1"/>
  <c r="G269" i="1"/>
  <c r="G54" i="1"/>
  <c r="G652" i="1"/>
  <c r="G119" i="1"/>
  <c r="G375" i="1"/>
  <c r="G124" i="1"/>
  <c r="G380" i="1"/>
  <c r="G129" i="1"/>
  <c r="G385" i="1"/>
  <c r="G512" i="1"/>
  <c r="G768" i="1"/>
  <c r="G16" i="1"/>
  <c r="G86" i="1"/>
  <c r="G346" i="1"/>
  <c r="G725" i="1"/>
  <c r="G366" i="1"/>
  <c r="G730" i="1"/>
  <c r="G691" i="1"/>
  <c r="G1105" i="1"/>
  <c r="G96" i="1"/>
  <c r="G406" i="1"/>
  <c r="G426" i="1"/>
  <c r="G745" i="1"/>
  <c r="G446" i="1"/>
  <c r="G750" i="1"/>
  <c r="G771" i="1"/>
  <c r="G1077" i="1"/>
  <c r="G299" i="1"/>
  <c r="G117" i="1"/>
  <c r="G804" i="1"/>
  <c r="G506" i="1"/>
  <c r="G717" i="1"/>
  <c r="G142" i="1"/>
  <c r="G626" i="1"/>
  <c r="G802" i="1"/>
  <c r="G659" i="1"/>
  <c r="G1017" i="1"/>
  <c r="G1177" i="1"/>
  <c r="G1353" i="1"/>
  <c r="G138" i="1"/>
  <c r="G550" i="1"/>
  <c r="G1117" i="1"/>
  <c r="G1405" i="1"/>
  <c r="G1565" i="1"/>
  <c r="G1741" i="1"/>
  <c r="G887" i="1"/>
  <c r="G1058" i="1"/>
  <c r="G1234" i="1"/>
  <c r="G1410" i="1"/>
  <c r="G1570" i="1"/>
  <c r="G1746" i="1"/>
  <c r="G911" i="1"/>
  <c r="G772" i="1"/>
  <c r="G478" i="1"/>
  <c r="G1069" i="1"/>
  <c r="G1377" i="1"/>
  <c r="G1553" i="1"/>
  <c r="G1729" i="1"/>
  <c r="G775" i="1"/>
  <c r="G1046" i="1"/>
  <c r="G1222" i="1"/>
  <c r="G1382" i="1"/>
  <c r="G1526" i="1"/>
  <c r="G1654" i="1"/>
  <c r="G443" i="1"/>
  <c r="G266" i="1"/>
  <c r="G286" i="1"/>
  <c r="G611" i="1"/>
  <c r="G1253" i="1"/>
  <c r="G1413" i="1"/>
  <c r="G1541" i="1"/>
  <c r="G1669" i="1"/>
  <c r="G98" i="1"/>
  <c r="G905" i="1"/>
  <c r="G1034" i="1"/>
  <c r="G1162" i="1"/>
  <c r="G1290" i="1"/>
  <c r="G1418" i="1"/>
  <c r="G1546" i="1"/>
  <c r="G1674" i="1"/>
  <c r="G306" i="1"/>
  <c r="G919" i="1"/>
  <c r="G74" i="1"/>
  <c r="G1401" i="1"/>
  <c r="G871" i="1"/>
  <c r="G1406" i="1"/>
  <c r="G603" i="1"/>
  <c r="G1031" i="1"/>
  <c r="G1159" i="1"/>
  <c r="G1287" i="1"/>
  <c r="G1415" i="1"/>
  <c r="G1543" i="1"/>
  <c r="G1671" i="1"/>
  <c r="G322" i="1"/>
  <c r="G1304" i="1"/>
  <c r="G1796" i="1"/>
  <c r="G1924" i="1"/>
  <c r="G207" i="1"/>
  <c r="G36" i="1"/>
  <c r="G292" i="1"/>
  <c r="G41" i="1"/>
  <c r="G297" i="1"/>
  <c r="G166" i="1"/>
  <c r="G680" i="1"/>
  <c r="G67" i="1"/>
  <c r="G323" i="1"/>
  <c r="G72" i="1"/>
  <c r="G328" i="1"/>
  <c r="G77" i="1"/>
  <c r="G333" i="1"/>
  <c r="G310" i="1"/>
  <c r="G716" i="1"/>
  <c r="G183" i="1"/>
  <c r="G439" i="1"/>
  <c r="G188" i="1"/>
  <c r="G444" i="1"/>
  <c r="G193" i="1"/>
  <c r="G449" i="1"/>
  <c r="G576" i="1"/>
  <c r="G832" i="1"/>
  <c r="G272" i="1"/>
  <c r="G660" i="1"/>
  <c r="G533" i="1"/>
  <c r="G789" i="1"/>
  <c r="G538" i="1"/>
  <c r="G794" i="1"/>
  <c r="G913" i="1"/>
  <c r="G1169" i="1"/>
  <c r="G352" i="1"/>
  <c r="G740" i="1"/>
  <c r="G553" i="1"/>
  <c r="G809" i="1"/>
  <c r="G558" i="1"/>
  <c r="G814" i="1"/>
  <c r="G895" i="1"/>
  <c r="G1109" i="1"/>
  <c r="G427" i="1"/>
  <c r="G181" i="1"/>
  <c r="G836" i="1"/>
  <c r="G541" i="1"/>
  <c r="G749" i="1"/>
  <c r="G270" i="1"/>
  <c r="G642" i="1"/>
  <c r="G834" i="1"/>
  <c r="G787" i="1"/>
  <c r="G1033" i="1"/>
  <c r="G1209" i="1"/>
  <c r="G59" i="1"/>
  <c r="G394" i="1"/>
  <c r="G678" i="1"/>
  <c r="G1221" i="1"/>
  <c r="G1421" i="1"/>
  <c r="G1597" i="1"/>
  <c r="G1773" i="1"/>
  <c r="G914" i="1"/>
  <c r="G1090" i="1"/>
  <c r="G1266" i="1"/>
  <c r="G1426" i="1"/>
  <c r="G1602" i="1"/>
  <c r="G1778" i="1"/>
  <c r="G927" i="1"/>
  <c r="G202" i="1"/>
  <c r="G630" i="1"/>
  <c r="G1133" i="1"/>
  <c r="G1409" i="1"/>
  <c r="G1585" i="1"/>
  <c r="G1745" i="1"/>
  <c r="G897" i="1"/>
  <c r="G1078" i="1"/>
  <c r="G1238" i="1"/>
  <c r="G1414" i="1"/>
  <c r="G1542" i="1"/>
  <c r="G1670" i="1"/>
  <c r="G192" i="1"/>
  <c r="G513" i="1"/>
  <c r="G518" i="1"/>
  <c r="G867" i="1"/>
  <c r="G1277" i="1"/>
  <c r="G1429" i="1"/>
  <c r="G1557" i="1"/>
  <c r="G1685" i="1"/>
  <c r="G354" i="1"/>
  <c r="G922" i="1"/>
  <c r="G1050" i="1"/>
  <c r="G1178" i="1"/>
  <c r="G1306" i="1"/>
  <c r="G1434" i="1"/>
  <c r="G1562" i="1"/>
  <c r="G1690" i="1"/>
  <c r="G523" i="1"/>
  <c r="G935" i="1"/>
  <c r="G657" i="1"/>
  <c r="G1465" i="1"/>
  <c r="G958" i="1"/>
  <c r="G1470" i="1"/>
  <c r="G731" i="1"/>
  <c r="G1047" i="1"/>
  <c r="G1175" i="1"/>
  <c r="G1303" i="1"/>
  <c r="G1431" i="1"/>
  <c r="G1559" i="1"/>
  <c r="G1687" i="1"/>
  <c r="G719" i="1"/>
  <c r="G1368" i="1"/>
  <c r="G1812" i="1"/>
  <c r="G1940" i="1"/>
  <c r="G2068" i="1"/>
  <c r="G1284" i="1"/>
  <c r="G2035" i="1"/>
  <c r="G1116" i="1"/>
  <c r="G1628" i="1"/>
  <c r="G1877" i="1"/>
  <c r="G2005" i="1"/>
  <c r="G2133" i="1"/>
  <c r="G1831" i="1"/>
  <c r="G687" i="1"/>
  <c r="G1360" i="1"/>
  <c r="G1810" i="1"/>
  <c r="G1938" i="1"/>
  <c r="G2066" i="1"/>
  <c r="G1236" i="1"/>
  <c r="G2031" i="1"/>
  <c r="G1577" i="1"/>
  <c r="G350" i="1"/>
  <c r="G287" i="1"/>
  <c r="G52" i="1"/>
  <c r="G308" i="1"/>
  <c r="G57" i="1"/>
  <c r="G313" i="1"/>
  <c r="G230" i="1"/>
  <c r="G696" i="1"/>
  <c r="G83" i="1"/>
  <c r="G339" i="1"/>
  <c r="G88" i="1"/>
  <c r="G344" i="1"/>
  <c r="G93" i="1"/>
  <c r="G349" i="1"/>
  <c r="G374" i="1"/>
  <c r="G732" i="1"/>
  <c r="G199" i="1"/>
  <c r="G455" i="1"/>
  <c r="G204" i="1"/>
  <c r="G460" i="1"/>
  <c r="G209" i="1"/>
  <c r="G465" i="1"/>
  <c r="G592" i="1"/>
  <c r="G848" i="1"/>
  <c r="G336" i="1"/>
  <c r="G724" i="1"/>
  <c r="G549" i="1"/>
  <c r="G805" i="1"/>
  <c r="G554" i="1"/>
  <c r="G810" i="1"/>
  <c r="G929" i="1"/>
  <c r="G1185" i="1"/>
  <c r="G416" i="1"/>
  <c r="G796" i="1"/>
  <c r="G569" i="1"/>
  <c r="G825" i="1"/>
  <c r="G574" i="1"/>
  <c r="G830" i="1"/>
  <c r="G933" i="1"/>
  <c r="G1125" i="1"/>
  <c r="G491" i="1"/>
  <c r="G309" i="1"/>
  <c r="G888" i="1"/>
  <c r="G573" i="1"/>
  <c r="G765" i="1"/>
  <c r="G334" i="1"/>
  <c r="G674" i="1"/>
  <c r="G850" i="1"/>
  <c r="G851" i="1"/>
  <c r="G1049" i="1"/>
  <c r="G1225" i="1"/>
  <c r="G315" i="1"/>
  <c r="G545" i="1"/>
  <c r="G742" i="1"/>
  <c r="G1245" i="1"/>
  <c r="G1437" i="1"/>
  <c r="G1613" i="1"/>
  <c r="G1789" i="1"/>
  <c r="G930" i="1"/>
  <c r="G1106" i="1"/>
  <c r="G335" i="1"/>
  <c r="G100" i="1"/>
  <c r="G356" i="1"/>
  <c r="G105" i="1"/>
  <c r="G361" i="1"/>
  <c r="G422" i="1"/>
  <c r="G744" i="1"/>
  <c r="G131" i="1"/>
  <c r="G387" i="1"/>
  <c r="G136" i="1"/>
  <c r="G392" i="1"/>
  <c r="G141" i="1"/>
  <c r="G397" i="1"/>
  <c r="G524" i="1"/>
  <c r="G780" i="1"/>
  <c r="G247" i="1"/>
  <c r="G503" i="1"/>
  <c r="G252" i="1"/>
  <c r="G508" i="1"/>
  <c r="G257" i="1"/>
  <c r="G6" i="1"/>
  <c r="G640" i="1"/>
  <c r="G11" i="1"/>
  <c r="G21" i="1"/>
  <c r="G852" i="1"/>
  <c r="G597" i="1"/>
  <c r="G853" i="1"/>
  <c r="G602" i="1"/>
  <c r="G858" i="1"/>
  <c r="G977" i="1"/>
  <c r="G91" i="1"/>
  <c r="G101" i="1"/>
  <c r="G884" i="1"/>
  <c r="G617" i="1"/>
  <c r="G873" i="1"/>
  <c r="G622" i="1"/>
  <c r="G878" i="1"/>
  <c r="G981" i="1"/>
  <c r="G1189" i="1"/>
  <c r="G176" i="1"/>
  <c r="G501" i="1"/>
  <c r="G122" i="1"/>
  <c r="G621" i="1"/>
  <c r="G829" i="1"/>
  <c r="G514" i="1"/>
  <c r="G722" i="1"/>
  <c r="G898" i="1"/>
  <c r="G921" i="1"/>
  <c r="G1097" i="1"/>
  <c r="G1273" i="1"/>
  <c r="G320" i="1"/>
  <c r="G737" i="1"/>
  <c r="G402" i="1"/>
  <c r="G1285" i="1"/>
  <c r="G1485" i="1"/>
  <c r="G1661" i="1"/>
  <c r="G482" i="1"/>
  <c r="G978" i="1"/>
  <c r="G1154" i="1"/>
  <c r="G1314" i="1"/>
  <c r="G1490" i="1"/>
  <c r="G1666" i="1"/>
  <c r="G555" i="1"/>
  <c r="G128" i="1"/>
  <c r="G689" i="1"/>
  <c r="G822" i="1"/>
  <c r="G1269" i="1"/>
  <c r="G1473" i="1"/>
  <c r="G1633" i="1"/>
  <c r="G290" i="1"/>
  <c r="G966" i="1"/>
  <c r="G1126" i="1"/>
  <c r="G1302" i="1"/>
  <c r="G1462" i="1"/>
  <c r="G1590" i="1"/>
  <c r="G1718" i="1"/>
  <c r="G453" i="1"/>
  <c r="G705" i="1"/>
  <c r="G710" i="1"/>
  <c r="G1085" i="1"/>
  <c r="G1341" i="1"/>
  <c r="G1477" i="1"/>
  <c r="G1605" i="1"/>
  <c r="G1733" i="1"/>
  <c r="G663" i="1"/>
  <c r="G970" i="1"/>
  <c r="G1098" i="1"/>
  <c r="G1226" i="1"/>
  <c r="G1354" i="1"/>
  <c r="G1482" i="1"/>
  <c r="G1610" i="1"/>
  <c r="G1738" i="1"/>
  <c r="G715" i="1"/>
  <c r="G983" i="1"/>
  <c r="G146" i="1"/>
  <c r="G1657" i="1"/>
  <c r="G1150" i="1"/>
  <c r="G1662" i="1"/>
  <c r="G955" i="1"/>
  <c r="G1095" i="1"/>
  <c r="G1223" i="1"/>
  <c r="G1351" i="1"/>
  <c r="G1479" i="1"/>
  <c r="G1607" i="1"/>
  <c r="G1735" i="1"/>
  <c r="G1048" i="1"/>
  <c r="G1560" i="1"/>
  <c r="G1860" i="1"/>
  <c r="G1988" i="1"/>
  <c r="G2116" i="1"/>
  <c r="G1799" i="1"/>
  <c r="G386" i="1"/>
  <c r="G1308" i="1"/>
  <c r="G1797" i="1"/>
  <c r="G1925" i="1"/>
  <c r="G2053" i="1"/>
  <c r="G964" i="1"/>
  <c r="G1975" i="1"/>
  <c r="G1040" i="1"/>
  <c r="G1552" i="1"/>
  <c r="G1858" i="1"/>
  <c r="G1986" i="1"/>
  <c r="G2114" i="1"/>
  <c r="G1790" i="1"/>
  <c r="G593" i="1"/>
  <c r="G1070" i="1"/>
  <c r="G1101" i="1"/>
  <c r="G303" i="1"/>
  <c r="G436" i="1"/>
  <c r="G552" i="1"/>
  <c r="G371" i="1"/>
  <c r="G472" i="1"/>
  <c r="G588" i="1"/>
  <c r="G487" i="1"/>
  <c r="G81" i="1"/>
  <c r="G704" i="1"/>
  <c r="G820" i="1"/>
  <c r="G174" i="1"/>
  <c r="G1041" i="1"/>
  <c r="G860" i="1"/>
  <c r="G254" i="1"/>
  <c r="G997" i="1"/>
  <c r="G437" i="1"/>
  <c r="G669" i="1"/>
  <c r="G754" i="1"/>
  <c r="G1081" i="1"/>
  <c r="G278" i="1"/>
  <c r="G1329" i="1"/>
  <c r="G226" i="1"/>
  <c r="G1186" i="1"/>
  <c r="G1538" i="1"/>
  <c r="G747" i="1"/>
  <c r="G817" i="1"/>
  <c r="G1333" i="1"/>
  <c r="G1681" i="1"/>
  <c r="G998" i="1"/>
  <c r="G1350" i="1"/>
  <c r="G1622" i="1"/>
  <c r="G812" i="1"/>
  <c r="G838" i="1"/>
  <c r="G1381" i="1"/>
  <c r="G1637" i="1"/>
  <c r="G791" i="1"/>
  <c r="G1130" i="1"/>
  <c r="G1386" i="1"/>
  <c r="G1642" i="1"/>
  <c r="G843" i="1"/>
  <c r="G1237" i="1"/>
  <c r="G1278" i="1"/>
  <c r="G995" i="1"/>
  <c r="G1255" i="1"/>
  <c r="G1511" i="1"/>
  <c r="G1767" i="1"/>
  <c r="G1496" i="1"/>
  <c r="G1908" i="1"/>
  <c r="G2100" i="1"/>
  <c r="G1895" i="1"/>
  <c r="G1052" i="1"/>
  <c r="G1756" i="1"/>
  <c r="G1957" i="1"/>
  <c r="G2117" i="1"/>
  <c r="G1927" i="1"/>
  <c r="G1168" i="1"/>
  <c r="G1794" i="1"/>
  <c r="G1970" i="1"/>
  <c r="G2146" i="1"/>
  <c r="G1983" i="1"/>
  <c r="G807" i="1"/>
  <c r="G1345" i="1"/>
  <c r="G679" i="1"/>
  <c r="G1358" i="1"/>
  <c r="G498" i="1"/>
  <c r="G1019" i="1"/>
  <c r="G1147" i="1"/>
  <c r="G1275" i="1"/>
  <c r="G1403" i="1"/>
  <c r="G1531" i="1"/>
  <c r="G1659" i="1"/>
  <c r="G1787" i="1"/>
  <c r="G1256" i="1"/>
  <c r="G1768" i="1"/>
  <c r="G1912" i="1"/>
  <c r="G2040" i="1"/>
  <c r="G948" i="1"/>
  <c r="G1955" i="1"/>
  <c r="G1004" i="1"/>
  <c r="G1516" i="1"/>
  <c r="G1849" i="1"/>
  <c r="G1977" i="1"/>
  <c r="G2105" i="1"/>
  <c r="G1588" i="1"/>
  <c r="G2139" i="1"/>
  <c r="G1248" i="1"/>
  <c r="G1760" i="1"/>
  <c r="G1910" i="1"/>
  <c r="G2038" i="1"/>
  <c r="G893" i="1"/>
  <c r="G1947" i="1"/>
  <c r="G1217" i="1"/>
  <c r="G529" i="1"/>
  <c r="G1433" i="1"/>
  <c r="G926" i="1"/>
  <c r="G1438" i="1"/>
  <c r="G667" i="1"/>
  <c r="G1039" i="1"/>
  <c r="G1167" i="1"/>
  <c r="G1295" i="1"/>
  <c r="G1423" i="1"/>
  <c r="G1551" i="1"/>
  <c r="G1679" i="1"/>
  <c r="G591" i="1"/>
  <c r="G1336" i="1"/>
  <c r="G1804" i="1"/>
  <c r="G1932" i="1"/>
  <c r="G2060" i="1"/>
  <c r="G1172" i="1"/>
  <c r="G2015" i="1"/>
  <c r="G1084" i="1"/>
  <c r="G1596" i="1"/>
  <c r="G1869" i="1"/>
  <c r="G1997" i="1"/>
  <c r="G2125" i="1"/>
  <c r="G1807" i="1"/>
  <c r="G559" i="1"/>
  <c r="G1328" i="1"/>
  <c r="G1802" i="1"/>
  <c r="G1930" i="1"/>
  <c r="G2058" i="1"/>
  <c r="G1140" i="1"/>
  <c r="G2007" i="1"/>
  <c r="G1198" i="1"/>
  <c r="G1235" i="1"/>
  <c r="G1747" i="1"/>
  <c r="G2000" i="1"/>
  <c r="G415" i="1"/>
  <c r="G89" i="1"/>
  <c r="G568" i="1"/>
  <c r="G451" i="1"/>
  <c r="G125" i="1"/>
  <c r="G604" i="1"/>
  <c r="G60" i="1"/>
  <c r="G241" i="1"/>
  <c r="G720" i="1"/>
  <c r="G90" i="1"/>
  <c r="G586" i="1"/>
  <c r="G1057" i="1"/>
  <c r="G170" i="1"/>
  <c r="G606" i="1"/>
  <c r="G1029" i="1"/>
  <c r="G470" i="1"/>
  <c r="G797" i="1"/>
  <c r="G770" i="1"/>
  <c r="G1129" i="1"/>
  <c r="G673" i="1"/>
  <c r="G1349" i="1"/>
  <c r="G631" i="1"/>
  <c r="G1282" i="1"/>
  <c r="G1618" i="1"/>
  <c r="G943" i="1"/>
  <c r="G694" i="1"/>
  <c r="G1425" i="1"/>
  <c r="G1761" i="1"/>
  <c r="G1094" i="1"/>
  <c r="G1430" i="1"/>
  <c r="G1686" i="1"/>
  <c r="G577" i="1"/>
  <c r="G957" i="1"/>
  <c r="G1445" i="1"/>
  <c r="G1701" i="1"/>
  <c r="G938" i="1"/>
  <c r="G1194" i="1"/>
  <c r="G1450" i="1"/>
  <c r="G1706" i="1"/>
  <c r="G951" i="1"/>
  <c r="G1529" i="1"/>
  <c r="G1534" i="1"/>
  <c r="G1063" i="1"/>
  <c r="G1319" i="1"/>
  <c r="G1575" i="1"/>
  <c r="G1783" i="1"/>
  <c r="G1624" i="1"/>
  <c r="G1956" i="1"/>
  <c r="G2132" i="1"/>
  <c r="G1943" i="1"/>
  <c r="G1180" i="1"/>
  <c r="G1813" i="1"/>
  <c r="G1973" i="1"/>
  <c r="G2149" i="1"/>
  <c r="G2027" i="1"/>
  <c r="G1232" i="1"/>
  <c r="G1826" i="1"/>
  <c r="G2002" i="1"/>
  <c r="G258" i="1"/>
  <c r="G2079" i="1"/>
  <c r="G507" i="1"/>
  <c r="G1417" i="1"/>
  <c r="G910" i="1"/>
  <c r="G1422" i="1"/>
  <c r="G635" i="1"/>
  <c r="G1035" i="1"/>
  <c r="G1163" i="1"/>
  <c r="G1291" i="1"/>
  <c r="G1419" i="1"/>
  <c r="G1547" i="1"/>
  <c r="G1675" i="1"/>
  <c r="G527" i="1"/>
  <c r="G1320" i="1"/>
  <c r="G1800" i="1"/>
  <c r="G1928" i="1"/>
  <c r="G2056" i="1"/>
  <c r="G1124" i="1"/>
  <c r="G2003" i="1"/>
  <c r="G1068" i="1"/>
  <c r="G1580" i="1"/>
  <c r="G1865" i="1"/>
  <c r="G1993" i="1"/>
  <c r="G2121" i="1"/>
  <c r="G1795" i="1"/>
  <c r="G450" i="1"/>
  <c r="G1312" i="1"/>
  <c r="G1798" i="1"/>
  <c r="G1926" i="1"/>
  <c r="G2054" i="1"/>
  <c r="G1092" i="1"/>
  <c r="G1995" i="1"/>
  <c r="G1385" i="1"/>
  <c r="G785" i="1"/>
  <c r="G1497" i="1"/>
  <c r="G990" i="1"/>
  <c r="G1502" i="1"/>
  <c r="G795" i="1"/>
  <c r="G431" i="1"/>
  <c r="G169" i="1"/>
  <c r="G728" i="1"/>
  <c r="G467" i="1"/>
  <c r="G205" i="1"/>
  <c r="G764" i="1"/>
  <c r="G76" i="1"/>
  <c r="G321" i="1"/>
  <c r="G880" i="1"/>
  <c r="G154" i="1"/>
  <c r="G666" i="1"/>
  <c r="G27" i="1"/>
  <c r="G234" i="1"/>
  <c r="G686" i="1"/>
  <c r="G1157" i="1"/>
  <c r="G564" i="1"/>
  <c r="G845" i="1"/>
  <c r="G882" i="1"/>
  <c r="G1145" i="1"/>
  <c r="G865" i="1"/>
  <c r="G1469" i="1"/>
  <c r="G695" i="1"/>
  <c r="G1298" i="1"/>
  <c r="G1650" i="1"/>
  <c r="G379" i="1"/>
  <c r="G758" i="1"/>
  <c r="G1457" i="1"/>
  <c r="G34" i="1"/>
  <c r="G1110" i="1"/>
  <c r="G1446" i="1"/>
  <c r="G1702" i="1"/>
  <c r="G641" i="1"/>
  <c r="G1021" i="1"/>
  <c r="G1461" i="1"/>
  <c r="G1717" i="1"/>
  <c r="G954" i="1"/>
  <c r="G1210" i="1"/>
  <c r="G1466" i="1"/>
  <c r="G1722" i="1"/>
  <c r="G967" i="1"/>
  <c r="G1593" i="1"/>
  <c r="G1598" i="1"/>
  <c r="G1079" i="1"/>
  <c r="G1335" i="1"/>
  <c r="G1591" i="1"/>
  <c r="G920" i="1"/>
  <c r="G1688" i="1"/>
  <c r="G1972" i="1"/>
  <c r="G2148" i="1"/>
  <c r="G1991" i="1"/>
  <c r="G1244" i="1"/>
  <c r="G1829" i="1"/>
  <c r="G1989" i="1"/>
  <c r="G639" i="1"/>
  <c r="G2075" i="1"/>
  <c r="G1296" i="1"/>
  <c r="G1842" i="1"/>
  <c r="G2018" i="1"/>
  <c r="G1028" i="1"/>
  <c r="G2119" i="1"/>
  <c r="G22" i="1"/>
  <c r="G1481" i="1"/>
  <c r="G974" i="1"/>
  <c r="G1486" i="1"/>
  <c r="G763" i="1"/>
  <c r="G1051" i="1"/>
  <c r="G1179" i="1"/>
  <c r="G1307" i="1"/>
  <c r="G1435" i="1"/>
  <c r="G1563" i="1"/>
  <c r="G1691" i="1"/>
  <c r="G783" i="1"/>
  <c r="G1384" i="1"/>
  <c r="G1816" i="1"/>
  <c r="G1944" i="1"/>
  <c r="G2072" i="1"/>
  <c r="G1316" i="1"/>
  <c r="G2047" i="1"/>
  <c r="G1132" i="1"/>
  <c r="G1644" i="1"/>
  <c r="G1881" i="1"/>
  <c r="G2009" i="1"/>
  <c r="G2137" i="1"/>
  <c r="G1843" i="1"/>
  <c r="G751" i="1"/>
  <c r="G1376" i="1"/>
  <c r="G1814" i="1"/>
  <c r="G1942" i="1"/>
  <c r="G2070" i="1"/>
  <c r="G1268" i="1"/>
  <c r="G2043" i="1"/>
  <c r="G1513" i="1"/>
  <c r="G534" i="1"/>
  <c r="G1561" i="1"/>
  <c r="G1054" i="1"/>
  <c r="G1566" i="1"/>
  <c r="G907" i="1"/>
  <c r="G1071" i="1"/>
  <c r="G1199" i="1"/>
  <c r="G1327" i="1"/>
  <c r="G1455" i="1"/>
  <c r="G1583" i="1"/>
  <c r="G1711" i="1"/>
  <c r="G952" i="1"/>
  <c r="G1464" i="1"/>
  <c r="G1836" i="1"/>
  <c r="G1964" i="1"/>
  <c r="G2092" i="1"/>
  <c r="G1556" i="1"/>
  <c r="G2111" i="1"/>
  <c r="G1212" i="1"/>
  <c r="G1724" i="1"/>
  <c r="G1901" i="1"/>
  <c r="G2029" i="1"/>
  <c r="G2157" i="1"/>
  <c r="G1899" i="1"/>
  <c r="G944" i="1"/>
  <c r="G84" i="1"/>
  <c r="G185" i="1"/>
  <c r="G808" i="1"/>
  <c r="G120" i="1"/>
  <c r="G221" i="1"/>
  <c r="G55" i="1"/>
  <c r="G236" i="1"/>
  <c r="G337" i="1"/>
  <c r="G267" i="1"/>
  <c r="G581" i="1"/>
  <c r="G682" i="1"/>
  <c r="G347" i="1"/>
  <c r="G601" i="1"/>
  <c r="G702" i="1"/>
  <c r="G1205" i="1"/>
  <c r="G904" i="1"/>
  <c r="G877" i="1"/>
  <c r="G82" i="1"/>
  <c r="G1257" i="1"/>
  <c r="G158" i="1"/>
  <c r="G1517" i="1"/>
  <c r="G962" i="1"/>
  <c r="G1346" i="1"/>
  <c r="G1682" i="1"/>
  <c r="G133" i="1"/>
  <c r="G547" i="1"/>
  <c r="G1489" i="1"/>
  <c r="G583" i="1"/>
  <c r="G1158" i="1"/>
  <c r="G1478" i="1"/>
  <c r="G1734" i="1"/>
  <c r="G769" i="1"/>
  <c r="G1149" i="1"/>
  <c r="G1493" i="1"/>
  <c r="G1749" i="1"/>
  <c r="G986" i="1"/>
  <c r="G1242" i="1"/>
  <c r="G1498" i="1"/>
  <c r="G1754" i="1"/>
  <c r="G999" i="1"/>
  <c r="G1721" i="1"/>
  <c r="G1726" i="1"/>
  <c r="G1111" i="1"/>
  <c r="G1367" i="1"/>
  <c r="G1623" i="1"/>
  <c r="G984" i="1"/>
  <c r="G1752" i="1"/>
  <c r="G2004" i="1"/>
  <c r="G831" i="1"/>
  <c r="G164" i="1"/>
  <c r="G345" i="1"/>
  <c r="G824" i="1"/>
  <c r="G200" i="1"/>
  <c r="G381" i="1"/>
  <c r="G71" i="1"/>
  <c r="G316" i="1"/>
  <c r="G497" i="1"/>
  <c r="G331" i="1"/>
  <c r="G661" i="1"/>
  <c r="G842" i="1"/>
  <c r="G411" i="1"/>
  <c r="G681" i="1"/>
  <c r="G862" i="1"/>
  <c r="G107" i="1"/>
  <c r="G250" i="1"/>
  <c r="G462" i="1"/>
  <c r="G338" i="1"/>
  <c r="G1289" i="1"/>
  <c r="G870" i="1"/>
  <c r="G1533" i="1"/>
  <c r="G1010" i="1"/>
  <c r="G1362" i="1"/>
  <c r="G1698" i="1"/>
  <c r="G389" i="1"/>
  <c r="G803" i="1"/>
  <c r="G1505" i="1"/>
  <c r="G647" i="1"/>
  <c r="G1174" i="1"/>
  <c r="G1494" i="1"/>
  <c r="G1750" i="1"/>
  <c r="G833" i="1"/>
  <c r="G1213" i="1"/>
  <c r="G1509" i="1"/>
  <c r="G1765" i="1"/>
  <c r="G1002" i="1"/>
  <c r="G1258" i="1"/>
  <c r="G1514" i="1"/>
  <c r="G1770" i="1"/>
  <c r="G251" i="1"/>
  <c r="G1785" i="1"/>
  <c r="G1774" i="1"/>
  <c r="G1127" i="1"/>
  <c r="G1383" i="1"/>
  <c r="G1639" i="1"/>
  <c r="G1112" i="1"/>
  <c r="G1828" i="1"/>
  <c r="G2020" i="1"/>
  <c r="G1076" i="1"/>
  <c r="G2131" i="1"/>
  <c r="G1436" i="1"/>
  <c r="G1861" i="1"/>
  <c r="G2037" i="1"/>
  <c r="G1348" i="1"/>
  <c r="G194" i="1"/>
  <c r="G1488" i="1"/>
  <c r="G1890" i="1"/>
  <c r="G2050" i="1"/>
  <c r="G1620" i="1"/>
  <c r="G973" i="1"/>
  <c r="G721" i="1"/>
  <c r="G1609" i="1"/>
  <c r="G1102" i="1"/>
  <c r="G1614" i="1"/>
  <c r="G931" i="1"/>
  <c r="G1083" i="1"/>
  <c r="G1211" i="1"/>
  <c r="G1339" i="1"/>
  <c r="G1467" i="1"/>
  <c r="G1595" i="1"/>
  <c r="G1723" i="1"/>
  <c r="G1000" i="1"/>
  <c r="G1512" i="1"/>
  <c r="G1848" i="1"/>
  <c r="G1976" i="1"/>
  <c r="G2104" i="1"/>
  <c r="G1700" i="1"/>
  <c r="G2143" i="1"/>
  <c r="G1260" i="1"/>
  <c r="G1772" i="1"/>
  <c r="G1913" i="1"/>
  <c r="G2041" i="1"/>
  <c r="G703" i="1"/>
  <c r="G1939" i="1"/>
  <c r="G992" i="1"/>
  <c r="G1504" i="1"/>
  <c r="G1846" i="1"/>
  <c r="G1974" i="1"/>
  <c r="G2102" i="1"/>
  <c r="G1652" i="1"/>
  <c r="G2135" i="1"/>
  <c r="G551" i="1"/>
  <c r="G909" i="1"/>
  <c r="G1689" i="1"/>
  <c r="G1182" i="1"/>
  <c r="G1694" i="1"/>
  <c r="G963" i="1"/>
  <c r="G1103" i="1"/>
  <c r="G1231" i="1"/>
  <c r="G1359" i="1"/>
  <c r="G1487" i="1"/>
  <c r="G1615" i="1"/>
  <c r="G1743" i="1"/>
  <c r="G1080" i="1"/>
  <c r="G1592" i="1"/>
  <c r="G1868" i="1"/>
  <c r="G1996" i="1"/>
  <c r="G2124" i="1"/>
  <c r="G1823" i="1"/>
  <c r="G607" i="1"/>
  <c r="G1340" i="1"/>
  <c r="G1805" i="1"/>
  <c r="G1933" i="1"/>
  <c r="G2061" i="1"/>
  <c r="G1060" i="1"/>
  <c r="G1999" i="1"/>
  <c r="G1072" i="1"/>
  <c r="G1584" i="1"/>
  <c r="G1866" i="1"/>
  <c r="G1994" i="1"/>
  <c r="G2122" i="1"/>
  <c r="G1815" i="1"/>
  <c r="G5" i="1"/>
  <c r="G971" i="1"/>
  <c r="G1491" i="1"/>
  <c r="G1608" i="1"/>
  <c r="G1835" i="1"/>
  <c r="G180" i="1"/>
  <c r="G425" i="1"/>
  <c r="G115" i="1"/>
  <c r="G216" i="1"/>
  <c r="G461" i="1"/>
  <c r="G231" i="1"/>
  <c r="G332" i="1"/>
  <c r="G262" i="1"/>
  <c r="G464" i="1"/>
  <c r="G677" i="1"/>
  <c r="G210" i="1"/>
  <c r="G37" i="1"/>
  <c r="G697" i="1"/>
  <c r="G515" i="1"/>
  <c r="G112" i="1"/>
  <c r="G314" i="1"/>
  <c r="G546" i="1"/>
  <c r="G903" i="1"/>
  <c r="G1305" i="1"/>
  <c r="G739" i="1"/>
  <c r="G1645" i="1"/>
  <c r="G1026" i="1"/>
  <c r="G1442" i="1"/>
  <c r="G178" i="1"/>
  <c r="G458" i="1"/>
  <c r="G1197" i="1"/>
  <c r="G1601" i="1"/>
  <c r="G918" i="1"/>
  <c r="G1254" i="1"/>
  <c r="G1558" i="1"/>
  <c r="G448" i="1"/>
  <c r="G582" i="1"/>
  <c r="G1297" i="1"/>
  <c r="G1573" i="1"/>
  <c r="G535" i="1"/>
  <c r="G1066" i="1"/>
  <c r="G1322" i="1"/>
  <c r="G1578" i="1"/>
  <c r="G587" i="1"/>
  <c r="G94" i="1"/>
  <c r="G1022" i="1"/>
  <c r="G859" i="1"/>
  <c r="G1191" i="1"/>
  <c r="G1447" i="1"/>
  <c r="G1703" i="1"/>
  <c r="G1176" i="1"/>
  <c r="G1844" i="1"/>
  <c r="G2036" i="1"/>
  <c r="G1460" i="1"/>
  <c r="G735" i="1"/>
  <c r="G1500" i="1"/>
  <c r="G1893" i="1"/>
  <c r="G2069" i="1"/>
  <c r="G1540" i="1"/>
  <c r="G912" i="1"/>
  <c r="G1616" i="1"/>
  <c r="G1906" i="1"/>
  <c r="G2082" i="1"/>
  <c r="G1839" i="1"/>
  <c r="G1301" i="1"/>
  <c r="G726" i="1"/>
  <c r="G1673" i="1"/>
  <c r="G1166" i="1"/>
  <c r="G1678" i="1"/>
  <c r="G959" i="1"/>
  <c r="G1099" i="1"/>
  <c r="G1227" i="1"/>
  <c r="G1355" i="1"/>
  <c r="G1483" i="1"/>
  <c r="G1611" i="1"/>
  <c r="G1739" i="1"/>
  <c r="G1064" i="1"/>
  <c r="G1576" i="1"/>
  <c r="G1864" i="1"/>
  <c r="G1992" i="1"/>
  <c r="G2120" i="1"/>
  <c r="G1811" i="1"/>
  <c r="G543" i="1"/>
  <c r="G1324" i="1"/>
  <c r="G1801" i="1"/>
  <c r="G1929" i="1"/>
  <c r="G2057" i="1"/>
  <c r="G1012" i="1"/>
  <c r="G1987" i="1"/>
  <c r="G1056" i="1"/>
  <c r="G1568" i="1"/>
  <c r="G1862" i="1"/>
  <c r="G1990" i="1"/>
  <c r="G2118" i="1"/>
  <c r="G1803" i="1"/>
  <c r="G844" i="1"/>
  <c r="G1006" i="1"/>
  <c r="G1165" i="1"/>
  <c r="G1753" i="1"/>
  <c r="G1246" i="1"/>
  <c r="G1758" i="1"/>
  <c r="G987" i="1"/>
  <c r="G1119" i="1"/>
  <c r="G1247" i="1"/>
  <c r="G1375" i="1"/>
  <c r="G1503" i="1"/>
  <c r="G1631" i="1"/>
  <c r="G1759" i="1"/>
  <c r="G1144" i="1"/>
  <c r="G1656" i="1"/>
  <c r="G1884" i="1"/>
  <c r="G2012" i="1"/>
  <c r="G2140" i="1"/>
  <c r="G1871" i="1"/>
  <c r="G863" i="1"/>
  <c r="G1404" i="1"/>
  <c r="G1821" i="1"/>
  <c r="G1949" i="1"/>
  <c r="G2077" i="1"/>
  <c r="G1252" i="1"/>
  <c r="G2051" i="1"/>
  <c r="G1136" i="1"/>
  <c r="G340" i="1"/>
  <c r="G477" i="1"/>
  <c r="G277" i="1"/>
  <c r="G857" i="1"/>
  <c r="G578" i="1"/>
  <c r="G1677" i="1"/>
  <c r="G625" i="1"/>
  <c r="G1286" i="1"/>
  <c r="G1317" i="1"/>
  <c r="G1338" i="1"/>
  <c r="G1086" i="1"/>
  <c r="G1719" i="1"/>
  <c r="G1668" i="1"/>
  <c r="G1845" i="1"/>
  <c r="G1879" i="1"/>
  <c r="G1922" i="1"/>
  <c r="G598" i="1"/>
  <c r="G162" i="1"/>
  <c r="G979" i="1"/>
  <c r="G1323" i="1"/>
  <c r="G1643" i="1"/>
  <c r="G1640" i="1"/>
  <c r="G2088" i="1"/>
  <c r="G940" i="1"/>
  <c r="G1945" i="1"/>
  <c r="G1887" i="1"/>
  <c r="G1696" i="1"/>
  <c r="G2134" i="1"/>
  <c r="G1705" i="1"/>
  <c r="G743" i="1"/>
  <c r="G1007" i="1"/>
  <c r="G1263" i="1"/>
  <c r="G1519" i="1"/>
  <c r="G1775" i="1"/>
  <c r="G1720" i="1"/>
  <c r="G2028" i="1"/>
  <c r="G1919" i="1"/>
  <c r="G1468" i="1"/>
  <c r="G1965" i="1"/>
  <c r="G1444" i="1"/>
  <c r="G1200" i="1"/>
  <c r="G1818" i="1"/>
  <c r="G1978" i="1"/>
  <c r="G2154" i="1"/>
  <c r="G2055" i="1"/>
  <c r="G699" i="1"/>
  <c r="G1619" i="1"/>
  <c r="G2064" i="1"/>
  <c r="G1809" i="1"/>
  <c r="G2011" i="1"/>
  <c r="G1998" i="1"/>
  <c r="G2014" i="1"/>
  <c r="G1288" i="1"/>
  <c r="G2159" i="1"/>
  <c r="G827" i="1"/>
  <c r="G1443" i="1"/>
  <c r="G1416" i="1"/>
  <c r="G1412" i="1"/>
  <c r="G1889" i="1"/>
  <c r="G879" i="1"/>
  <c r="G1155" i="1"/>
  <c r="G2049" i="1"/>
  <c r="G242" i="1"/>
  <c r="G1395" i="1"/>
  <c r="G1224" i="1"/>
  <c r="G511" i="1"/>
  <c r="G1841" i="1"/>
  <c r="G2115" i="1"/>
  <c r="G2030" i="1"/>
  <c r="G571" i="1"/>
  <c r="G1544" i="1"/>
  <c r="G1963" i="1"/>
  <c r="G2094" i="1"/>
  <c r="G1920" i="1"/>
  <c r="G2026" i="1"/>
  <c r="G1918" i="1"/>
  <c r="G2017" i="1"/>
  <c r="G1011" i="1"/>
  <c r="G1931" i="1"/>
  <c r="G2158" i="1"/>
  <c r="G1854" i="1"/>
  <c r="G2153" i="1"/>
  <c r="G1648" i="1"/>
  <c r="G1100" i="1"/>
  <c r="G1793" i="1"/>
  <c r="G1420" i="1"/>
  <c r="G1715" i="1"/>
  <c r="G1548" i="1"/>
  <c r="G925" i="1"/>
  <c r="G1744" i="1"/>
  <c r="G2008" i="1"/>
  <c r="G849" i="1"/>
  <c r="G1695" i="1"/>
  <c r="G1885" i="1"/>
  <c r="G2106" i="1"/>
  <c r="G1870" i="1"/>
  <c r="G901" i="1"/>
  <c r="G1036" i="1"/>
  <c r="G1484" i="1"/>
  <c r="G624" i="1"/>
  <c r="G1037" i="1"/>
  <c r="G1737" i="1"/>
  <c r="G799" i="1"/>
  <c r="G854" i="1"/>
  <c r="G1528" i="1"/>
  <c r="G1008" i="1"/>
  <c r="G1710" i="1"/>
  <c r="G1934" i="1"/>
  <c r="G1160" i="1"/>
  <c r="G1582" i="1"/>
  <c r="G1915" i="1"/>
  <c r="G420" i="1"/>
  <c r="G502" i="1"/>
  <c r="G341" i="1"/>
  <c r="G190" i="1"/>
  <c r="G706" i="1"/>
  <c r="G1693" i="1"/>
  <c r="G753" i="1"/>
  <c r="G1334" i="1"/>
  <c r="G1361" i="1"/>
  <c r="G1370" i="1"/>
  <c r="G1214" i="1"/>
  <c r="G1751" i="1"/>
  <c r="G1851" i="1"/>
  <c r="G1909" i="1"/>
  <c r="G2127" i="1"/>
  <c r="G1954" i="1"/>
  <c r="G1449" i="1"/>
  <c r="G1038" i="1"/>
  <c r="G1003" i="1"/>
  <c r="G1371" i="1"/>
  <c r="G1707" i="1"/>
  <c r="G1704" i="1"/>
  <c r="G2136" i="1"/>
  <c r="G1196" i="1"/>
  <c r="G1961" i="1"/>
  <c r="G2039" i="1"/>
  <c r="G1830" i="1"/>
  <c r="G2150" i="1"/>
  <c r="G256" i="1"/>
  <c r="G1118" i="1"/>
  <c r="G1023" i="1"/>
  <c r="G1279" i="1"/>
  <c r="G1535" i="1"/>
  <c r="G1791" i="1"/>
  <c r="G1784" i="1"/>
  <c r="G2044" i="1"/>
  <c r="G1967" i="1"/>
  <c r="G1532" i="1"/>
  <c r="G1981" i="1"/>
  <c r="G1636" i="1"/>
  <c r="G1264" i="1"/>
  <c r="G1834" i="1"/>
  <c r="G2010" i="1"/>
  <c r="G932" i="1"/>
  <c r="G2099" i="1"/>
  <c r="G1043" i="1"/>
  <c r="G1683" i="1"/>
  <c r="G2128" i="1"/>
  <c r="G1873" i="1"/>
  <c r="G623" i="1"/>
  <c r="G2062" i="1"/>
  <c r="G2142" i="1"/>
  <c r="G1856" i="1"/>
  <c r="G1536" i="1"/>
  <c r="G991" i="1"/>
  <c r="G1507" i="1"/>
  <c r="G1672" i="1"/>
  <c r="G1883" i="1"/>
  <c r="G1953" i="1"/>
  <c r="G1152" i="1"/>
  <c r="G1603" i="1"/>
  <c r="G1716" i="1"/>
  <c r="G915" i="1"/>
  <c r="G1459" i="1"/>
  <c r="G1480" i="1"/>
  <c r="G1604" i="1"/>
  <c r="G1905" i="1"/>
  <c r="G960" i="1"/>
  <c r="G1027" i="1"/>
  <c r="G1280" i="1"/>
  <c r="G2147" i="1"/>
  <c r="G1937" i="1"/>
  <c r="G2126" i="1"/>
  <c r="G2048" i="1"/>
  <c r="G1571" i="1"/>
  <c r="G2071" i="1"/>
  <c r="G1032" i="1"/>
  <c r="G1523" i="1"/>
  <c r="G1969" i="1"/>
  <c r="G1091" i="1"/>
  <c r="G1907" i="1"/>
  <c r="G1663" i="1"/>
  <c r="G1020" i="1"/>
  <c r="G1914" i="1"/>
  <c r="G1363" i="1"/>
  <c r="G1806" i="1"/>
  <c r="G1251" i="1"/>
  <c r="G2016" i="1"/>
  <c r="G1748" i="1"/>
  <c r="G1968" i="1"/>
  <c r="G2107" i="1"/>
  <c r="G376" i="1"/>
  <c r="G950" i="1"/>
  <c r="G1082" i="1"/>
  <c r="G2052" i="1"/>
  <c r="G1545" i="1"/>
  <c r="G1192" i="1"/>
  <c r="G1204" i="1"/>
  <c r="G539" i="1"/>
  <c r="G1948" i="1"/>
  <c r="G815" i="1"/>
  <c r="G1911" i="1"/>
  <c r="G1356" i="1"/>
  <c r="G1985" i="1"/>
  <c r="G1676" i="1"/>
  <c r="G1326" i="1"/>
  <c r="G1902" i="1"/>
  <c r="G456" i="1"/>
  <c r="G1114" i="1"/>
  <c r="G1764" i="1"/>
  <c r="G891" i="1"/>
  <c r="G2024" i="1"/>
  <c r="G1632" i="1"/>
  <c r="G1215" i="1"/>
  <c r="G1732" i="1"/>
  <c r="G1776" i="1"/>
  <c r="G1936" i="1"/>
  <c r="G1950" i="1"/>
  <c r="G1379" i="1"/>
  <c r="G2067" i="1"/>
  <c r="G2096" i="1"/>
  <c r="G1646" i="1"/>
  <c r="G441" i="1"/>
  <c r="G311" i="1"/>
  <c r="G837" i="1"/>
  <c r="G579" i="1"/>
  <c r="G953" i="1"/>
  <c r="G1138" i="1"/>
  <c r="G1249" i="1"/>
  <c r="G1574" i="1"/>
  <c r="G1589" i="1"/>
  <c r="G1594" i="1"/>
  <c r="G923" i="1"/>
  <c r="G1240" i="1"/>
  <c r="G2083" i="1"/>
  <c r="G1941" i="1"/>
  <c r="G976" i="1"/>
  <c r="G2034" i="1"/>
  <c r="G1769" i="1"/>
  <c r="G1230" i="1"/>
  <c r="G1067" i="1"/>
  <c r="G1387" i="1"/>
  <c r="G1755" i="1"/>
  <c r="G1832" i="1"/>
  <c r="G2152" i="1"/>
  <c r="G1388" i="1"/>
  <c r="G2025" i="1"/>
  <c r="G2091" i="1"/>
  <c r="G1878" i="1"/>
  <c r="G1476" i="1"/>
  <c r="G644" i="1"/>
  <c r="G1310" i="1"/>
  <c r="G1055" i="1"/>
  <c r="G1311" i="1"/>
  <c r="G1567" i="1"/>
  <c r="G847" i="1"/>
  <c r="G1820" i="1"/>
  <c r="G2076" i="1"/>
  <c r="G2059" i="1"/>
  <c r="G1660" i="1"/>
  <c r="G2013" i="1"/>
  <c r="G1855" i="1"/>
  <c r="G1392" i="1"/>
  <c r="G1850" i="1"/>
  <c r="G1332" i="1"/>
  <c r="G1107" i="1"/>
  <c r="G655" i="1"/>
  <c r="G1220" i="1"/>
  <c r="G1088" i="1"/>
  <c r="G1875" i="1"/>
  <c r="G1059" i="1"/>
  <c r="G1824" i="1"/>
  <c r="G1408" i="1"/>
  <c r="G1024" i="1"/>
  <c r="G1736" i="1"/>
  <c r="G1216" i="1"/>
  <c r="G2112" i="1"/>
  <c r="G1817" i="1"/>
  <c r="G1272" i="1"/>
  <c r="G1853" i="1"/>
  <c r="G2090" i="1"/>
  <c r="G1808" i="1"/>
  <c r="G2019" i="1"/>
  <c r="G1763" i="1"/>
  <c r="G2078" i="1"/>
  <c r="G1203" i="1"/>
  <c r="G1838" i="1"/>
  <c r="G1475" i="1"/>
  <c r="G326" i="1"/>
  <c r="G434" i="1"/>
  <c r="G646" i="1"/>
  <c r="G1463" i="1"/>
  <c r="G1891" i="1"/>
  <c r="G1243" i="1"/>
  <c r="G2095" i="1"/>
  <c r="G1440" i="1"/>
  <c r="G1183" i="1"/>
  <c r="G1148" i="1"/>
  <c r="G1946" i="1"/>
  <c r="G1872" i="1"/>
  <c r="G1822" i="1"/>
  <c r="G1315" i="1"/>
  <c r="G1867" i="1"/>
  <c r="G1267" i="1"/>
  <c r="G1492" i="1"/>
  <c r="G1921" i="1"/>
  <c r="G421" i="1"/>
  <c r="G982" i="1"/>
  <c r="G2084" i="1"/>
  <c r="G1874" i="1"/>
  <c r="G1259" i="1"/>
  <c r="G1897" i="1"/>
  <c r="G418" i="1"/>
  <c r="G1727" i="1"/>
  <c r="G1276" i="1"/>
  <c r="G1962" i="1"/>
  <c r="G1555" i="1"/>
  <c r="G1819" i="1"/>
  <c r="G1766" i="1"/>
  <c r="G2063" i="1"/>
  <c r="G1331" i="1"/>
  <c r="G1966" i="1"/>
  <c r="G358" i="1"/>
  <c r="G327" i="1"/>
  <c r="G110" i="1"/>
  <c r="G949" i="1"/>
  <c r="G969" i="1"/>
  <c r="G1170" i="1"/>
  <c r="G1313" i="1"/>
  <c r="G1606" i="1"/>
  <c r="G1621" i="1"/>
  <c r="G1626" i="1"/>
  <c r="G975" i="1"/>
  <c r="G1432" i="1"/>
  <c r="G924" i="1"/>
  <c r="G2021" i="1"/>
  <c r="G1104" i="1"/>
  <c r="G2098" i="1"/>
  <c r="G330" i="1"/>
  <c r="G1294" i="1"/>
  <c r="G1115" i="1"/>
  <c r="G1451" i="1"/>
  <c r="G1771" i="1"/>
  <c r="G1880" i="1"/>
  <c r="G1508" i="1"/>
  <c r="G1452" i="1"/>
  <c r="G2073" i="1"/>
  <c r="G928" i="1"/>
  <c r="G1894" i="1"/>
  <c r="G1847" i="1"/>
  <c r="G790" i="1"/>
  <c r="G1374" i="1"/>
  <c r="G1087" i="1"/>
  <c r="G1343" i="1"/>
  <c r="G1599" i="1"/>
  <c r="G1016" i="1"/>
  <c r="G1852" i="1"/>
  <c r="G2108" i="1"/>
  <c r="G2155" i="1"/>
  <c r="G1786" i="1"/>
  <c r="G2045" i="1"/>
  <c r="G1951" i="1"/>
  <c r="G1456" i="1"/>
  <c r="G1882" i="1"/>
  <c r="G2042" i="1"/>
  <c r="G1524" i="1"/>
  <c r="G1641" i="1"/>
  <c r="G1171" i="1"/>
  <c r="G1096" i="1"/>
  <c r="G2023" i="1"/>
  <c r="G2001" i="1"/>
  <c r="G1344" i="1"/>
  <c r="G1188" i="1"/>
  <c r="G947" i="1"/>
  <c r="G1780" i="1"/>
  <c r="G2110" i="1"/>
  <c r="G1123" i="1"/>
  <c r="G1635" i="1"/>
  <c r="G1888" i="1"/>
  <c r="G908" i="1"/>
  <c r="G2081" i="1"/>
  <c r="G1664" i="1"/>
  <c r="G1792" i="1"/>
  <c r="G1788" i="1"/>
  <c r="G1075" i="1"/>
  <c r="G1587" i="1"/>
  <c r="G1840" i="1"/>
  <c r="G2123" i="1"/>
  <c r="G2033" i="1"/>
  <c r="G1472" i="1"/>
  <c r="G1572" i="1"/>
  <c r="G1219" i="1"/>
  <c r="G1979" i="1"/>
  <c r="G2046" i="1"/>
  <c r="G1665" i="1"/>
  <c r="G1515" i="1"/>
  <c r="G2006" i="1"/>
  <c r="G1365" i="1"/>
  <c r="G1151" i="1"/>
  <c r="G1916" i="1"/>
  <c r="G2151" i="1"/>
  <c r="G1134" i="1"/>
  <c r="G1411" i="1"/>
  <c r="G1300" i="1"/>
  <c r="G1228" i="1"/>
  <c r="G357" i="1"/>
  <c r="G1564" i="1"/>
  <c r="G1579" i="1"/>
  <c r="G2022" i="1"/>
  <c r="G1400" i="1"/>
  <c r="G2141" i="1"/>
  <c r="G1427" i="1"/>
  <c r="G1539" i="1"/>
  <c r="G2080" i="1"/>
  <c r="G1779" i="1"/>
  <c r="G1667" i="1"/>
  <c r="G1265" i="1"/>
  <c r="G774" i="1"/>
  <c r="G1692" i="1"/>
  <c r="G1627" i="1"/>
  <c r="G2086" i="1"/>
  <c r="G1471" i="1"/>
  <c r="G1917" i="1"/>
  <c r="G1959" i="1"/>
  <c r="G1731" i="1"/>
  <c r="G1825" i="1"/>
  <c r="G968" i="1"/>
  <c r="G66" i="1"/>
  <c r="G195" i="1"/>
  <c r="G492" i="1"/>
  <c r="G466" i="1"/>
  <c r="G304" i="1"/>
  <c r="G64" i="1"/>
  <c r="G1474" i="1"/>
  <c r="G1617" i="1"/>
  <c r="G197" i="1"/>
  <c r="G599" i="1"/>
  <c r="G651" i="1"/>
  <c r="G1207" i="1"/>
  <c r="G1876" i="1"/>
  <c r="G988" i="1"/>
  <c r="G2085" i="1"/>
  <c r="G1424" i="1"/>
  <c r="G2130" i="1"/>
  <c r="G675" i="1"/>
  <c r="G1550" i="1"/>
  <c r="G1131" i="1"/>
  <c r="G1499" i="1"/>
  <c r="G936" i="1"/>
  <c r="G1896" i="1"/>
  <c r="G1859" i="1"/>
  <c r="G1708" i="1"/>
  <c r="G2089" i="1"/>
  <c r="G1120" i="1"/>
  <c r="G1958" i="1"/>
  <c r="G1903" i="1"/>
  <c r="G1281" i="1"/>
  <c r="G1630" i="1"/>
  <c r="G1135" i="1"/>
  <c r="G1391" i="1"/>
  <c r="G1647" i="1"/>
  <c r="G1208" i="1"/>
  <c r="G1900" i="1"/>
  <c r="G2156" i="1"/>
  <c r="G956" i="1"/>
  <c r="G1837" i="1"/>
  <c r="G2093" i="1"/>
  <c r="G2103" i="1"/>
  <c r="G1520" i="1"/>
  <c r="G1898" i="1"/>
  <c r="G2074" i="1"/>
  <c r="G1684" i="1"/>
  <c r="G942" i="1"/>
  <c r="G1299" i="1"/>
  <c r="G1352" i="1"/>
  <c r="G671" i="1"/>
  <c r="G2065" i="1"/>
  <c r="G1600" i="1"/>
  <c r="G1827" i="1"/>
  <c r="G1283" i="1"/>
  <c r="G130" i="1"/>
  <c r="G1971" i="1"/>
  <c r="G1187" i="1"/>
  <c r="G1699" i="1"/>
  <c r="G1952" i="1"/>
  <c r="G1164" i="1"/>
  <c r="G2145" i="1"/>
  <c r="G1886" i="1"/>
  <c r="G1984" i="1"/>
  <c r="G1982" i="1"/>
  <c r="G1139" i="1"/>
  <c r="G1651" i="1"/>
  <c r="G1904" i="1"/>
  <c r="G972" i="1"/>
  <c r="G2097" i="1"/>
  <c r="G1728" i="1"/>
  <c r="G1923" i="1"/>
  <c r="G1347" i="1"/>
  <c r="G1292" i="1"/>
  <c r="G980" i="1"/>
  <c r="G211" i="1"/>
  <c r="G65" i="1"/>
  <c r="G961" i="1"/>
  <c r="G432" i="1"/>
  <c r="G325" i="1"/>
  <c r="G1522" i="1"/>
  <c r="G580" i="1"/>
  <c r="G727" i="1"/>
  <c r="G779" i="1"/>
  <c r="G1239" i="1"/>
  <c r="G1892" i="1"/>
  <c r="G1372" i="1"/>
  <c r="G2101" i="1"/>
  <c r="G1680" i="1"/>
  <c r="G1428" i="1"/>
  <c r="G1261" i="1"/>
  <c r="G1742" i="1"/>
  <c r="G1195" i="1"/>
  <c r="G1128" i="1"/>
  <c r="G1960" i="1"/>
  <c r="G1184" i="1"/>
  <c r="G2087" i="1"/>
  <c r="G114" i="1"/>
  <c r="G1407" i="1"/>
  <c r="G996" i="1"/>
  <c r="G2109" i="1"/>
  <c r="G1863" i="1"/>
  <c r="G2129" i="1"/>
  <c r="G1262" i="1"/>
  <c r="G1044" i="1"/>
  <c r="G575" i="1"/>
  <c r="G2" i="1"/>
  <c r="G589" i="1"/>
  <c r="G662" i="1"/>
  <c r="G1156" i="1"/>
  <c r="G1782" i="1"/>
  <c r="G1833" i="1"/>
  <c r="G1625" i="1"/>
  <c r="G1439" i="1"/>
  <c r="G1364" i="1"/>
  <c r="G1712" i="1"/>
  <c r="G1454" i="1"/>
  <c r="G1108" i="1"/>
  <c r="G1518" i="1"/>
  <c r="G1380" i="1"/>
  <c r="G2032" i="1"/>
  <c r="G1390" i="1"/>
  <c r="G637" i="1"/>
  <c r="G683" i="1"/>
  <c r="G1495" i="1"/>
  <c r="G1935" i="1"/>
  <c r="G1448" i="1"/>
  <c r="G1396" i="1"/>
  <c r="G939" i="1"/>
  <c r="G1980" i="1"/>
  <c r="G767" i="1"/>
  <c r="G2138" i="1"/>
  <c r="G1612" i="1"/>
  <c r="G916" i="1"/>
  <c r="G2144" i="1"/>
  <c r="G1857" i="1"/>
  <c r="G1740" i="1"/>
  <c r="G2113" i="1"/>
</calcChain>
</file>

<file path=xl/sharedStrings.xml><?xml version="1.0" encoding="utf-8"?>
<sst xmlns="http://schemas.openxmlformats.org/spreadsheetml/2006/main" count="33477" uniqueCount="11431">
  <si>
    <t>Topic</t>
  </si>
  <si>
    <t>A DISCOM in Delhi avails Medium Term Open Access- for drawaing 100 MW from an embedded generator in Gujarat. What losses would be applied to work out the schedules of Delhi DISCOM?</t>
  </si>
  <si>
    <t>Injection PoC Loss of Gujarat and Withdrawal PoC Loss of Gujarat</t>
  </si>
  <si>
    <t>Injection PoC Loss of Gujarat,Withdrawal PoC Loss of Delhi, STU Loss of Delhi and Gujarat</t>
  </si>
  <si>
    <t>Injection PoC Loss of Gujarat,Withdrawal PoC Loss of Gujarat, STU Loss of Delhi</t>
  </si>
  <si>
    <t>Withdrawal PoC Loss of Gujarat, STU Loss of Delhi</t>
  </si>
  <si>
    <t>A Generator in Assam is having a STOA-bilateral contract of 100 MW with Punjab through NER-ER-NR route.  Injection PoC Loss of Assam = 2% and Withdrawal PoC Loss of Punjab is 4%. What should be the schedule at ER-NR Boundary?</t>
  </si>
  <si>
    <t>98 MW</t>
  </si>
  <si>
    <t>100 MW</t>
  </si>
  <si>
    <t>94.08 MW</t>
  </si>
  <si>
    <t>102.04 MW</t>
  </si>
  <si>
    <t>A Generator in Karnataka is having a STOA-Bilateral contract of 100 MW with Haryana through SR-WR-NR.  Injection PoC Loss of Karnataka = 3% and Withdrawal PoC Loss of Haryana is 1%. What should be the injection schedule for generator at Karnataka-SR ISTS Boundary?</t>
  </si>
  <si>
    <t>103.09 MW</t>
  </si>
  <si>
    <t>97 MW</t>
  </si>
  <si>
    <t>96.03 MW</t>
  </si>
  <si>
    <t>A Generator in Karnataka is having a STOA-Bilateral contract of 100 MW with Haryana through SR-WR-NR.  Injection PoC Loss of Karnataka = 3% and Withdrawal PoC Loss of Haryana is 1%. What should be the schedule at WR-NR Boundary?</t>
  </si>
  <si>
    <t>An entity is having a long term access for drawl of 1000 MW. It buys 100 MW in STOA-Bilateral and sells 100 MW in STOA-Collective. What should be the datum for calculating transmission deviation charge?</t>
  </si>
  <si>
    <t>"0, 1000"</t>
  </si>
  <si>
    <t>"-100, 1000"</t>
  </si>
  <si>
    <t>"-100, 1100"</t>
  </si>
  <si>
    <t>"0, 1100"</t>
  </si>
  <si>
    <t>An entity is having a long term access of 1000 MW, MTOA of 500 MW and STOA of 500 MW (all contracts for withdrawal). What should be the Approved Withdrawal?</t>
  </si>
  <si>
    <t>1500 MW</t>
  </si>
  <si>
    <t>1000 MW</t>
  </si>
  <si>
    <t>2000 MW</t>
  </si>
  <si>
    <t>500 MW</t>
  </si>
  <si>
    <t>An entity with withdrawal LTA of 1000 MW and sells 100 MW in STOA throughout the day. It injects 100 MW into grid for 1 hour. What transmission charge should be paid by the generator for deviation? Withdrawal PoC  = 34.72 Rs/MW/time block</t>
  </si>
  <si>
    <t>Rs 278</t>
  </si>
  <si>
    <t>Rs 347</t>
  </si>
  <si>
    <t>Rs 541</t>
  </si>
  <si>
    <t>No Deviation Charge</t>
  </si>
  <si>
    <t>As a part of transition to the new PoC based transmission pricing methodology, the recovery of YTC shall be based on ……………….Method.</t>
  </si>
  <si>
    <t>Contract Path</t>
  </si>
  <si>
    <t>Uniform</t>
  </si>
  <si>
    <t>Hybrid methodology</t>
  </si>
  <si>
    <t>Both B&amp;C</t>
  </si>
  <si>
    <t>As per Sharing of Inter State Transmission Charges and Losses Regulations, which part of bill handles the charges on account of deviations from approved injection / withdrawal?</t>
  </si>
  <si>
    <t>Third</t>
  </si>
  <si>
    <t>Fourth</t>
  </si>
  <si>
    <t>First</t>
  </si>
  <si>
    <t>Second</t>
  </si>
  <si>
    <t>As per Sharing of Inter State Transmission Charges and Losses Regulations, Which part of bill handles the charges on account of reschedluling of DOCO of transmission assets?</t>
  </si>
  <si>
    <t xml:space="preserve">As per the provisions of the regulation, YTC from the year 2013-14 will be revised </t>
  </si>
  <si>
    <t>Half Yearly</t>
  </si>
  <si>
    <t>Quarterly</t>
  </si>
  <si>
    <t>Monthly</t>
  </si>
  <si>
    <t>Yearly</t>
  </si>
  <si>
    <t>As per the provisions of the Sharing of Inter-State Charges Regulations, Inter State Generating Stations which are absent in the truncated network due to the truncation philoshiphy, will be charged as per the…………..</t>
  </si>
  <si>
    <t>Zonal PoC Charges of its geographical location</t>
  </si>
  <si>
    <t>Nearest Nodal PoC Charges</t>
  </si>
  <si>
    <t>No truncation of network done</t>
  </si>
  <si>
    <t>Zero PoC Rate</t>
  </si>
  <si>
    <t>As per the provisions of the Sharing of Inter-State Charges Regulations, 'Target Region' means the region to which a generator proposes to sell power after obtaining ------------------access from CTU</t>
  </si>
  <si>
    <t>Short Term</t>
  </si>
  <si>
    <t xml:space="preserve">Medium Term </t>
  </si>
  <si>
    <t xml:space="preserve">Long Term </t>
  </si>
  <si>
    <t>Both Long trm and medium term</t>
  </si>
  <si>
    <t>As per the provisions of the Sharing of Inter-State Charges Regulations, Uniform Charge is calculated for</t>
  </si>
  <si>
    <t>Each Region</t>
  </si>
  <si>
    <t>All India</t>
  </si>
  <si>
    <t>NEW &amp; SR Grid Separately</t>
  </si>
  <si>
    <t>None of these</t>
  </si>
  <si>
    <t>As per the provisions of the Sharing of Inter-State Charges Regulations, what charges would have to be paid by a generator who has been granted Long term Access to a target region without identified beneficiaries?</t>
  </si>
  <si>
    <t>PoC Injection charge plus the lowest of the PoC demand charge among all the DICs in the target region</t>
  </si>
  <si>
    <t>PoC Injection Charge +Reliability support charges+HVDC charges</t>
  </si>
  <si>
    <t>PoC Injection charge and Demand PoC Charges for MTOA to the target region for which LTA has been granted to the generator</t>
  </si>
  <si>
    <t>none of these</t>
  </si>
  <si>
    <t>As per the provisions of the Sharing of Inter-State Charges Regulations, what is the summation of Loss Allocation Factors for all the nodes of a grid?</t>
  </si>
  <si>
    <t>As per the provisions of the Sharing of Inter-State Charges Regulations, what quantum is to be considered for the computaton of appoved injection where the generator has been considered in coordinated planning by CTU and long term access has not been specifically granted by the CTU.</t>
  </si>
  <si>
    <t>Installed capacity of the generating unit only</t>
  </si>
  <si>
    <t>Installed capacity of the generating unit excluding the auxiliary consumption</t>
  </si>
  <si>
    <t>Installed capacity of the generating unit including the auxiliary consumption</t>
  </si>
  <si>
    <t>As per the provisions of the Sharing of Inter-State Charges Regulations, which of the following is not a member of Validation Committee?</t>
  </si>
  <si>
    <t>CTU</t>
  </si>
  <si>
    <t>CEA</t>
  </si>
  <si>
    <t>DISCOMS</t>
  </si>
  <si>
    <t>NLDC</t>
  </si>
  <si>
    <t>As per the provisions of the Sharing of Inter-State Charges Regulations. which of the following is not in the scope of validation committee</t>
  </si>
  <si>
    <t>Validation of Basic Network</t>
  </si>
  <si>
    <t>Validation of Load Flow Results</t>
  </si>
  <si>
    <t>Validation of Yearly Transmission Charges</t>
  </si>
  <si>
    <t>Validation of demand data</t>
  </si>
  <si>
    <t>Gazuwaka HVDC Charges are shared by the entities of…….</t>
  </si>
  <si>
    <t>Southern Region</t>
  </si>
  <si>
    <t>Eastern region</t>
  </si>
  <si>
    <t>NEWS Grid</t>
  </si>
  <si>
    <t>Orissa and Andhra Pradesh</t>
  </si>
  <si>
    <t>How many PoC slabs are approved by CERC for 2015-16 ?</t>
  </si>
  <si>
    <t>If payment of Transmission Bills is made within one (1) working day of presentation of the Bill, a rebate of ……... shall be allowed, provided Letter of Credit is opened.</t>
  </si>
  <si>
    <t>Moderation of POC loss % is done on ……….. basis based on SEM data.</t>
  </si>
  <si>
    <t>Daily</t>
  </si>
  <si>
    <t>RPCs shall issue RTDA (Regional Transmission Deviation Account) for previous month  by ------- of every month to all designated ISTS Customers, CTU and other ISTS Licensees.</t>
  </si>
  <si>
    <t>3rd</t>
  </si>
  <si>
    <t>7th</t>
  </si>
  <si>
    <t>10th</t>
  </si>
  <si>
    <t>15th</t>
  </si>
  <si>
    <t>Slack bus of a Generator Bus is……..</t>
  </si>
  <si>
    <t>Generator Bus</t>
  </si>
  <si>
    <t>Load Bus</t>
  </si>
  <si>
    <t>Either a Generator bus or a Load bus</t>
  </si>
  <si>
    <t>Bus of highest fault level</t>
  </si>
  <si>
    <t>Slack bus of a Load Bus is……..</t>
  </si>
  <si>
    <t>Talcher-Kolar HVDC Charges are shared by the entities of…….</t>
  </si>
  <si>
    <t>NEW Grid</t>
  </si>
  <si>
    <t>Both Southern and NEW Grid</t>
  </si>
  <si>
    <t>Karnataka and Orissa</t>
  </si>
  <si>
    <t>Transmission Charges for Long Term and Medium Term Open Access in ISTS are expressed in _________</t>
  </si>
  <si>
    <t>Rs/MWh</t>
  </si>
  <si>
    <t>Rs/MW/Month</t>
  </si>
  <si>
    <t>Rs/MW/Day</t>
  </si>
  <si>
    <t>Rs/MW/Quarter</t>
  </si>
  <si>
    <t xml:space="preserve">Under PoC Methodology, the philosophy for ISTS transmission charges for Short Term Transactions is based on </t>
  </si>
  <si>
    <t>MW Mile</t>
  </si>
  <si>
    <t>Postage Stamp</t>
  </si>
  <si>
    <t>Point of Connection</t>
  </si>
  <si>
    <t>Upto what voltage level is the basic network  truncated in NER?</t>
  </si>
  <si>
    <t>no truncation done</t>
  </si>
  <si>
    <t>Upto what voltage level the basic network is truncated in NR,ER,WR and SR?</t>
  </si>
  <si>
    <t>What is the additional charge in case the deviation from the approved injection / withdrawal is more than 20%.</t>
  </si>
  <si>
    <t>The change in overall system losses per unit of injection / withdrawal at  each node  termed as?</t>
  </si>
  <si>
    <t>Loss Allocation Factor</t>
  </si>
  <si>
    <t>Marginal Loss Factor</t>
  </si>
  <si>
    <t>Weighted Loss Factor</t>
  </si>
  <si>
    <t>Penalty Factor</t>
  </si>
  <si>
    <t>What is the date from which PoC Charges and Losses have become applicable?</t>
  </si>
  <si>
    <t>1st April 2011</t>
  </si>
  <si>
    <t>1st January 2011</t>
  </si>
  <si>
    <t>15th June 2010</t>
  </si>
  <si>
    <t>1st July 2011</t>
  </si>
  <si>
    <t>What is the difference between two adjacent slabs in the PoC Loss Slabs?</t>
  </si>
  <si>
    <t>What is the rate at which deviation beyond 120% of Approved Injection / Approved Withdarwal is charged?</t>
  </si>
  <si>
    <t>PoC Rate of the applicable zone</t>
  </si>
  <si>
    <t>1.25 times the PoC Rate of the applicable zone</t>
  </si>
  <si>
    <t>1.20 times the PoC Rate of the applicable zone</t>
  </si>
  <si>
    <t>1.50 times the PoC Rate of the applicable zone</t>
  </si>
  <si>
    <t>What rebate shall be allowed to the DICs for payment of transmission charge bill within one month?</t>
  </si>
  <si>
    <t>Which agency has been designated as the Implementing Agency (IA) for computation of PoC Transmission Charges?</t>
  </si>
  <si>
    <t>RPC</t>
  </si>
  <si>
    <t>Which agreement with Designated ISTS Customers governs the provisions related to payment for ISTS transmission services?</t>
  </si>
  <si>
    <t>Power Purchase Agreement (PPA)</t>
  </si>
  <si>
    <t>Transmission Service Agreement (TSA)</t>
  </si>
  <si>
    <t>Bulk Power Agreement (BPA)</t>
  </si>
  <si>
    <t>Connection Agreement (CA)</t>
  </si>
  <si>
    <t>Which agreement with ISTS Licensees governs the provisions related to sharing of transmission services?</t>
  </si>
  <si>
    <t>Revenue Sharing Agreement (RSA)</t>
  </si>
  <si>
    <t>Which method is used for computing Point of Connection Charges?</t>
  </si>
  <si>
    <t>Average Participation</t>
  </si>
  <si>
    <t>Hybrid Method</t>
  </si>
  <si>
    <t>Marginal Participation</t>
  </si>
  <si>
    <t>Locational Marginal Pricing</t>
  </si>
  <si>
    <t>Which of the following entities are required to sign TSA?</t>
  </si>
  <si>
    <t>DICs</t>
  </si>
  <si>
    <t>ISTS Licensees</t>
  </si>
  <si>
    <t xml:space="preserve">Non-ISTS Licensees whose assets are certified by RPC  as being used for ISTS </t>
  </si>
  <si>
    <t>All of these entities</t>
  </si>
  <si>
    <t>Which of the following is not a Designated ISTS Customer (DIC) ?</t>
  </si>
  <si>
    <t>Generator</t>
  </si>
  <si>
    <t>STU/SEB</t>
  </si>
  <si>
    <t>Bulk Consumer</t>
  </si>
  <si>
    <t>ISTS Licensee</t>
  </si>
  <si>
    <t>Which of the following is/are included in approved Injection / Withdrawal?</t>
  </si>
  <si>
    <t>LTA+MTOA</t>
  </si>
  <si>
    <t>Only LTA</t>
  </si>
  <si>
    <t>LTA+MTOA+STOA</t>
  </si>
  <si>
    <t>LTA+STOA+DSM</t>
  </si>
  <si>
    <t xml:space="preserve">Which of the following type of generation as of now is exempted for payment of POC charges for ISTS </t>
  </si>
  <si>
    <t>Wind &amp; Solar</t>
  </si>
  <si>
    <t>Hydro only</t>
  </si>
  <si>
    <t>Solar &amp; e-bid RLNG</t>
  </si>
  <si>
    <t>Solar only</t>
  </si>
  <si>
    <t>Which part of bill handles the change in FERV?</t>
  </si>
  <si>
    <t>Which part of bill handles the charges on account of deviations from approved injection / withdrawal?</t>
  </si>
  <si>
    <t>Who determines the tariff for Inter State Transmission System?</t>
  </si>
  <si>
    <t>SERC</t>
  </si>
  <si>
    <t>CERC</t>
  </si>
  <si>
    <t>Who determines the tariff for Intra State Transmission System?</t>
  </si>
  <si>
    <t>Who is responsible for billing, collection and disbursement of PoC Transmission Charges?</t>
  </si>
  <si>
    <t>STU</t>
  </si>
  <si>
    <t>Who is responsible for issuance of monthly regional transmission accounts?</t>
  </si>
  <si>
    <t>RLDC</t>
  </si>
  <si>
    <t xml:space="preserve">CERC </t>
  </si>
  <si>
    <t>Who is the Central Transmission Utility of India?</t>
  </si>
  <si>
    <t>Power Grid Corporation of India Limited</t>
  </si>
  <si>
    <t>National Load Despatch Centre</t>
  </si>
  <si>
    <t>Central Electricity Regulatory Commission</t>
  </si>
  <si>
    <t>Central Electricity Authority</t>
  </si>
  <si>
    <t>Who is/are party to Revenue Sharing Agreement (RSA) ?</t>
  </si>
  <si>
    <t>Designated ISTS Customers</t>
  </si>
  <si>
    <t>Generators</t>
  </si>
  <si>
    <t>ISTS Licensees and Non-ISTS Licensees whose assets are certified as being used for ISTS</t>
  </si>
  <si>
    <t>Implementing Agency</t>
  </si>
  <si>
    <t>Who validates Basic Network, nodal generation, nodal demand and the load flow results?</t>
  </si>
  <si>
    <t>Implementation Committee</t>
  </si>
  <si>
    <t>Verification Committee</t>
  </si>
  <si>
    <t>Supervising Committee</t>
  </si>
  <si>
    <t>Validation Committee</t>
  </si>
  <si>
    <t>Who will certify the Non-ISTS Lines which are carrying inter state power ?</t>
  </si>
  <si>
    <t>Who will pay the PoC charges on account of deviation beyond 120% of approved injection.</t>
  </si>
  <si>
    <t>Load</t>
  </si>
  <si>
    <t xml:space="preserve"> Generator</t>
  </si>
  <si>
    <t>Both Generator and Load</t>
  </si>
  <si>
    <t>Application period of ISTS Charges &amp; Loss is a duration of _____years/months</t>
  </si>
  <si>
    <t>1year</t>
  </si>
  <si>
    <t>6 months</t>
  </si>
  <si>
    <t>3 months</t>
  </si>
  <si>
    <t>1 month</t>
  </si>
  <si>
    <t>Only (1)</t>
  </si>
  <si>
    <t>Only (2)</t>
  </si>
  <si>
    <t>both (3) &amp; (4)</t>
  </si>
  <si>
    <t>None of the above</t>
  </si>
  <si>
    <t>Reliability Support charge is calculated for recovery of ___% of MTC charge.</t>
  </si>
  <si>
    <t>Total HVDC charge is recovered through --%HVDC charge &amp; --%reliability support charge</t>
  </si>
  <si>
    <t>50,50</t>
  </si>
  <si>
    <t>60,40</t>
  </si>
  <si>
    <t>90, 10</t>
  </si>
  <si>
    <t>HVDC charge is expressed  in _______</t>
  </si>
  <si>
    <t>Rs/Month</t>
  </si>
  <si>
    <t>Paise/Kwh</t>
  </si>
  <si>
    <t>Marginal Participation of HVDC system is _______</t>
  </si>
  <si>
    <t>depends on marginal change in flow wrt change in load/generation.</t>
  </si>
  <si>
    <t>zero</t>
  </si>
  <si>
    <t>less than that of AC system &amp; depends on the power order</t>
  </si>
  <si>
    <t xml:space="preserve"> (1)&amp;(3)</t>
  </si>
  <si>
    <t>both 1&amp;2</t>
  </si>
  <si>
    <t>What is the deviation limit with respect to submission of demamd /injection data to Implementing Agency for two consecutive quarter beyond which it shall be treated as gamaing under sharing regulations.</t>
  </si>
  <si>
    <t>+/- 30%</t>
  </si>
  <si>
    <t>+/-12% OR 150 MW</t>
  </si>
  <si>
    <t>+/- 20%</t>
  </si>
  <si>
    <t xml:space="preserve">What is the slab step size for PoC loss </t>
  </si>
  <si>
    <t>0.25% till next 3 years</t>
  </si>
  <si>
    <t>0.3% till nest 3 years</t>
  </si>
  <si>
    <t>0.25%  till next two years</t>
  </si>
  <si>
    <t>0.% till 30th April 2017</t>
  </si>
  <si>
    <t>Only 1</t>
  </si>
  <si>
    <t>Both 1&amp;2</t>
  </si>
  <si>
    <t>Only 3</t>
  </si>
  <si>
    <t>All are correct</t>
  </si>
  <si>
    <t>3&amp;4</t>
  </si>
  <si>
    <t xml:space="preserve">All are correct </t>
  </si>
  <si>
    <t>1&amp;2</t>
  </si>
  <si>
    <t>only 1,2</t>
  </si>
  <si>
    <t xml:space="preserve"> only 2,3</t>
  </si>
  <si>
    <t>only 1,2,4</t>
  </si>
  <si>
    <t>2 &amp;4</t>
  </si>
  <si>
    <t xml:space="preserve">1&amp;3 </t>
  </si>
  <si>
    <t>None is correct</t>
  </si>
  <si>
    <t>Zone is a group of _____having similar loss allocation factor &amp; marginal participation factor</t>
  </si>
  <si>
    <t>Nodes</t>
  </si>
  <si>
    <t>generators</t>
  </si>
  <si>
    <t>loads</t>
  </si>
  <si>
    <t>all of them</t>
  </si>
  <si>
    <t>A Merchant Power plant has ____(1) tariff is not determined under Sec62/63 (2) no grid connectivity (3)  sells power in the open market.</t>
  </si>
  <si>
    <t>1 &amp; 3</t>
  </si>
  <si>
    <t xml:space="preserve">A 250 MW  plant in WR with LTA for selling 90 MW to NR, has submitted base case injection as 100 MW to Implementing agency. PoC injection charge shall be calculated based on _____MW </t>
  </si>
  <si>
    <t xml:space="preserve">90MW </t>
  </si>
  <si>
    <t xml:space="preserve">YTC for S/S is approtioned to associated transmission lines based on ______of the lines </t>
  </si>
  <si>
    <t>Conductor type</t>
  </si>
  <si>
    <t>Length in km</t>
  </si>
  <si>
    <t>both of avove</t>
  </si>
  <si>
    <t>none of above</t>
  </si>
  <si>
    <t>YTC for S/S approtioned to higher kV lines is __________of YTC apportioned to lower kV lines</t>
  </si>
  <si>
    <t>2/3 times</t>
  </si>
  <si>
    <t xml:space="preserve">2 times </t>
  </si>
  <si>
    <t>1/3 times</t>
  </si>
  <si>
    <t xml:space="preserve">3 times </t>
  </si>
  <si>
    <t>Who is resposible for drafting the Transmission Sharing Agreement(TSA) for approval of Commission under sharing regulations?</t>
  </si>
  <si>
    <t>MOP</t>
  </si>
  <si>
    <t>Who is resposible for drafting the Revenue Sharing Agreement(RSA) under sharing regulations?</t>
  </si>
  <si>
    <t>Who is resposible for drafting the Procedure for Billind Collection &amp; Disbursement of transmission charges nder sharing regulations?</t>
  </si>
  <si>
    <t>Who is responsible for making 'Procedure for Sharing of ISTS Transmission charges &amp; Loss' for approval of Commission?</t>
  </si>
  <si>
    <t>RLDCs</t>
  </si>
  <si>
    <t>Who prapares  Regional Transmission  Accounts &amp; on what periodicity?</t>
  </si>
  <si>
    <t>CERC, monthly</t>
  </si>
  <si>
    <t>RPC, Weekly</t>
  </si>
  <si>
    <t>RPC, monthly</t>
  </si>
  <si>
    <t>RLDCs, monthly</t>
  </si>
  <si>
    <t>The RTA is prepared by RPC within _______working days of issue of REA</t>
  </si>
  <si>
    <t>Regional Transmission  Deviation Accounts (RTDA) are prepared by_______  by _____th day of every month for the previous month by using SEM data.</t>
  </si>
  <si>
    <t xml:space="preserve">RLDC, 15th </t>
  </si>
  <si>
    <t>RPC, 15th day</t>
  </si>
  <si>
    <t>CERC, 15</t>
  </si>
  <si>
    <t>Who raises the bills against RTA / RTDA.</t>
  </si>
  <si>
    <t>Individual ISTS Licensee</t>
  </si>
  <si>
    <t>both of them</t>
  </si>
  <si>
    <t>None of them</t>
  </si>
  <si>
    <t>Expenses incurred by CTU for billing also forms a part of its YTC (TRUE/FALSE)</t>
  </si>
  <si>
    <t>The bill rased by CTU (based on  RTA) has ____ parts</t>
  </si>
  <si>
    <t>First part of the bill recovers charges for use of transmission assets of ISTS Licensees &amp; it has has 3 subparts Viz</t>
  </si>
  <si>
    <t>Charge towards LTA/MTOA</t>
  </si>
  <si>
    <t>Reliability Support Charge</t>
  </si>
  <si>
    <t>HVDC Charge</t>
  </si>
  <si>
    <t>CTU raises first part of bill within ____working days of issue of RTA by RPC</t>
  </si>
  <si>
    <t>2nd Part of the bill raised by CTU covers_______ &amp; applicable for _______ DICs only.</t>
  </si>
  <si>
    <t>Additional approved MTOA withdrawal, Demand DIC</t>
  </si>
  <si>
    <t>Additional approved MTOA injection, Injection DIC</t>
  </si>
  <si>
    <t xml:space="preserve">both </t>
  </si>
  <si>
    <t xml:space="preserve">none </t>
  </si>
  <si>
    <t xml:space="preserve">PoC rate for billing toward LTA &amp; MTOA is computed for (1) all Withdrawal nodes (2) Generator nodes that have LTA to target region (3) All nodes </t>
  </si>
  <si>
    <t xml:space="preserve">None </t>
  </si>
  <si>
    <t>3rd Part of the PoC charge bill raised by CTU is for  ________</t>
  </si>
  <si>
    <t xml:space="preserve">For Adjustment for FERV &amp; interest rate change, </t>
  </si>
  <si>
    <t xml:space="preserve">Resheduling of commissioning of Transmission Assets as allowed by the Commission </t>
  </si>
  <si>
    <t>none of them</t>
  </si>
  <si>
    <t>3rd Part of the PoC charge bill is raised by CTU ____times in a year on ____working day of _____ towards over/under recovery of POC charges.</t>
  </si>
  <si>
    <t>2, 1st, Mar, Sep</t>
  </si>
  <si>
    <t>4, 1st, Sep, Dec, March &amp; June for previous aplication period</t>
  </si>
  <si>
    <t>2, 1st, Jun, Dec</t>
  </si>
  <si>
    <t>___Part of the PoC charge bill is raised by CTU towards over/under recovery of POC, charges for previous quarter/application period.</t>
  </si>
  <si>
    <t>1st</t>
  </si>
  <si>
    <t>2nd</t>
  </si>
  <si>
    <t xml:space="preserve">4th </t>
  </si>
  <si>
    <t>Positive Average Deviation in injection by a generator (DIC) is charged at ______times the zonal PoC injection rate of that generator if deviation is more than ____%</t>
  </si>
  <si>
    <t>1.25, 120%</t>
  </si>
  <si>
    <t>1.25, 20%</t>
  </si>
  <si>
    <t>1.25, 25%</t>
  </si>
  <si>
    <t>CTU raises bill against RTDA within ____working days of publication of RTDA by the RPC.</t>
  </si>
  <si>
    <t>HVDC charge is applicable for Additional MTOA also.</t>
  </si>
  <si>
    <t>Over / Under recovery of HVDC charge is also adjusted like Transmission Charge for AC network in ______part of the bill.</t>
  </si>
  <si>
    <t>none</t>
  </si>
  <si>
    <t>For HVDC under a PPA that mandates that a part of the charge shall be borne by a DIC (Injection /WD as the case may be)</t>
  </si>
  <si>
    <t>Part of HVDC charge under PPA shall be shared in proportion to share as per PPA</t>
  </si>
  <si>
    <t>Rest part of the HVDC charge will be borne by all remaining DICs (other than those under PPA) by scaling up the YTC of AC system by that amount</t>
  </si>
  <si>
    <t>Only A is correct</t>
  </si>
  <si>
    <t>Both A &amp; B are correct</t>
  </si>
  <si>
    <t>A DIC was raised a bill of 40 Cr by CTU as Transmission Charge on 2.1.2016. It made a payment of 30 Cr on 2.2.16 &amp; rest 10 Cr on 3.2.16. What is rebate / surcharge payable by the DIC on the delayed payment ?</t>
  </si>
  <si>
    <t>Rebate amount = 30 Lakh, Delayed payment Surchrage= NIL</t>
  </si>
  <si>
    <t>Rebate amount = NIL ; Delayed payment Surchrage= NIL ;</t>
  </si>
  <si>
    <t>Rebate amount = 30 Lakh, Delayed payment Surchrage= 12.5 Lakh</t>
  </si>
  <si>
    <t>None</t>
  </si>
  <si>
    <t xml:space="preserve">A DIC was raised a bill of 40 Cr by CTU as Transmission Charge on 2.1.2016. It made a payment of 30 Cr on 15.2.16 &amp; rest 10 Cr on 10.3.16. What is rebate / surcharge payable by the DIC on the delayed payment </t>
  </si>
  <si>
    <t>Rebate amount = NIL  ; Delayed payment Surchrage=  1.5% on Rs.10Crs</t>
  </si>
  <si>
    <t>Rebate amount = NIL  ; Delayed payment Surchrage=  1.5% on Rs.40Crs</t>
  </si>
  <si>
    <t>Rebate amount = NIL  ; Delayed payment Surchrage=  1.5% on Rs.30Crs</t>
  </si>
  <si>
    <t>Rebate=Nil ; Surcharge=Nil</t>
  </si>
  <si>
    <t>A DIC was raised a bill of 40 Cr by CTU as Transmission Charge on 2.1.2016. It made a payment of 40 Cr on 15.2.16. What is due date &amp; rebate receivable by the DIC.</t>
  </si>
  <si>
    <t>40 Lakhs, 01.02.2016</t>
  </si>
  <si>
    <t>4 Crore , 01.02.2016</t>
  </si>
  <si>
    <t>40000,  01.02.2016</t>
  </si>
  <si>
    <t xml:space="preserve"> 01.02.2016, NIL</t>
  </si>
  <si>
    <t>No transmission charges and losses for the use of ISTS network shall be payable for the capacity of the generation projects based on solar resources if ……..</t>
  </si>
  <si>
    <t>the generation capacity has been awarded through competitive bidding</t>
  </si>
  <si>
    <t>COD declared during 1.7.2017 and 31.12.2019</t>
  </si>
  <si>
    <t xml:space="preserve">PPAs executed for sale of power to the DISCOMs for RPO compliance </t>
  </si>
  <si>
    <t xml:space="preserve"> All of  the above</t>
  </si>
  <si>
    <t>A competetitvely bid 100 MW solar generator  declared COD in 2018. It has a long term PPA till 2028 with a DISCOM-A for RPO compiance for 80 MW &amp; another long term PPA for RPO with DISCOM-B (20W) till 2044.It will be expempted from POC loss for-----MW till----- year.____</t>
  </si>
  <si>
    <t>20 MW, 2044</t>
  </si>
  <si>
    <t>80 MW, 2028 &amp; 20 MW, 2044</t>
  </si>
  <si>
    <t xml:space="preserve">100 MW till 2028 and 20 MW from 2028-2043 </t>
  </si>
  <si>
    <t>100 MW, 2028 and 20 MW from 2028-2044</t>
  </si>
  <si>
    <t>No transmission charges and losses for the use of ISTS network shall be payable for the capacity of the generation projects based on Wind resources if ……..</t>
  </si>
  <si>
    <t xml:space="preserve"> COD declared during 30.9.2016 till 31.3.2019</t>
  </si>
  <si>
    <t>All of  the above</t>
  </si>
  <si>
    <t>In 2017, a generator in WR has availed 100 MW LTA to NR as target region. From 1st Jan 2019, the generator was granted MTOA for 50 MW to Punjab. The generator's liability to pay POC charge for this LTA shall be adjusted for ____MW in the bill raised in___.</t>
  </si>
  <si>
    <t>100 MW, Jan 2019</t>
  </si>
  <si>
    <t>50 MW, Feb 2019</t>
  </si>
  <si>
    <t>50 MW Jan 2019</t>
  </si>
  <si>
    <t>No transmission charges/loss for the use of ISTS network shall be  charged/attrubuted  to 
incremental gas based generation from e-bid RLNG for the years ______</t>
  </si>
  <si>
    <t>2015-16</t>
  </si>
  <si>
    <t>2016-17</t>
  </si>
  <si>
    <t>2015 onwards till further notificication</t>
  </si>
  <si>
    <t>A &amp; B</t>
  </si>
  <si>
    <t>A DIC in WR is having 100 MW LTA to a target region NR. It avails STOA to ER for 120 MW in January 2019. It will get an offset against injection POC in Feb 2019 against _____MW</t>
  </si>
  <si>
    <t>A DIC in WR is having 100 MW LTA to a target region NR. It avails STOA to ER for 120 MW in January 2019. It pays Rs 14.4 lakh towards transmission charge for STOA and Rs 10 lakh as part payment of POC charge towards target LTA in Jan'2019. The max. offset in POC charge that the DIC will get in Feb'19 is____.</t>
  </si>
  <si>
    <t>14.4 lakh</t>
  </si>
  <si>
    <t>10 lakh</t>
  </si>
  <si>
    <t xml:space="preserve">No offset </t>
  </si>
  <si>
    <t>4.4 lakh</t>
  </si>
  <si>
    <t>The adjustment of STOA against LTA shall not be applicable if</t>
  </si>
  <si>
    <t>STOA transaction is done by an embeded entity within the DIC/state.</t>
  </si>
  <si>
    <t>STOA transaction is carried out by a portfolio  trader in the state for which it has availed target LTA</t>
  </si>
  <si>
    <t>both A&amp;B</t>
  </si>
  <si>
    <t>The CERC(sharing of ISTS Charge &amp; loss) regulation shall remain in force for another- years w.e.f. ----/----/----;</t>
  </si>
  <si>
    <t>10,1-Jul-2016</t>
  </si>
  <si>
    <t>5,1-Jul-2016</t>
  </si>
  <si>
    <t>7,1-Jul-2011</t>
  </si>
  <si>
    <t>10,1-Jul-2011</t>
  </si>
  <si>
    <t>DIC include intra-state entity having MTOA and LTA with ISTS, (True or False)</t>
  </si>
  <si>
    <t>Monthly transmission charges are inclusive of incentives as per TCT;
(True or False)</t>
  </si>
  <si>
    <t>POC charging method depends on 
the ---------;</t>
  </si>
  <si>
    <t>Location of the Node</t>
  </si>
  <si>
    <t>direction of flow</t>
  </si>
  <si>
    <t>both A &amp;B</t>
  </si>
  <si>
    <t>POC transmission charges mean</t>
  </si>
  <si>
    <t>Charges determind for Nodes/Zones as per hybrid methodology</t>
  </si>
  <si>
    <t>Charges as per postage stamp method</t>
  </si>
  <si>
    <t>LMP based charging</t>
  </si>
  <si>
    <t>Participation factor of a Node for a line means</t>
  </si>
  <si>
    <t xml:space="preserve">a normative ratio </t>
  </si>
  <si>
    <t xml:space="preserve">Percentage use of that line by the node </t>
  </si>
  <si>
    <t>Line availability factor</t>
  </si>
  <si>
    <t>Target region for a generator means</t>
  </si>
  <si>
    <t>MTOA has been availed by it but firm benificiary has not been tied up through PPA</t>
  </si>
  <si>
    <t>STOA has been availed by it but firm benificiary has not been tied up through PPA</t>
  </si>
  <si>
    <t xml:space="preserve"> LTA has been availed by it but firm benificiary has not been tied up through PPA</t>
  </si>
  <si>
    <t xml:space="preserve"> LTA has been availed by it and firm benificiary has been tied up through PPA</t>
  </si>
  <si>
    <t>For non-ISTS lines tariff considered for POC computation shall be</t>
  </si>
  <si>
    <t>Tariff determind by respective STU</t>
  </si>
  <si>
    <t>Tariff determind by respective SERC/CERC</t>
  </si>
  <si>
    <t>Tariff determind by respective DISCOM</t>
  </si>
  <si>
    <t>Tariff determind by respective Licensee</t>
  </si>
  <si>
    <t xml:space="preserve">Transmission chrges received by STUs under POC </t>
  </si>
  <si>
    <t>has no impact on its ARR</t>
  </si>
  <si>
    <t>shall be booked as profit</t>
  </si>
  <si>
    <t>shall proportionately reduce their revenue from ARR</t>
  </si>
  <si>
    <t>Implementing Agency computes POC charges and loss allocation factor for all DICs  on thhe basis of______</t>
  </si>
  <si>
    <t>YTC and transmission losses for intra-state transmission system</t>
  </si>
  <si>
    <t>YTC and transmission losses for both inter and intra-state transmission system</t>
  </si>
  <si>
    <t>YTC and transmission losses for Inter-state transmission system</t>
  </si>
  <si>
    <t>POC charges applied are subject to truing up (True or False)</t>
  </si>
  <si>
    <t xml:space="preserve">Transmission losses are apportioned on the basis of </t>
  </si>
  <si>
    <t>loss allocation factor</t>
  </si>
  <si>
    <t>Weekly losss determined from SEM data</t>
  </si>
  <si>
    <t>Transmission Availability Factor</t>
  </si>
  <si>
    <t xml:space="preserve">Sharing of trnasmission charges are based on the technical and commercial data provided by </t>
  </si>
  <si>
    <t>NLDC, RLDCs and SLDCs</t>
  </si>
  <si>
    <t>DICs, ISTS licensees, NLDC, RLDCs and SLDCs</t>
  </si>
  <si>
    <t>ISTS licensees only</t>
  </si>
  <si>
    <t>CTU only</t>
  </si>
  <si>
    <t xml:space="preserve">Basic network shall contain voltage level upto </t>
  </si>
  <si>
    <t>132 kV for all except the generators which are  at 110 kV</t>
  </si>
  <si>
    <t>400 kV and above</t>
  </si>
  <si>
    <t>220 kV and above</t>
  </si>
  <si>
    <t>765 kV and above</t>
  </si>
  <si>
    <t>Transmission losses  are estimated in advance and shall not be revised retrospectively, True or False</t>
  </si>
  <si>
    <t xml:space="preserve">YTC shall be apportioned to each voltage level and conductor type as per </t>
  </si>
  <si>
    <t>actual cost data from CTU/STU</t>
  </si>
  <si>
    <t>the indicative cost given by CTU at the beginning of each year</t>
  </si>
  <si>
    <t>A&amp;B</t>
  </si>
  <si>
    <t>A, B and C</t>
  </si>
  <si>
    <t>Power flow into lower voltage is considered as ------ and power from lower voltage is considerd as ------</t>
  </si>
  <si>
    <t>Load / Generation</t>
  </si>
  <si>
    <t>Load/Load</t>
  </si>
  <si>
    <t>Generation/Generation</t>
  </si>
  <si>
    <t>Which statements are true..(1)Dedidcated lines owned by ISTS licensee shall be considered as a part of basic network 92)Dedicated netwok  owned by generator shall not considered as part of ISTS network (3) generatore is considered as deemed to be connected with ISTS through dedicated line owned by it</t>
  </si>
  <si>
    <t>only 1</t>
  </si>
  <si>
    <t>1 &amp; 2 only</t>
  </si>
  <si>
    <t>3 only</t>
  </si>
  <si>
    <t>All are True</t>
  </si>
  <si>
    <t xml:space="preserve">Nodal generation information is based </t>
  </si>
  <si>
    <t xml:space="preserve">on the forecasted data considering LTA &amp; MTOA </t>
  </si>
  <si>
    <t xml:space="preserve">on the forecasted data considering LTA only </t>
  </si>
  <si>
    <t>on the forecasted data considering LTA,MTOA and STOA</t>
  </si>
  <si>
    <t>In case of difference of opinion on forecated generation and demand data who will take the final decision</t>
  </si>
  <si>
    <t>validation committee</t>
  </si>
  <si>
    <t xml:space="preserve">Implementing Agency, for POC charge computation, first runs ----- load flow with basic network </t>
  </si>
  <si>
    <t>AC</t>
  </si>
  <si>
    <t>DC</t>
  </si>
  <si>
    <t>AC-DC</t>
  </si>
  <si>
    <t>HVDC</t>
  </si>
  <si>
    <t>Validation committee shall validate the converged load flow ---- days before the application period for POC.</t>
  </si>
  <si>
    <t>2months</t>
  </si>
  <si>
    <t>15 days</t>
  </si>
  <si>
    <t>7 days</t>
  </si>
  <si>
    <t xml:space="preserve">Base data used for computation of marginal participation factor and loss allocation factor  are </t>
  </si>
  <si>
    <t>approved basic network</t>
  </si>
  <si>
    <t>Nodal demand</t>
  </si>
  <si>
    <t>Nodal generation</t>
  </si>
  <si>
    <t>all of the above</t>
  </si>
  <si>
    <t>YTC shall be revised on ------ basis</t>
  </si>
  <si>
    <t>quarterly</t>
  </si>
  <si>
    <t>monthly</t>
  </si>
  <si>
    <t>half yearly</t>
  </si>
  <si>
    <t>annual</t>
  </si>
  <si>
    <t>To give proper signal towards transmission charges wrt distance and direction, transmission charges per ckt km for each voltage level and conductor configuration have to be made uniform  (True or False)</t>
  </si>
  <si>
    <t xml:space="preserve">Demand zone is decided based on the </t>
  </si>
  <si>
    <t>geographical boundary of each state</t>
  </si>
  <si>
    <t>notional boundary of state</t>
  </si>
  <si>
    <t>physical boundary</t>
  </si>
  <si>
    <t>none of the above</t>
  </si>
  <si>
    <t xml:space="preserve">Nodes within zones shall be combined taking into considration that </t>
  </si>
  <si>
    <t>they are geographicaly proximate</t>
  </si>
  <si>
    <t>they are electricaly proximate</t>
  </si>
  <si>
    <t>they are geographicaly and electricaly proximate</t>
  </si>
  <si>
    <t>A merchant power plant within a state is connected to 400 kV ISTS with either zero LTA or part LTA. Its injection PoC rate is calculated based on -------</t>
  </si>
  <si>
    <t xml:space="preserve">its injection (MW) considered in base case </t>
  </si>
  <si>
    <t>its injection (MW) considered in base case or LTA which ever is higher</t>
  </si>
  <si>
    <t>its LTA quantum only</t>
  </si>
  <si>
    <t>If an ISGS is connected only  to STU network and evacuating power through these STU lines, these STU lines would be considered as -------</t>
  </si>
  <si>
    <t xml:space="preserve">  ISTS lines</t>
  </si>
  <si>
    <t>intra-state lines &amp; no POC charge and loss</t>
  </si>
  <si>
    <t>STU lines</t>
  </si>
  <si>
    <t xml:space="preserve">DIC with LTA to target region whose POC rate has not been determined for the quarter, shall be billed at </t>
  </si>
  <si>
    <t>Minimum PoC rate of the target region</t>
  </si>
  <si>
    <t>Average PoC rate of the target region</t>
  </si>
  <si>
    <t>highest PoC rate of the target region</t>
  </si>
  <si>
    <t>No PoC charge applicable</t>
  </si>
  <si>
    <t>Which statements are true:(1)The adjustment for STOA availed by a DIC having LTA to target region without identified beneficiaries shall be applicable in case of collective transactions undertaken by concerned DIC. (2)In case of off set of collective transactions  Injection DICs shall be given adjustment corresponding to injection charges and withdrawal DICs shall be given adjustment corresponding to withdrawal charges</t>
  </si>
  <si>
    <t>only 2</t>
  </si>
  <si>
    <t>neither 1 nor 2</t>
  </si>
  <si>
    <t xml:space="preserve">Typically zoning shall remains the same and any rezoning shall require the approval of </t>
  </si>
  <si>
    <t>Commission</t>
  </si>
  <si>
    <t>Aditional POC of 25% for deviation beyond 20% shall not be charged to generators if the devation was due to rescheduling of planned maintenance &amp; if the same is certified by RPC: True or False</t>
  </si>
  <si>
    <t>Any expenses incurred by CTU towards billing of varioud POC bills shall become a apart of-- ---</t>
  </si>
  <si>
    <t>YTC for reimbursement</t>
  </si>
  <si>
    <t>Borne by CTU</t>
  </si>
  <si>
    <t>Part of HVDC charges</t>
  </si>
  <si>
    <t xml:space="preserve">If part of a particular HVDC charges have to be borne by a DIC as per PPA, then how the  balance HVDC charges shared by other DICs </t>
  </si>
  <si>
    <t>scaling up MTC of AC system.</t>
  </si>
  <si>
    <t>Borne by other benificiries of the region</t>
  </si>
  <si>
    <t>will not be recovered till PPA signed by other DICS</t>
  </si>
  <si>
    <t xml:space="preserve">DIC having LTA without benificiary , RTA shall be on </t>
  </si>
  <si>
    <t>Injection POC+Reliability charges+HVDC charges</t>
  </si>
  <si>
    <t>injectionPOC+Withdrawal POC</t>
  </si>
  <si>
    <t>Reliability charges_HVDC charges</t>
  </si>
  <si>
    <t>No charges</t>
  </si>
  <si>
    <t xml:space="preserve">Additional MTOA charges collected shall be reimbursed to the DICs </t>
  </si>
  <si>
    <t>in the  next month in proportion to the monthly bill of respective month</t>
  </si>
  <si>
    <t>on quarterly basis</t>
  </si>
  <si>
    <t>on annual basis</t>
  </si>
  <si>
    <t>on half yearly basis</t>
  </si>
  <si>
    <t>signing of TSA shall not be a pre condition for construction of lines the same has been approved by the commission: True or False</t>
  </si>
  <si>
    <t>Question</t>
  </si>
  <si>
    <t>Option1</t>
  </si>
  <si>
    <t>Option2</t>
  </si>
  <si>
    <t>Option3</t>
  </si>
  <si>
    <t>Option4</t>
  </si>
  <si>
    <r>
      <rPr>
        <u/>
        <sz val="12"/>
        <color indexed="8"/>
        <rFont val="Arial"/>
        <family val="2"/>
      </rPr>
      <t xml:space="preserve">Which statement if True: </t>
    </r>
    <r>
      <rPr>
        <sz val="12"/>
        <color indexed="8"/>
        <rFont val="Arial"/>
        <family val="2"/>
      </rPr>
      <t xml:space="preserve">                                                         (1) Presently ISTS charges are being calculated both for peak &amp; other than peak scenarios; (2) The basic network for calculation of Loss Allocation Factor uses a truncated model at 400 kV level; (3) The hybrid methodology comprises of Marginal Pricing &amp; Average Pricing Methods; (4) There are 9 slabs for POC rates in Rs/MW/Month &amp; 9 slabs for POC losses in % for each application period;</t>
    </r>
  </si>
  <si>
    <r>
      <rPr>
        <u/>
        <sz val="12"/>
        <color indexed="8"/>
        <rFont val="Arial"/>
        <family val="2"/>
      </rPr>
      <t>No PoC Charge &amp; loss is applicable for</t>
    </r>
    <r>
      <rPr>
        <sz val="12"/>
        <color indexed="8"/>
        <rFont val="Arial"/>
        <family val="2"/>
      </rPr>
      <t xml:space="preserve"> (1) Solar Power Proiects (2) incremental gas based generation from e-bid RLNG upto 2017 (3) Wind generation(4)All of the above</t>
    </r>
  </si>
  <si>
    <r>
      <rPr>
        <u/>
        <sz val="12"/>
        <color indexed="8"/>
        <rFont val="Arial"/>
        <family val="2"/>
      </rPr>
      <t>Which of the statement(s) are correct?</t>
    </r>
    <r>
      <rPr>
        <sz val="12"/>
        <color indexed="8"/>
        <rFont val="Arial"/>
        <family val="2"/>
      </rPr>
      <t>(1)Any ISGS connected to 400 kV ISTS (including those connected to STU &amp;CTU both) shall be treated as a separate zone (2) A generator having LTA/MTOA to ISTS shall be treated as a DIC even if the generator is connected to STU network only. (3) If an ISGS is connected only to STU (by STU lines L1 &amp; L2) YTC of these STU lines can be recovered under Sharing Regulations</t>
    </r>
  </si>
  <si>
    <r>
      <rPr>
        <u/>
        <sz val="12"/>
        <color indexed="8"/>
        <rFont val="Arial"/>
        <family val="2"/>
      </rPr>
      <t>Which statemets(s) are correct?</t>
    </r>
    <r>
      <rPr>
        <sz val="12"/>
        <color indexed="8"/>
        <rFont val="Arial"/>
        <family val="2"/>
      </rPr>
      <t xml:space="preserve">                If CoD of a generator is delayed then (1)the generator shall be liable to pay injection charges corresponding to the LTA granted ; (2)withdrawal charges shall be payble by it @ average withdrawal PoC rate of the target region (3) The beneficiary shall be liable to pay withdrawal charges corresponding to the LTA granted ; (4) Both the generator &amp; its beneficiry shall share the PoC charge calculated @ average PoC rate of withdrawal region in the ratio 50:50;                        </t>
    </r>
  </si>
  <si>
    <r>
      <rPr>
        <u/>
        <sz val="12"/>
        <color indexed="8"/>
        <rFont val="Arial"/>
        <family val="2"/>
      </rPr>
      <t xml:space="preserve">Which statemets(s) are correct? </t>
    </r>
    <r>
      <rPr>
        <sz val="12"/>
        <color indexed="8"/>
        <rFont val="Arial"/>
        <family val="2"/>
      </rPr>
      <t xml:space="preserve">                                               Before CoD of a generator (1) It is liable to pay injecton PoC charge as per actual injection during testing (2) liable to pay WD PoC charge during drawal of start-up power (3) The amount so collected shall be reimbursed to DICs in next quarter(4) Amount so collected shall be reimbursed to DICs in the next month</t>
    </r>
  </si>
  <si>
    <r>
      <rPr>
        <u/>
        <sz val="12"/>
        <color indexed="8"/>
        <rFont val="Arial"/>
        <family val="2"/>
      </rPr>
      <t xml:space="preserve">Which statemets(s) are correct? </t>
    </r>
    <r>
      <rPr>
        <sz val="12"/>
        <color indexed="8"/>
        <rFont val="Arial"/>
        <family val="2"/>
      </rPr>
      <t>(1) The PoC rates for STOA  transactions are computed separately in Paise/kWh (2) STOA injection PoC chagre for ISGS is transferred to its beneficiary DICs as per allocation  (3) Injection POC and withdrawal POC charges are calculted seperately for STOA  (4) No Reliability Support Charge (RSC) is applicable to STOA  tracsactions</t>
    </r>
  </si>
  <si>
    <r>
      <t xml:space="preserve">Actual withdrawal for startup and commissioning activities </t>
    </r>
    <r>
      <rPr>
        <b/>
        <sz val="12"/>
        <color indexed="8"/>
        <rFont val="Arial"/>
        <family val="2"/>
      </rPr>
      <t>by a generator (DIC)</t>
    </r>
    <r>
      <rPr>
        <sz val="12"/>
        <color indexed="8"/>
        <rFont val="Arial"/>
        <family val="2"/>
      </rPr>
      <t xml:space="preserve"> in a time block having no approved withdrawal,  is charged at ______times the zonal PoC withdrawal rate of thatdemand zone </t>
    </r>
  </si>
  <si>
    <r>
      <rPr>
        <u/>
        <sz val="12"/>
        <color indexed="8"/>
        <rFont val="Arial"/>
        <family val="2"/>
      </rPr>
      <t>Which Statements are correct?</t>
    </r>
    <r>
      <rPr>
        <sz val="12"/>
        <color indexed="8"/>
        <rFont val="Arial"/>
        <family val="2"/>
      </rPr>
      <t xml:space="preserve">                                            For HVDC bipole, specifically set up for transfer of power to a target region the  Monthly Transmission Charge is (1) totally borne by target region DICs (2) 90% recovered from Target region DICs &amp; 10% under RSC from all DICs  </t>
    </r>
  </si>
  <si>
    <t xml:space="preserve">Deviation Charge is calculated as ____ </t>
  </si>
  <si>
    <t>Actual x Schedule</t>
  </si>
  <si>
    <t>Actual / Schedule</t>
  </si>
  <si>
    <t xml:space="preserve">Actual –  Schedule </t>
  </si>
  <si>
    <t>Schedule - Actual</t>
  </si>
  <si>
    <t>What is the shortest time block for which deviation charge is calculated?</t>
  </si>
  <si>
    <t>every  day</t>
  </si>
  <si>
    <t>every 1 hour block</t>
  </si>
  <si>
    <t>every 15 minute time block.</t>
  </si>
  <si>
    <t>every month</t>
  </si>
  <si>
    <t>What is the Weekly Settlement Period of Deviation Charges ?</t>
  </si>
  <si>
    <t>Tuesday to Monday</t>
  </si>
  <si>
    <t xml:space="preserve"> Monday to Sunday</t>
  </si>
  <si>
    <t xml:space="preserve"> Every Wednesday</t>
  </si>
  <si>
    <t>Sunday to Saturday</t>
  </si>
  <si>
    <t>Deviation Charge rate is specified in ______</t>
  </si>
  <si>
    <t xml:space="preserve"> Rs./VARH</t>
  </si>
  <si>
    <t>Rs./MW</t>
  </si>
  <si>
    <t>paise/kWh</t>
  </si>
  <si>
    <t xml:space="preserve">Rs./Hz. </t>
  </si>
  <si>
    <t>Which of the following statements is true w.r.t sign convention of Deviation Charges</t>
  </si>
  <si>
    <t>For a generator +ve sign indicates under generation &amp;   for a beneficiary –ve sign   indicates over drawal.</t>
  </si>
  <si>
    <t xml:space="preserve">For a generator +ve sign indicates over generation &amp; for a beneficiary  +ve sign indicates overdrawal. </t>
  </si>
  <si>
    <t>For a generator, -ve sign indicates over generation &amp; for a beneficiary –ve sign indicates under drawal.</t>
  </si>
  <si>
    <t>For a generator, +ve sign indicates under generation &amp; for a beneficiary –ve   sign  indicates under drawal.</t>
  </si>
  <si>
    <t>Deviation Charges rates are fixed by _____</t>
  </si>
  <si>
    <t>Appellate Tribunal</t>
  </si>
  <si>
    <t>What is meant by Administered Price Mechanism</t>
  </si>
  <si>
    <t>A mechanism to fix Deviation Charges.</t>
  </si>
  <si>
    <t>A mechanism similar to ABT.</t>
  </si>
  <si>
    <t>A mechanism in which prices of Coal, gas and other fuels are fixed at   regulated rates for power generating purpose.</t>
  </si>
  <si>
    <t>Price discovery in power exchange.</t>
  </si>
  <si>
    <t>Which of the following prepares Deviation Charges accounts?</t>
  </si>
  <si>
    <t>SLDC</t>
  </si>
  <si>
    <t>Which of the following operates the Deviation Charges pool account?</t>
  </si>
  <si>
    <t>When should the account of additional Deviation Charges charges be issued?</t>
  </si>
  <si>
    <r>
      <t>every 10</t>
    </r>
    <r>
      <rPr>
        <vertAlign val="superscript"/>
        <sz val="11"/>
        <color indexed="8"/>
        <rFont val="Arial"/>
        <family val="2"/>
      </rPr>
      <t>th</t>
    </r>
    <r>
      <rPr>
        <sz val="11"/>
        <color indexed="8"/>
        <rFont val="Arial"/>
        <family val="2"/>
      </rPr>
      <t xml:space="preserve"> day</t>
    </r>
  </si>
  <si>
    <t>alongwith Deviation Charges accounts</t>
  </si>
  <si>
    <t>within 12 days</t>
  </si>
  <si>
    <t>every Saturday.</t>
  </si>
  <si>
    <t>What is the sequence of liquidation of outstandings if past dues are received ?</t>
  </si>
  <si>
    <t>DC charge, Normal interest, expenses, penal interest, additional charges</t>
  </si>
  <si>
    <t>DC &amp; additional charges, penal interest, Normal interest.</t>
  </si>
  <si>
    <t>expenses, penal interest, normal interest, Deviation Charge &amp; additional charges.</t>
  </si>
  <si>
    <t>Penal interest, DC &amp; additional charges, normal interest, additional expenses.</t>
  </si>
  <si>
    <t>What is the due date for Deviation Charges payments from the date of issue of the Deviation Charges A/c?</t>
  </si>
  <si>
    <t>10 days</t>
  </si>
  <si>
    <t>12 days</t>
  </si>
  <si>
    <t>14 days</t>
  </si>
  <si>
    <t>When will interest on late payment to start for late payment of Deviation Charges account?</t>
  </si>
  <si>
    <t>when payment is not received within 10 days</t>
  </si>
  <si>
    <t>when payment is not received within 12 days</t>
  </si>
  <si>
    <t>when full amount is  not received within 7 days</t>
  </si>
  <si>
    <t>when full amount is  not received within 14 days.</t>
  </si>
  <si>
    <t>What is the interest payable for delay in Deviation Charges payment?</t>
  </si>
  <si>
    <t xml:space="preserve">0.04% per month   </t>
  </si>
  <si>
    <t xml:space="preserve">0.04% per day compound interest  </t>
  </si>
  <si>
    <t>0.4% per day simple interest</t>
  </si>
  <si>
    <t xml:space="preserve">0.04% per day simple interest  </t>
  </si>
  <si>
    <t xml:space="preserve">Disbursement of available Deviation Charges amount by RLDCs is to be done, ______ </t>
  </si>
  <si>
    <t xml:space="preserve">within 5 days of due date.  </t>
  </si>
  <si>
    <t>within 2 working days  from due date</t>
  </si>
  <si>
    <t xml:space="preserve">within 12 days        </t>
  </si>
  <si>
    <t xml:space="preserve">within 2 working days  of receipt of payment  </t>
  </si>
  <si>
    <t xml:space="preserve">From when would interest  be calculated if there is delay or default in payment of Deviation Charges? </t>
  </si>
  <si>
    <t>for the period of delay from date of account issue.</t>
  </si>
  <si>
    <t>for the period of delay from due date</t>
  </si>
  <si>
    <t xml:space="preserve">for the period of delay beyond 12 days from  due date      </t>
  </si>
  <si>
    <t xml:space="preserve">for the period of delay beyond 12 days from  date of issue of account     </t>
  </si>
  <si>
    <t>Which of the following accounts does RPC maintain?</t>
  </si>
  <si>
    <t>separate account for principal amount and interest</t>
  </si>
  <si>
    <t>separate account for  main and additional charges</t>
  </si>
  <si>
    <t xml:space="preserve">separate account for Deviation ChargeC principal component, interest  and additional charges      </t>
  </si>
  <si>
    <t>total amounts payable without any breakup</t>
  </si>
  <si>
    <t>What is the expansion of APM</t>
  </si>
  <si>
    <t>Administered Power Market.</t>
  </si>
  <si>
    <t>Administrative Price Model</t>
  </si>
  <si>
    <t>Advertent Pool Market</t>
  </si>
  <si>
    <t>Administered Price Mechanism</t>
  </si>
  <si>
    <t>Deviation Chargesis computed for</t>
  </si>
  <si>
    <t>every 10 DAY PERIOD</t>
  </si>
  <si>
    <t>every 15 minute time block</t>
  </si>
  <si>
    <t>Deviation Charges rate is specified for</t>
  </si>
  <si>
    <t>each 15 min block</t>
  </si>
  <si>
    <t>each control area</t>
  </si>
  <si>
    <t>in steps of 0.02 Hz</t>
  </si>
  <si>
    <t>in steps of 0.01 Hz</t>
  </si>
  <si>
    <t>Deviation Charges Account is to be issued</t>
  </si>
  <si>
    <t>by every Tuesday</t>
  </si>
  <si>
    <t>every Thursday</t>
  </si>
  <si>
    <t>every Saturday</t>
  </si>
  <si>
    <t xml:space="preserve">The infirm power injected into the grid by a generating unit of a generating station(using Imported Coal as a fuel) during the testing, prior to COD of the unit shall be paid at Charges for Deviation for infirm power injected into  the grid subject to ceiling of Cap rates of Rs                           
</t>
  </si>
  <si>
    <t>3.03 / kWh sent out</t>
  </si>
  <si>
    <t>1.78 / kWh sent out</t>
  </si>
  <si>
    <t>5.64 / kWh sent out</t>
  </si>
  <si>
    <t xml:space="preserve">The infirm power injected into the grid by a generating unit of a generating station(using RLNG as a fuel) during the testing, prior to COD of the unit shall be paid at Charges for Deviation for infirm power injected into  the grid subject to ceiling of Cap rates of Rs                      
</t>
  </si>
  <si>
    <t>8.24 / kWh sent out</t>
  </si>
  <si>
    <t>8.00 / kWh sent out</t>
  </si>
  <si>
    <t xml:space="preserve">Deviation charges shall be zero at grid frequency of </t>
  </si>
  <si>
    <t>50.02 Hz and above</t>
  </si>
  <si>
    <t>50.05 Hz and above</t>
  </si>
  <si>
    <t>50.00 Hz and above</t>
  </si>
  <si>
    <t>Any drawal of power by a generating station prior to COD of a unit for the startup activities shall be exempted from the volume limit specified abovewhen grid frequency 
is 49.85 Hz and above</t>
  </si>
  <si>
    <t xml:space="preserve">When the grid frequency is below 49.85 Hz,the charges for deviation corresponding to time block shall be payable by a 
regional entity at </t>
  </si>
  <si>
    <t>303.00 Paisa/kWh</t>
  </si>
  <si>
    <t>824.04 Paisa/kWh</t>
  </si>
  <si>
    <t>800.00 Paisa/kWh</t>
  </si>
  <si>
    <t xml:space="preserve"> "Absolute Error" shall mean the absolute value of the error in the actual generation of  wind  or  solar generators which are regional entities with reference to  the  scheduled generation  and the  'Available Capacity' 
(AvC)</t>
  </si>
  <si>
    <t xml:space="preserve"> "Absolute Error" (%) as calculated for each 15 minute time block is</t>
  </si>
  <si>
    <t xml:space="preserve"> Error (%) = 100 *[Actual Generation– Scheduled Generation] + (AvC)</t>
  </si>
  <si>
    <t xml:space="preserve"> Error (%) = 100 *[Actual Generation– Scheduled Generation] * (AvC)</t>
  </si>
  <si>
    <t xml:space="preserve"> Error (%) = 100 * [Actual Generation– Scheduled Generation] / (AvC)</t>
  </si>
  <si>
    <t xml:space="preserve"> 'Available  Capacity (AvC)' for  wind  or  solar generators which are regional entities  is the cumulative capacity rating of the wind turbines  or solar inverters that are capable of generating power in a given time-block</t>
  </si>
  <si>
    <t xml:space="preserve"> The wind or solar generators which are regional entities, if in the event of actual generation being less than the scheduled generation, then the deviation charges for under injection shall be payable by such  wind or solar generator to the Regional DSM Pool.       If Absolute Error in the 15 minute time block is &gt;25% but &lt;=35%</t>
  </si>
  <si>
    <t>Deviation charges payable  to Regional DSM Pool at the fixed rate for the shortfall energy for absolute error upto15% +110% of the fixed rate for balance energy beyond 15% and upto 25%</t>
  </si>
  <si>
    <t xml:space="preserve">  fixed rate for the shortfall energy for absolute error upto15% +110% of the fixed rate for balance energy beyond 15% and upto 25% +120% of the fixed rate for balance energy beyond 25% and upto 35%</t>
  </si>
  <si>
    <t>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</si>
  <si>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 xml:space="preserve"> Fixed Rate is the PPA  rate as  determined by  the commission under section 62 of the Act or adopted by the Commission  under section 63 of the Act, In case of multiple PPAs, the weighted average of the PPA rates shall be taken as the Fixed Rate</t>
  </si>
  <si>
    <t>What is the Fixed Rate for Open  Access participants for selling power which  is not accounted for RPO compliance of the buyer.</t>
  </si>
  <si>
    <t>APPC</t>
  </si>
  <si>
    <t>Preferential</t>
  </si>
  <si>
    <t>Sec62</t>
  </si>
  <si>
    <t xml:space="preserve"> The wind or solar generators which are regional entities, if in the event of actual generation being more than the scheduled generation, then the deviation charges for over injection shall be payable by such  wind or solar generator to the Regional DSM Pool .     If Absolute Error in the 15 minute time block is &gt;15% but &lt;= 25%    </t>
  </si>
  <si>
    <t xml:space="preserve"> Deviation charges payable to Regional DSM Pool at the fixed rate for excess energy beyond 15% and upto 25% + 80% of the fixed rate for excess energy beyond 25% and upto 35% </t>
  </si>
  <si>
    <t xml:space="preserve">Deviation charges payable to Regional DSM Pool at the fixed rate for excess energy upto15% + 90% of the fixed rate for excess energy beyond 15% and upto 25% </t>
  </si>
  <si>
    <t>( If Absolute Error in the 15 minute time block is &gt; 35%, then Deviation charges payable to Regional DSM Pool  at the fixed rate for the shortfall energy for absolute error upto15%) +(110% of the fixed rate for balance energy beyond 15% and upto 25%)+(120% of the fixed rate for balance energy beyond 25% and upto 35% )+(130% of the fixed rate for balance energy beyond 35%)</t>
  </si>
  <si>
    <t>The schedule by  wind and solar  generators  which are regional entities(excluding collective transactions) may be revised by giving advance notice to the concerned RLDC</t>
  </si>
  <si>
    <t>effective from 4th time block, the first being the time-block in which notice was given</t>
  </si>
  <si>
    <t>effective from 6th time block, the first being the time-block in which notice was given</t>
  </si>
  <si>
    <t>can not be revised</t>
  </si>
  <si>
    <t>The revision of schedule given by wind and solar generators  which are regional entities(excluding collective transactions) may be allow for one revision</t>
  </si>
  <si>
    <t>for each time slot of three hours starting from 00:00 hours of a particular day subject to maximum of 8 revisions during the day</t>
  </si>
  <si>
    <t>for each time slot of one and half hours starting from 00:00 hours of a particular day subject to maximum of 16 revisions during the day</t>
  </si>
  <si>
    <t>for each time slot of two hours starting from 00:00 hours of a particular day subject to maximum of 12 revisions during the day</t>
  </si>
  <si>
    <t>The  wind and  solar  generators  which are  regional entities  shall forecast renewable energy generation</t>
  </si>
  <si>
    <t xml:space="preserve">with an interval of one hour for the next 24 hours for the aggregate generation capacity of 25 MW and above. </t>
  </si>
  <si>
    <t xml:space="preserve">with an interval of 15 minutes for the next 24 hours for the aggregate generation capacity of 100 MW and above. </t>
  </si>
  <si>
    <t xml:space="preserve">with an interval of 15 minutes for the next 24 hours for the aggregate generation capacity of 50 MW and above. </t>
  </si>
  <si>
    <t>Additional charges for deviation  for wind &amp; solar generators which are regional entities is</t>
  </si>
  <si>
    <t>Same as conventional generator</t>
  </si>
  <si>
    <t>No additional charge</t>
  </si>
  <si>
    <t>50% of normal DSM</t>
  </si>
  <si>
    <t>The charges payable for deviation from schedule by the  wind and solar generators which are regional entities,shall be</t>
  </si>
  <si>
    <t>linked with frequency</t>
  </si>
  <si>
    <t>Delinked from frequency</t>
  </si>
  <si>
    <t>as per cap rate</t>
  </si>
  <si>
    <t>Change of sign of deviation shall be done after every ----TMBLK</t>
  </si>
  <si>
    <t>APPC applicable  for 2018-19 till further order (the remaining months of FY 2015-16, as well as for FY 2016-17), for the
purpose of deviation settlement in respect of the open access and captive wind and solar
generators fulfilling the requirement of regional entities is</t>
  </si>
  <si>
    <t>Rs.1.78/kWh</t>
  </si>
  <si>
    <t>Rs.3.40/kWh(2015-17)</t>
  </si>
  <si>
    <t>Rs.3.48/kWh(2017-18)</t>
  </si>
  <si>
    <t>Rs.3.53/kwh</t>
  </si>
  <si>
    <t>APPC excludes</t>
  </si>
  <si>
    <t>Power purchased from LTA and STOA</t>
  </si>
  <si>
    <t>Power purchased from Renewables and Transmission charges</t>
  </si>
  <si>
    <t>Power Purchased from STOA</t>
  </si>
  <si>
    <t>Gaming as DSM regulations</t>
  </si>
  <si>
    <t>Deviation beyond specified limits</t>
  </si>
  <si>
    <t>Injection of infirm power after the completion of 6 months period</t>
  </si>
  <si>
    <t>an intentional mis-declaration of declared capacity by any seller in order to make an undue commercial gain through Charge for Deviations.</t>
  </si>
  <si>
    <t>Non_payment of Deviation charges as per the specified period.</t>
  </si>
  <si>
    <t>Additional Charge for Deviation shall be applicable for over-injection/under drawal of electricity for each time block by a seller/buyer as the case may be when grid frequencyis „‟50.05 Hz and above” at the rates equivalent to charges of deviation</t>
  </si>
  <si>
    <t>corresponding to the grid frequency of “below 50.01 Hz but not below 50.0Hz"</t>
  </si>
  <si>
    <t>corresponding to the grid frequency of “below 49.80 Hz but not below 49.79Hz"</t>
  </si>
  <si>
    <t>corresponding to the grid frequency of “below 49.70 Hz "</t>
  </si>
  <si>
    <t>If the LC opend by a regional entity for FY 2018-19 due to default in last FY is Rs.45 lakh and  the entity has defaulted in the current FY during a week for which payable DSM liabillity is Rs.95 lakh,the concerned regional entity shall open the revised LC amount ____crore. Additional LC amount would be_______.</t>
  </si>
  <si>
    <t>Rs.0</t>
  </si>
  <si>
    <t>104.5 / 59.5</t>
  </si>
  <si>
    <t>Rs.55</t>
  </si>
  <si>
    <t>Rs.59.5</t>
  </si>
  <si>
    <t xml:space="preserve">If the average payable weekly liabillity for deviation of a regional entity during 2017-18 is Rs.33 crore and  the weekly  payable liabillity during any week in 2018-19 is Rs.49 crore,than the revised LC amount shall be increased by </t>
  </si>
  <si>
    <t>Rs.54.45</t>
  </si>
  <si>
    <t>Rs.18.15</t>
  </si>
  <si>
    <t>Rs.36.5</t>
  </si>
  <si>
    <t xml:space="preserve">As per new amendment of DSM regulation,The deviation charge at 50.00 HZ is linked to </t>
  </si>
  <si>
    <t>Area clearing price</t>
  </si>
  <si>
    <t>Daily Average area clearing price</t>
  </si>
  <si>
    <t>Unconstrained Market clearing price</t>
  </si>
  <si>
    <t>Both (A) and (B)</t>
  </si>
  <si>
    <t xml:space="preserve">If any regional entity has not changed the sign through out  a day how many polarity change violations will be counted? </t>
  </si>
  <si>
    <t>A regional entity has not changed the sign of deviation for a given day and the base DSM charges for that day is Rs.1000 (receivable)..The effective DSM charge for the day for that entity is -----;</t>
  </si>
  <si>
    <t>Receiable,Rs.4000</t>
  </si>
  <si>
    <t>Receiable,Rs.2000</t>
  </si>
  <si>
    <t>Payable,Rs.3000</t>
  </si>
  <si>
    <t>Payable,Rs.2000</t>
  </si>
  <si>
    <t>The lower  freqency limit for inadvertent deviation is ______ and upper limit is _____</t>
  </si>
  <si>
    <t>49.2 50.05</t>
  </si>
  <si>
    <t>49.7, 50.015</t>
  </si>
  <si>
    <t>49.85 / 50.05</t>
  </si>
  <si>
    <t>Charges for the Deviation for the generating stations who's tariff is determind by  Commission who use coal or lignite or gas supplied under Administered Price Mechanism  as fuel, the Cap rate w.r.t. deviation charges is :</t>
  </si>
  <si>
    <t>303.04  Paise/kWh</t>
  </si>
  <si>
    <t>545.05  Paise/kWh</t>
  </si>
  <si>
    <t>no cap rate applied</t>
  </si>
  <si>
    <t>Energy charge rate used for billing in tprevious month</t>
  </si>
  <si>
    <t xml:space="preserve">A regional entity generator (other that sec-62) is having the actual injection higher than the schedule generation. The cap rate for that ganerator is: 
</t>
  </si>
  <si>
    <t>As per DSM regulation</t>
  </si>
  <si>
    <t>Renewable Rich State means a State whose minimum combined  installed capacity of wind and solar power is-----MW or more</t>
  </si>
  <si>
    <t>1000MW</t>
  </si>
  <si>
    <t>2500 MW</t>
  </si>
  <si>
    <t>3000 MW</t>
  </si>
  <si>
    <t>Deviation Settlement Mechanism (DSM) rate vector has a  ________slope at present.</t>
  </si>
  <si>
    <t>dynamic</t>
  </si>
  <si>
    <t>constant</t>
  </si>
  <si>
    <t>No slope</t>
  </si>
  <si>
    <t xml:space="preserve">The maximum ceiling limit applicable for average Daily ACP discovered in the DAM segment of Power Exchange at 50.00 Hz shall be </t>
  </si>
  <si>
    <t>800 Paise/kWh.</t>
  </si>
  <si>
    <t>ACP</t>
  </si>
  <si>
    <t>848ps/kwh</t>
  </si>
  <si>
    <t>1600ps/kwh</t>
  </si>
  <si>
    <t>ACP of which exchange shall be taken into consideration for linking to the DSM price vector.</t>
  </si>
  <si>
    <t>Power Exchange having a market share of 80% or more in energy terms on a daily basis</t>
  </si>
  <si>
    <t>Average of ACP od both exchnages</t>
  </si>
  <si>
    <t>ACP of IEX</t>
  </si>
  <si>
    <t>ACP of PXIL</t>
  </si>
  <si>
    <t>What shall be the ACP if no single Power Exchange is having a market share of 80% or more, .</t>
  </si>
  <si>
    <t>the weighted average dayahead price shall be used for linking to the DSM price</t>
  </si>
  <si>
    <t>800ps/kwh</t>
  </si>
  <si>
    <t xml:space="preserve">Which rate would be used as reference for DSM rate at 50 hz, in case of non-availability of daily simple average ACP due to no-trade on a given day </t>
  </si>
  <si>
    <t>daily simple average ACP of the last available day shall be considered for determining the DSM charge.</t>
  </si>
  <si>
    <t>MCP</t>
  </si>
  <si>
    <t>UMCP</t>
  </si>
  <si>
    <t>1.78 rs/kwh</t>
  </si>
  <si>
    <t>Deviation price shall be rounded off to nearest</t>
  </si>
  <si>
    <t xml:space="preserve"> two decimal places.</t>
  </si>
  <si>
    <t>one decimal</t>
  </si>
  <si>
    <t>zero decimal</t>
  </si>
  <si>
    <t>four decimals</t>
  </si>
  <si>
    <t xml:space="preserve">Who shall act as the Nodal Agency to declare the daily DSM rates and shall display all relevant information on its website.” </t>
  </si>
  <si>
    <t>National Load Despatch Centre (NLDC)</t>
  </si>
  <si>
    <t>IEX</t>
  </si>
  <si>
    <t xml:space="preserve">the charges for the deviation for under-drawals by the buyer (except Renewable Rich State) in a time block in excess of 12% of the schedule or 150 MW, whichever is less, shall be </t>
  </si>
  <si>
    <t>zero.</t>
  </si>
  <si>
    <t>As per DSM vector</t>
  </si>
  <si>
    <t>178ps/kwh</t>
  </si>
  <si>
    <t>in case schedule of a buyer (except Renewable Rich State) in a time block is less than or equal to 400 MW, the charges for the deviation for the under-drawal in excess of ---- MW shall be zero.</t>
  </si>
  <si>
    <t xml:space="preserve">the charges for the deviation for over-injection by the seller (except Renewable Rich State) in a time block in excess of 12% of the schedule or 150 MW, whichever is less, shall be </t>
  </si>
  <si>
    <t>in case schedule of a seller (except Renewable Rich State) in a time block is less than or equal to 400 MW, the charges for the deviation for the under-drawal in excess of ---- MW shall be zero.</t>
  </si>
  <si>
    <t>overdrawal/underdrawal of electricity by any buyer [(except Renewable Rich States) during the time block shall not exceed 12% of its scheduled drawal or 150 MW, whichever is lower, when grid frequency is “----- Hz and above and below ----- Hz”</t>
  </si>
  <si>
    <t>49.85 &amp; 50.05</t>
  </si>
  <si>
    <t>49.9%50.05</t>
  </si>
  <si>
    <t>49&amp;50</t>
  </si>
  <si>
    <t>no over drawal of electricity by any buyer shall be permissible when grid frequency is “below ----- Hz” and no under drawal of electricity by any buyer shall be permissible when grid frequency is ---- Hz and above”</t>
  </si>
  <si>
    <t>Any drawal of power by a generating station prior to COD of a unit for the startup activities shall
be exempted from the levy of additional Charges of Deviation] : True or False</t>
  </si>
  <si>
    <t>Under injection of Electricity by a seller in excess of 15% and upto 20% of its schedule in a time block shall be charged at -----DSM rate</t>
  </si>
  <si>
    <t xml:space="preserve">Equivalent  to  40%  of  the  Charge for  Deviation corresponding to average grid frequency of the time block.  </t>
  </si>
  <si>
    <t xml:space="preserve">Equivalent  to 15%  of  the  Charge for  Deviation corresponding to average grid frequency of the time block.  </t>
  </si>
  <si>
    <t xml:space="preserve">Equivalent  to  20%  of  the  Charge for  Deviation corresponding to average grid frequency of the time block.  </t>
  </si>
  <si>
    <t xml:space="preserve">Equivalent  to  60%  of  the  Charge for  Deviation corresponding to average grid frequency of the time block.  </t>
  </si>
  <si>
    <t>Under injection of electricity by a seller is more than 250MW shall be charged at ----DSM rate.</t>
  </si>
  <si>
    <t xml:space="preserve">Equivalent  to  100%  of  the  Charge for  Deviation corresponding to average grid frequency of the time block.  </t>
  </si>
  <si>
    <t>Additional Charge for Deviation shall be applicable for over-injection/under-drawal of electricity for each time block by a seller/buyer as the case may be when grid frequency is  50.05Hz and above is</t>
  </si>
  <si>
    <t xml:space="preserve"> Daily  (simple) average Area Clearing Price discovered in the Day Ahead Market segment of power exchange </t>
  </si>
  <si>
    <t>0ps/kwh</t>
  </si>
  <si>
    <t xml:space="preserve">Additional Charge for Deviation shall be applicable for over-drawal or underinjection of electricity when grid frequency is “below 49.85 Hz” shall be equivalent to </t>
  </si>
  <si>
    <t xml:space="preserve">100% of the Charge for Deviation of 800 Paise / kWh </t>
  </si>
  <si>
    <t>100% of ACP</t>
  </si>
  <si>
    <t>100% of 1600ps/kwh</t>
  </si>
  <si>
    <t xml:space="preserve"> Additional Charge for Deviation for under-injection of electricity by a seller, during the time-block when grid frequency is “below 49.85 Hz”] , by the generating stations regulated by CERC using coal or lignite or gas supplied under Administered Price Mechanism (APM) as the fuel shall be equivalent to</t>
  </si>
  <si>
    <t xml:space="preserve"> 100% of the Cap Rate equivalent to the energy charges as billed for the previous month.]</t>
  </si>
  <si>
    <t>cap rate equivalent to energy charge</t>
  </si>
  <si>
    <t>100% of capped ACP</t>
  </si>
  <si>
    <t xml:space="preserve"> sustained deviation from schedule in one direction (positive or negative) by any regional entity (buyer or seller), such violation  shall attract an additional charge of</t>
  </si>
  <si>
    <t xml:space="preserve"> 20% on the daily base DSM payable / receivable</t>
  </si>
  <si>
    <t xml:space="preserve"> 10% on the daily base DSM payable / receivable</t>
  </si>
  <si>
    <t xml:space="preserve"> 30% on the daily base DSM payable / receivable</t>
  </si>
  <si>
    <t xml:space="preserve"> 100% on the daily base DSM payable / receivable</t>
  </si>
  <si>
    <t xml:space="preserve">The Regional Load Despatch Centre shall, on monthly basis, prepare and publish on its website the records of the Deviation Accounts, specifying the quantum of over-drawal/ under-injection and corresponding amount of Charges for Deviation payable/receivable for each buyer and seller for all the time-blocks when grid frequency was </t>
  </si>
  <si>
    <t xml:space="preserve"> "49.90Hz and above" and "below 49.90" Hz separately.”  </t>
  </si>
  <si>
    <t xml:space="preserve"> "49.85Hz and above" and "below 49.85" Hz separately.”  </t>
  </si>
  <si>
    <t xml:space="preserve"> "50.0Hz and above" and "below 50.0" Hz separately.”  </t>
  </si>
  <si>
    <t xml:space="preserve"> "49.70Hz and above" and "below 49.70" Hz separately.”  </t>
  </si>
  <si>
    <t>Who is the nodal agency for triggering anciallary services in india?</t>
  </si>
  <si>
    <t>Genarators</t>
  </si>
  <si>
    <t>Energy accounting for anciallary services  shall be done by</t>
  </si>
  <si>
    <t>RRAS UP will be given when</t>
  </si>
  <si>
    <t>High demand, High frequency</t>
  </si>
  <si>
    <t>High demand, Low frequency</t>
  </si>
  <si>
    <t>Low demand,High frequency</t>
  </si>
  <si>
    <t>Energy accounting for anciallary services  shall be on</t>
  </si>
  <si>
    <t>Daily basis</t>
  </si>
  <si>
    <t>Monthly basis</t>
  </si>
  <si>
    <t>Weekly basis</t>
  </si>
  <si>
    <t>Quarterly basis</t>
  </si>
  <si>
    <t>RRAS Down will be given when</t>
  </si>
  <si>
    <t>Payment to RRAS Providers shall be made from</t>
  </si>
  <si>
    <t>Regional devaition pool account fund</t>
  </si>
  <si>
    <t>RLDC fees and charges</t>
  </si>
  <si>
    <t>Budget allocated by MOP</t>
  </si>
  <si>
    <t>Who is "RRAS provider"</t>
  </si>
  <si>
    <t>RRAS Provider shall submit the details of fixed charges and variable charges to RPC</t>
  </si>
  <si>
    <t>In case of “DOWN Regulation”, __________refunded by the RRAS Providers to the respective Deviation Settlement Pool Account .</t>
  </si>
  <si>
    <t xml:space="preserve"> 75% of the variable charges</t>
  </si>
  <si>
    <t xml:space="preserve"> 75% of the total charges</t>
  </si>
  <si>
    <t xml:space="preserve"> 25% of the variable charges</t>
  </si>
  <si>
    <t xml:space="preserve"> 25% of the total charges</t>
  </si>
  <si>
    <t>the % commitment charges payable to the RRAS providers for providing RRAS</t>
  </si>
  <si>
    <t>no commitment charges will be paid</t>
  </si>
  <si>
    <t>Violation of directions of RLDC for RRAS by RRAS Provider(s) liable for penalties in terms_______ of the Electricity Act.</t>
  </si>
  <si>
    <t xml:space="preserve"> section 29</t>
  </si>
  <si>
    <t>Section 62</t>
  </si>
  <si>
    <t>Section 36</t>
  </si>
  <si>
    <t>Section 58</t>
  </si>
  <si>
    <t>List of generators prepared by Nodal agency for triggering RRAS up/down based on.</t>
  </si>
  <si>
    <t>Merit Order</t>
  </si>
  <si>
    <t>Generator capacity</t>
  </si>
  <si>
    <t>Generator Ramp</t>
  </si>
  <si>
    <t>Alphabetic order</t>
  </si>
  <si>
    <t>The RRAS for Regulation Up and Regulation Down may be triggered on account</t>
  </si>
  <si>
    <t>Extreme weather conditions</t>
  </si>
  <si>
    <t>Trend of load met</t>
  </si>
  <si>
    <t>Trends of frequency</t>
  </si>
  <si>
    <t>In case of downward DC revision due to unit tripping in the station of the RRAS provider, which will be curtailed first</t>
  </si>
  <si>
    <t>STOA</t>
  </si>
  <si>
    <t>MTOA</t>
  </si>
  <si>
    <t>RRAS</t>
  </si>
  <si>
    <t>LTA</t>
  </si>
  <si>
    <t>In case of RRAS UP,what charges will be payable to RRAS providers from the pool</t>
  </si>
  <si>
    <t>Only Fixed Charges</t>
  </si>
  <si>
    <t>Only Variable Charges</t>
  </si>
  <si>
    <t>Both Fixed and Variable Charges</t>
  </si>
  <si>
    <t>Both Fixed and Variable Charges and Markup price</t>
  </si>
  <si>
    <t>those generating stations which are regulating power supply to beneficiaries for non-payment of dues under the CERC (Regulation of Power Supply) Regulations shall be considered to be despatched under RRAS: True or False</t>
  </si>
  <si>
    <t xml:space="preserve"> who shall provide the Reserves Regulation Ancillary Services</t>
  </si>
  <si>
    <t>All Generating Stations that are Regional Entities and whose tariff for the full capacity is determined or adopted by the Central Electricity Regulatory Commission (CERC)</t>
  </si>
  <si>
    <t>All generating stations irrespective of regional entity status</t>
  </si>
  <si>
    <t>Onlt State generators</t>
  </si>
  <si>
    <t xml:space="preserve">Only Section 62 generators </t>
  </si>
  <si>
    <t>The Regulation up/down instructions to the RRAS Provider shall be given by Nodal Agency through respective -----.</t>
  </si>
  <si>
    <t>directly to generating station</t>
  </si>
  <si>
    <t>RRAS is applicable to Hydro CGS stations. True or False</t>
  </si>
  <si>
    <t xml:space="preserve">RRAS Provider shall provide (in the prescribed Format AS1) the following details by 8th day of the current month (if 8 th day is holiday, then next working day) for the period </t>
  </si>
  <si>
    <t>16th of the current month to the 15th of the next month</t>
  </si>
  <si>
    <t>15th of the current month to the 15th of the next month</t>
  </si>
  <si>
    <t>16th of the current month to the 16th of the next month</t>
  </si>
  <si>
    <t>15th of the current month to the 16th of the next month</t>
  </si>
  <si>
    <t xml:space="preserve">Fixed cost submitted by RRAS provider to RPC shall be based on </t>
  </si>
  <si>
    <t>latest tariff order of CERC corresponding to normative availability in accordance with the applicable CERC Terms and Conditions of Tariff Regulations</t>
  </si>
  <si>
    <t>Fixed cost billed for the previous month</t>
  </si>
  <si>
    <t xml:space="preserve">Average of fixed cost till the last bill </t>
  </si>
  <si>
    <t>Variable Charges shall be the -----------, or in case that is not available then -------------</t>
  </si>
  <si>
    <t>variable charges for the previous month as per bill raised by the RRAS Provider for the generating stations, last available month bill.</t>
  </si>
  <si>
    <t>variable charges for the previous month as per bill raised by the RRAS Provider for the generating stations,  Normative VC.</t>
  </si>
  <si>
    <t>weighted average for VC till last month, previous years weighted average VC</t>
  </si>
  <si>
    <t>In case of new generating station the expected variable cost  indicated by the RRAS Provider in the first month of operation shall be based on -----</t>
  </si>
  <si>
    <t>CERC norms of station heat rate, auxiliary energy consumption and specific fuel oil consumption, as applicable</t>
  </si>
  <si>
    <t>VC of another station of similar IC</t>
  </si>
  <si>
    <t>Adoch VC</t>
  </si>
  <si>
    <t xml:space="preserve">The RRAS Provider shall increaseor decrease the generation as per the instruction of the Nodal Agency given through the respective RLDC for -------- &amp; ---------- respectively. </t>
  </si>
  <si>
    <t>Regulation Up , Regulation Down</t>
  </si>
  <si>
    <t>Based on the data provided by the RRAS Providers, theRPCs shall publish the following information (as per Format-AS3) on their respective websites on a monthly basis by the -------</t>
  </si>
  <si>
    <t>12th day of currentmonth</t>
  </si>
  <si>
    <t>10th day of currentmonth</t>
  </si>
  <si>
    <t>15th day of currentmonth</t>
  </si>
  <si>
    <t>1st  day of currentmonth</t>
  </si>
  <si>
    <t>The first merit order stack as described above shall be prepared after issuance of ------- schedule issued by RLDCs by ------- of current day for next day for the period -------of the next day.</t>
  </si>
  <si>
    <t xml:space="preserve">revision „0‟ ,                       1800 hours,                        0000 to 2400 hours </t>
  </si>
  <si>
    <t xml:space="preserve">revision „0‟ ,       2300 hours,        0000 to 2400 hours </t>
  </si>
  <si>
    <t xml:space="preserve">revision „0‟ ,       2400 hours,        0000 to 2400 hours </t>
  </si>
  <si>
    <t xml:space="preserve">revision „0‟                 2000 hours,                 0000 to 2400 hours </t>
  </si>
  <si>
    <t xml:space="preserve"> RRAS  for Regulation Up and Regulation Down maybe triggered on account of</t>
  </si>
  <si>
    <t xml:space="preserve">Extreme weather conditions,Trend of load met,Trends of frequency,Intimation of any abnormal event . </t>
  </si>
  <si>
    <t xml:space="preserve">Loop flows leading to congestion,Trend of  computedarea control error(ACE) at regional level,Recall by the original beneficiary,Grid voltage in the important nodes downstream/ upstream of the corridoris beyond the operating range specified in the IEGC </t>
  </si>
  <si>
    <t xml:space="preserve"> The real time power flow along a corridor is such that n-1 criteria may not be satisfied   One or more transmission lines in the corridor are loaded beyond thenormal limit specified in CEA Manual on Transmission Planning Criteria</t>
  </si>
  <si>
    <t>All of the three</t>
  </si>
  <si>
    <t>The merit order stack from ----- to ------ variable cost prepared by the Nodal Agency shall be used for “Up Regulation”</t>
  </si>
  <si>
    <t>lowest , highest</t>
  </si>
  <si>
    <t>highest, lowest</t>
  </si>
  <si>
    <t>The despatch of “Up Regulation RRAS” involves dispatch from ---------- or --------------</t>
  </si>
  <si>
    <t xml:space="preserve">already running units on bar , calling for a unit under reserve shutdown </t>
  </si>
  <si>
    <t xml:space="preserve">already running units on bar  </t>
  </si>
  <si>
    <t xml:space="preserve"> calling for a unit under reserve shutdown </t>
  </si>
  <si>
    <t xml:space="preserve">while despatching  from already running units, ------- available through the RRAS providers,as per merit order,will be dispatched </t>
  </si>
  <si>
    <t>URS power</t>
  </si>
  <si>
    <t>free power</t>
  </si>
  <si>
    <t>unallocated power</t>
  </si>
  <si>
    <t xml:space="preserve">While despatching  from units under reserve shutdown,  adequate --------shall be allowed by the Nodal Agency while scheduling the RRAS. A minimum dispatch duration of ------  shall be given by the Nodal Agency to the thermal (coal based) &amp; minimum dispatch duration of ---------shall be given by the Nodal Agency to the gas/RLNG/liquid based RRAS providers. </t>
  </si>
  <si>
    <t>lead time ,96 time blocks ,12 time blocks,</t>
  </si>
  <si>
    <t>time ,48 time blocks ,12 time blocks,</t>
  </si>
  <si>
    <t>lead time ,96 time blocks ,96 time blocks,</t>
  </si>
  <si>
    <t>lead time ,12 time blocks ,12 time blocks,</t>
  </si>
  <si>
    <t xml:space="preserve">For DOWN Regulation, the stack prepared from ------ to the ------  variable cost shall be used. </t>
  </si>
  <si>
    <t>highest ,  lowest</t>
  </si>
  <si>
    <t>lowest,highest</t>
  </si>
  <si>
    <t>the Nodal Agency shall review the dispatchmade under RRAS on -----an except in the case of exigencies in the system</t>
  </si>
  <si>
    <t xml:space="preserve"> hourly basis,</t>
  </si>
  <si>
    <t>Minimum quantum that can be despatched through RRAS is ------MW in all regions except in NER which is ----MW.</t>
  </si>
  <si>
    <t>10, 5</t>
  </si>
  <si>
    <t>50,25</t>
  </si>
  <si>
    <t>100,50</t>
  </si>
  <si>
    <t>1,1</t>
  </si>
  <si>
    <t>RRAS up is scheduled to-------and RRAS down is scheduled from----</t>
  </si>
  <si>
    <t>Virtual Ancillary Entity (VAE)”  , Virtual Ancillary Entity (VAE)”</t>
  </si>
  <si>
    <t>benificiary,benificiary</t>
  </si>
  <si>
    <t>RLDC,RLDC</t>
  </si>
  <si>
    <t>SLDC,SLDC</t>
  </si>
  <si>
    <t>The schedule of theRRASProviders will become effective earliest from the time block -------after issue of the dispatch instruction by the Nodal agency</t>
  </si>
  <si>
    <t xml:space="preserve">starting 15 minutes </t>
  </si>
  <si>
    <t xml:space="preserve">starting 30 minutes </t>
  </si>
  <si>
    <t xml:space="preserve">starting 45 minutes </t>
  </si>
  <si>
    <t xml:space="preserve">starting 5 minutes </t>
  </si>
  <si>
    <t>schedule of the RRAS Provider shall be at ------ of generator</t>
  </si>
  <si>
    <t>ex-bus periphery</t>
  </si>
  <si>
    <t>Drawee pheriphery</t>
  </si>
  <si>
    <t>VAE periphery</t>
  </si>
  <si>
    <t>Inter regional periphery</t>
  </si>
  <si>
    <t>Whetehr loss are applied while despatching RRAS UP &amp; DOWN</t>
  </si>
  <si>
    <t>YES</t>
  </si>
  <si>
    <t>NO</t>
  </si>
  <si>
    <t>What losses are applicable for RRAS despatch UP &amp; DOWN</t>
  </si>
  <si>
    <t>injection loss for UP, withdrawal loss for DOWN</t>
  </si>
  <si>
    <t>Injection loss for UP</t>
  </si>
  <si>
    <t>Withdrawal loss for down</t>
  </si>
  <si>
    <t>No losses are applied.</t>
  </si>
  <si>
    <t>In case of downward DC revision due to unit tripping in the station of the RRAS provider, order of curtailement shall be…</t>
  </si>
  <si>
    <t>the RRAS power will be curtailed first, followed by STOA, MTOA and LTA transactions</t>
  </si>
  <si>
    <t>STOA, MTOA, LTA ,PX,RRAS</t>
  </si>
  <si>
    <t>RRAS ,STOA, PX,MTOA and LTA transactions</t>
  </si>
  <si>
    <t>STOA, MTOA , LTA,RRAS</t>
  </si>
  <si>
    <t>RRAS curtailment shall be effective  from the ------ time block considering the time block in which the intimation is received as the first time block.</t>
  </si>
  <si>
    <t>second</t>
  </si>
  <si>
    <t>first</t>
  </si>
  <si>
    <t>third</t>
  </si>
  <si>
    <t>fourth</t>
  </si>
  <si>
    <t>Once the URS power from a RRAS provider has been scheduled under RRAS, then, this can be recalled only ---------</t>
  </si>
  <si>
    <t>by the original beneficiary</t>
  </si>
  <si>
    <t>Can not be recalled</t>
  </si>
  <si>
    <t>by any benificiary under URS</t>
  </si>
  <si>
    <t>Sustained failure, i.e., failure to provide the RRAS (barring unit tripping) by RRAS Provider(s) more than-----  times during a month shall be brought to the notice of the CERC</t>
  </si>
  <si>
    <t>three (3)</t>
  </si>
  <si>
    <t>two (2)</t>
  </si>
  <si>
    <t>six (6)</t>
  </si>
  <si>
    <t>four (4)</t>
  </si>
  <si>
    <t>Under What conditions RRAS UP/DOWN can be with drawn by Nodal Agency, NLDC</t>
  </si>
  <si>
    <t xml:space="preserve">If the frequency remains above50.05 Hz continuously for a period of 5 minutes (for up-regulation due to low frequency criteria), in a timeblock.  </t>
  </si>
  <si>
    <t>If the frequency remains below 49.90 Hz continuously for a period of 5 minutes(for down-regulation due to high frequency criteria) in a time-block.,</t>
  </si>
  <si>
    <t xml:space="preserve"> No violation of n-1 criteria for the transmission corridor or no violation of ATC for 15 minutes.  Depending on real time power system conditions  </t>
  </si>
  <si>
    <t>All of the options</t>
  </si>
  <si>
    <t xml:space="preserve"> Schedule of the RRAS providers will become effective earliest from the time block starting-----after issue of the withdrawal instruction by the Nodal Agency </t>
  </si>
  <si>
    <t xml:space="preserve"> 15 minutes </t>
  </si>
  <si>
    <t>In case RRAS deapstched power is  requisitioned back by the original beneficiary, the quantum dispatched under RRAS shall be------ of recall by the original beneficiary. This quantum would be scheduled to the original beneficiary from ---- counting the time-block in which requisition has been received as the first block</t>
  </si>
  <si>
    <t xml:space="preserve"> reduced by the quantum,  fourth time-block</t>
  </si>
  <si>
    <t xml:space="preserve"> reduced by the quantum,  first time-block</t>
  </si>
  <si>
    <t xml:space="preserve"> reduced by the quantum,  second time-block</t>
  </si>
  <si>
    <t>Deficit, if any, in the Regional Deviation Pool Account Fund maintained by an RLDC due to despatch of Ancillary Services, shall be made up proportionately by Regional Deviation Pool Account Fund maintained by ----------</t>
  </si>
  <si>
    <t xml:space="preserve">other RLDCs on a weekly basis. </t>
  </si>
  <si>
    <t>Shall bedown after issuance of next account</t>
  </si>
  <si>
    <t>From PSDF</t>
  </si>
  <si>
    <t>From LDC development fund</t>
  </si>
  <si>
    <t xml:space="preserve">In case of “DOWN Regulation”, the refund of 75% of the variable charges (in accordance with the accounts prepared by the concerned RPC) by the RRAS Providersto the respective Deviation Settlement Pool Account shall be made within ------- days of the issue of statement of RRAS Account. </t>
  </si>
  <si>
    <t xml:space="preserve">In case of “UP Regulation”, the payment of the fixed and variable charges to the RRAS Providers shall be made within ----- days of the issue of statement of RRAS Account by the respective RPC. </t>
  </si>
  <si>
    <t>The RRAS Providers shall refund the fixed charges to the beneficiaries on monthly basis by the -----of the current month for the previous month based on the statement of RRAS Account by the respective RPC .</t>
  </si>
  <si>
    <t xml:space="preserve">15th </t>
  </si>
  <si>
    <t xml:space="preserve">10th </t>
  </si>
  <si>
    <t xml:space="preserve">20th </t>
  </si>
  <si>
    <t>30th</t>
  </si>
  <si>
    <t>Revenue stream of POSOCO is regulated by _______________</t>
  </si>
  <si>
    <t>MoP</t>
  </si>
  <si>
    <t>CERC notified 'RLDC Fees and Charges', Regulation</t>
  </si>
  <si>
    <t>In context to RLDC Fees and Charges, a 'Buyer' refers to a person buying power through_______</t>
  </si>
  <si>
    <t>Long term access</t>
  </si>
  <si>
    <t>Medium term access or Short term Open access</t>
  </si>
  <si>
    <t>Medium term or Long term access</t>
  </si>
  <si>
    <t>Long term or Medium term or Short term access</t>
  </si>
  <si>
    <t>Contracted capacity refers to the capacity arranged through _________</t>
  </si>
  <si>
    <t>Long Term Access or medium Term access</t>
  </si>
  <si>
    <t>Long term access only</t>
  </si>
  <si>
    <t>Medium Term or Short term access</t>
  </si>
  <si>
    <t>The Control period for which the RLDC Fees and Charges gets approved by CERC is ________</t>
  </si>
  <si>
    <t>4 years</t>
  </si>
  <si>
    <t>3 years</t>
  </si>
  <si>
    <t>2 years</t>
  </si>
  <si>
    <t>5 years</t>
  </si>
  <si>
    <t>Pool Accounts refers to the payments regarding______</t>
  </si>
  <si>
    <t>Unscheduled Interchanges Accounts</t>
  </si>
  <si>
    <t>Reactive Energy Exchanges</t>
  </si>
  <si>
    <t>Congestion Charges</t>
  </si>
  <si>
    <t>All of these</t>
  </si>
  <si>
    <t>Which of the following are done by RLDCs for regional entities? 1. Scheduling         2. Metering               3. Energy Accounting         4. Settlement</t>
  </si>
  <si>
    <t>1 and 2 only</t>
  </si>
  <si>
    <t>1, 2,3 and 4</t>
  </si>
  <si>
    <t>1,2 and 3 Only</t>
  </si>
  <si>
    <t>Match the following w.r.t functions of RLDCs?  a. Scheduling and Despatch  b. Administering Ancillary Services    c. Congestion management  d. Real-time operation for grid control and dispatch   e. Transmission loss calculation and apportionment         1. Market Operation Function   2. System Operation Function</t>
  </si>
  <si>
    <t>a-2,b-2,c-1,d-2,e-2</t>
  </si>
  <si>
    <t>a-2,b-1,c-2, d-1, e-2</t>
  </si>
  <si>
    <t>a-2, b-2, c-2, d-1, e-1</t>
  </si>
  <si>
    <t>a-1, b-1, c-2, d-2, e-1</t>
  </si>
  <si>
    <t>In context to RLDC Fees and Charges, 'User' doesn't refer to _______________  1. A generating station located in Bihar connected to ISTS and  serving more than 50% of IC to Orissa also in addition to home state  2. A central Sector generating station located in Andhra Pradesh and dedicated to the home state  3. An intra-state  transmission licensee 4. UMPP</t>
  </si>
  <si>
    <t>3 and 4 only</t>
  </si>
  <si>
    <t>4 only</t>
  </si>
  <si>
    <t>2 and 3 only</t>
  </si>
  <si>
    <t>All except 4</t>
  </si>
  <si>
    <t>Which Section of the Electricity Act mandates RLDCs to levy fees and charges from genertaing companies and other licensees?</t>
  </si>
  <si>
    <t>Section 32(3)</t>
  </si>
  <si>
    <t>Section 28(4)</t>
  </si>
  <si>
    <t>Section 35(4)</t>
  </si>
  <si>
    <t>Section 23(3)</t>
  </si>
  <si>
    <t>Replacement of obsolete control center equipment such as SCADA / EMS, IT Infrastructure requires _____</t>
  </si>
  <si>
    <t>CAPEX</t>
  </si>
  <si>
    <t>RAPEX</t>
  </si>
  <si>
    <t>Both CAPEX and RAPEX</t>
  </si>
  <si>
    <t>Capital Expenditure plans cover __________</t>
  </si>
  <si>
    <t xml:space="preserve">Computer Systems </t>
  </si>
  <si>
    <t>Backup Control Center</t>
  </si>
  <si>
    <t>Specialized Software</t>
  </si>
  <si>
    <t>The following is/are the component(s) of charges for servicing of CAPEX in debt-equity mode of capex funding</t>
  </si>
  <si>
    <t>Return on Equity</t>
  </si>
  <si>
    <t>Interest on Loan</t>
  </si>
  <si>
    <t>Depreciation</t>
  </si>
  <si>
    <t>The truing up exercise shall be carried out by CERC _____________</t>
  </si>
  <si>
    <t>after each Financial Year</t>
  </si>
  <si>
    <t>after expiry of control period</t>
  </si>
  <si>
    <t>once in two Financial Years</t>
  </si>
  <si>
    <t>on yearly basis</t>
  </si>
  <si>
    <t>The under recovered or over recovered amount after truing up exercise shall be recovered/ refunded in _______________</t>
  </si>
  <si>
    <t>3 monthly installments</t>
  </si>
  <si>
    <t>8 monthly installments</t>
  </si>
  <si>
    <t>6 monthly installments</t>
  </si>
  <si>
    <t>12 monthly installments</t>
  </si>
  <si>
    <t>Which of the following includes 'Capital Cost' of a Regional Load Despatch Centre(RLDC)?  1. Interest on Working Capital (IWC)     2. Interest During Construction (IDC)    3. Foreign Exchange Rate Variation (FERV)        4. Interest On Loan (IOL)</t>
  </si>
  <si>
    <t>1 and 4 only</t>
  </si>
  <si>
    <t>2,3 and 4 only</t>
  </si>
  <si>
    <t>For determination of charges, Equity in excess of 30% shall be treated as _______________</t>
  </si>
  <si>
    <t>Debt</t>
  </si>
  <si>
    <t>normative equity</t>
  </si>
  <si>
    <t>normative loan</t>
  </si>
  <si>
    <t>zero value</t>
  </si>
  <si>
    <t>Which of the following shall NOT comprises of LDC Development Fund?  1. Interest on Working Capital      2. Registration Fees     3. O&amp;M Expenses     4. STOA charges</t>
  </si>
  <si>
    <t>1 and 3 only</t>
  </si>
  <si>
    <t>3 alone</t>
  </si>
  <si>
    <t>2 and 4 only</t>
  </si>
  <si>
    <t>only 4</t>
  </si>
  <si>
    <t>Which of the following expenditures can be met from LDC Development Fund?  1. CSR Expenditures     2. Expenditures on account of Sustainable Development    3. Expenditures on R&amp;D    4. Dividend Payment</t>
  </si>
  <si>
    <t>4 alone</t>
  </si>
  <si>
    <t>All 1,2,3 and 4</t>
  </si>
  <si>
    <t>Who will maintain LDC Development Fund?</t>
  </si>
  <si>
    <t>POSOCO</t>
  </si>
  <si>
    <t>Who will review LDC Development Fund every Year?</t>
  </si>
  <si>
    <t>Net savings on interest resulted from re-financing the loan shall be shared between the users and the POSOCO in the ratio of _______</t>
  </si>
  <si>
    <t>1:1</t>
  </si>
  <si>
    <t>1:2</t>
  </si>
  <si>
    <t>2:1</t>
  </si>
  <si>
    <t>1:3</t>
  </si>
  <si>
    <t>The Salvage value for IT equipments and Softwares' shall be considered as _________%.</t>
  </si>
  <si>
    <t>NIL</t>
  </si>
  <si>
    <t>The maximum limit to the depreciation allowed is _____% of the Capital Cost</t>
  </si>
  <si>
    <t>The Salvage value for the assets excluding IT equipments and Software's shall be considered as _____%</t>
  </si>
  <si>
    <t>Charges for Human Resources includes ___________  1. Salary, Perquisites, Incentives   2. Training &amp; Certification Charges   3.  Depreciation    4. Interest on Loan</t>
  </si>
  <si>
    <t>1 &amp; 4</t>
  </si>
  <si>
    <t>2 &amp; 3</t>
  </si>
  <si>
    <t>1 &amp; 2</t>
  </si>
  <si>
    <t>Interest on Working Capital is covered under________</t>
  </si>
  <si>
    <t>HR Expenses</t>
  </si>
  <si>
    <t>O &amp; M Expenses</t>
  </si>
  <si>
    <t>Services rendered by LDCs comprise of _____________</t>
  </si>
  <si>
    <t>System Operation</t>
  </si>
  <si>
    <t>Market Operation</t>
  </si>
  <si>
    <t>Both System operation and Market operation</t>
  </si>
  <si>
    <t>O &amp; M of the Transmission system</t>
  </si>
  <si>
    <t>Expenses identified under a separate head for the first time in the RLDC Fees and Charges order by CERC are ____________________</t>
  </si>
  <si>
    <t>CERC's Notification for RLDC Fees and Charges allocates the annual charges for the System Operation function and Market Operation Function in the ratio ________</t>
  </si>
  <si>
    <t>50:50</t>
  </si>
  <si>
    <t>60:40</t>
  </si>
  <si>
    <t>70:30</t>
  </si>
  <si>
    <t>80:20</t>
  </si>
  <si>
    <t>Which of the following is/are NOT the part of Working Capital?  1. O&amp;M expenses    2. HR Expenses  3. Return on Equity   4. NLDC Charges</t>
  </si>
  <si>
    <t>Which of the following charges are apportioned to RLDCs?  1. Training &amp; Certification charges   2. NLDC Charges   3. Corporate Office Expenses  4. Registration Fees</t>
  </si>
  <si>
    <t>2 &amp; 3 only</t>
  </si>
  <si>
    <t>1 &amp;3 only</t>
  </si>
  <si>
    <t>1 &amp; 4 only</t>
  </si>
  <si>
    <t xml:space="preserve"> 3 &amp; 4 only</t>
  </si>
  <si>
    <t>NLDC Charges and Corporate Office Expenses shall be apportioned to RLDCs on the basis of __________</t>
  </si>
  <si>
    <t>no. of states in their jurisdiction</t>
  </si>
  <si>
    <t>Demand served in the respective Region</t>
  </si>
  <si>
    <t>Peak shortage in the respective region</t>
  </si>
  <si>
    <t>Installed capacity in the respective region</t>
  </si>
  <si>
    <t>Inter state transmission licensees shall pay _____ % of System Operation Charges.</t>
  </si>
  <si>
    <t>Generating stations and sellers shall pay ______ % of System Operation Charges.</t>
  </si>
  <si>
    <t>Distribution lIcensees and Buyers shall pay _____ % of System Operation Charges</t>
  </si>
  <si>
    <t>System Operation charges shall be levied on the inter-state trasmission licensees  on the basis of  ____</t>
  </si>
  <si>
    <t>Ckt. Kms owned</t>
  </si>
  <si>
    <t xml:space="preserve">turn over </t>
  </si>
  <si>
    <t>cost of capital assets</t>
  </si>
  <si>
    <t>Net profit</t>
  </si>
  <si>
    <t>System Operation charges from the Sellers shall be collected in proportion to their ____________</t>
  </si>
  <si>
    <t>Installed Capacity</t>
  </si>
  <si>
    <t>Contracted Capacity</t>
  </si>
  <si>
    <t xml:space="preserve">weighted average of the month generation </t>
  </si>
  <si>
    <t xml:space="preserve">Average of peak demand met in the month </t>
  </si>
  <si>
    <t>System Operation charges from the generating stations shall be collected in proportion to their ____________</t>
  </si>
  <si>
    <t>System Operation charges from the distribution licensees shall be collected in proportion to their ____________</t>
  </si>
  <si>
    <t>Turn Over</t>
  </si>
  <si>
    <t>Sum of allocations</t>
  </si>
  <si>
    <t>Sum of Contracted Capacities</t>
  </si>
  <si>
    <t>B&amp;C</t>
  </si>
  <si>
    <t>System Operation charges from the buyer shall be collected in proportion to their ____________</t>
  </si>
  <si>
    <t>System Operation charges from the distribution licensees shall be collected by __________</t>
  </si>
  <si>
    <t xml:space="preserve">As per the CERC's Notification for RLDC Fees and Charges, Market Operation Charges are recovered from </t>
  </si>
  <si>
    <t>Inter-State Transmission Licensees</t>
  </si>
  <si>
    <t>Power Exchanges</t>
  </si>
  <si>
    <t xml:space="preserve">Traders </t>
  </si>
  <si>
    <t>From all users except inter-state transmission licensees in propor to contracte apcity</t>
  </si>
  <si>
    <t>The One-time fees for registration of Users with RLDCs for  DICOM is _________</t>
  </si>
  <si>
    <t>15 lacs</t>
  </si>
  <si>
    <t>10 lacs</t>
  </si>
  <si>
    <t>20 lacs</t>
  </si>
  <si>
    <t>8 lacs</t>
  </si>
  <si>
    <t>Power exchanges shall be registered with ______ as its user.</t>
  </si>
  <si>
    <t>Inter-state transmisison Licensee</t>
  </si>
  <si>
    <t>The one-time fees for registration of power exchanges with NLDC is _________</t>
  </si>
  <si>
    <t>Late payment surcharge shall be levied on the users if they pay the bills beyond a period of  ____ days from the date of billing</t>
  </si>
  <si>
    <t>40 days</t>
  </si>
  <si>
    <t>50 days</t>
  </si>
  <si>
    <t>60 days</t>
  </si>
  <si>
    <t>45 days</t>
  </si>
  <si>
    <t>Late payment surcharge shall be levied @ ____ % per month on the users in case of late payments.</t>
  </si>
  <si>
    <t xml:space="preserve">A rebate of ____% shall be allowed for the payment of bills made  through letter of credit or cheque up to 7th day t+6)on presentation of the bills by RLDC </t>
  </si>
  <si>
    <t>A rebate of ____ % shall be allowed for the payments made  with in a period of T+7 to +30 days of presentation of bills.</t>
  </si>
  <si>
    <t>Additional  Capitalization wrt RLDC fees and Charge is..------------</t>
  </si>
  <si>
    <t>CAPEX cured before COD</t>
  </si>
  <si>
    <t>CAPEX incurd after COD but upt cu of dae</t>
  </si>
  <si>
    <t>CAPEX incurd after COD</t>
  </si>
  <si>
    <t>None of thse</t>
  </si>
  <si>
    <t xml:space="preserve">Bank rate applicable for interest on Working capital wr RLDC fees and charge is </t>
  </si>
  <si>
    <t>base rate of SBI</t>
  </si>
  <si>
    <t>weighted average rate of all Baks</t>
  </si>
  <si>
    <t>Base ate of SBI plus 360 basis pint</t>
  </si>
  <si>
    <t>one of these</t>
  </si>
  <si>
    <t>Trader is a USER of RLDC</t>
  </si>
  <si>
    <t>no</t>
  </si>
  <si>
    <t>Registrartion fees for RLDC payable by an inter-state trader, seller &amp; buyer  is</t>
  </si>
  <si>
    <t>1 lakh</t>
  </si>
  <si>
    <t>10 laks</t>
  </si>
  <si>
    <t>no fees</t>
  </si>
  <si>
    <t>Regisraton fees for a generator havng ultimate capcity of 100MW is</t>
  </si>
  <si>
    <t>10 Lacs</t>
  </si>
  <si>
    <t>1 lacs</t>
  </si>
  <si>
    <t>0.5 lacs</t>
  </si>
  <si>
    <t>Truing up &amp; refund shall be caried out by RLDC on --basis</t>
  </si>
  <si>
    <t>yealy</t>
  </si>
  <si>
    <t>after the control period</t>
  </si>
  <si>
    <t>no truingup required</t>
  </si>
  <si>
    <t>Any grant received or any asset generated through LDC development fund as loan shall become part of CAPEX</t>
  </si>
  <si>
    <t>Expenditure for acquiring minor items auch as fan,Air Conditioner ,Refrigeator etc shall become part of CAPEX</t>
  </si>
  <si>
    <t>Debt:Equity ratio allowed is</t>
  </si>
  <si>
    <t>30:70</t>
  </si>
  <si>
    <t>LDC developmet fund is formed from charges on account of..</t>
  </si>
  <si>
    <t>ROE, IWC, Deprciation,Registration fees</t>
  </si>
  <si>
    <t xml:space="preserve">ROE, IWC, Deprciation,STOA </t>
  </si>
  <si>
    <t>ROE,IWC,Depre</t>
  </si>
  <si>
    <t>STOA &amp; Registartion</t>
  </si>
  <si>
    <t>Total no of Component of Annual chrgaes of RLDC fees &amp; charge are</t>
  </si>
  <si>
    <t>Base rate for ROE calculation is</t>
  </si>
  <si>
    <t xml:space="preserve">Pre tax rate for ROE is calculated  </t>
  </si>
  <si>
    <t>base rate/1-t</t>
  </si>
  <si>
    <t>1-t/base rate</t>
  </si>
  <si>
    <t>base rate/1+t</t>
  </si>
  <si>
    <t>1+t/base rate</t>
  </si>
  <si>
    <t>Repayment of loan shall be deemed to be equal to</t>
  </si>
  <si>
    <t>actual loan payment</t>
  </si>
  <si>
    <t>normative lon payment</t>
  </si>
  <si>
    <t>depriciation allowed</t>
  </si>
  <si>
    <t>rate of interest on loan shall be</t>
  </si>
  <si>
    <t>weighted average  rate of interest of actual loan protfolio</t>
  </si>
  <si>
    <t>lowest rate of all actual lons</t>
  </si>
  <si>
    <t>max. of all loans</t>
  </si>
  <si>
    <t xml:space="preserve">Net saving by refinancing loan shall be shared between USER and POSOCO in the ratio </t>
  </si>
  <si>
    <t>;1:2</t>
  </si>
  <si>
    <t>none of these.</t>
  </si>
  <si>
    <t>Percentage escallation allowed in O&amp;M to arrive normalized level at 2013-14 is</t>
  </si>
  <si>
    <t xml:space="preserve">Performance Related Pay is computed inaccordance with guidelines issued by </t>
  </si>
  <si>
    <t>DPE</t>
  </si>
  <si>
    <t>Components of Working Capital  are</t>
  </si>
  <si>
    <t xml:space="preserve">one month O&amp;M  ,one month NLDC one month HR , two months recievables </t>
  </si>
  <si>
    <t xml:space="preserve">two month O&amp;M  ,two month NLDC one month HR , two months recievables </t>
  </si>
  <si>
    <t xml:space="preserve">Two month O&amp;M  ,one month NLDC one month HR , One months recievables </t>
  </si>
  <si>
    <t xml:space="preserve">Two month O&amp;M  ,twomonth NLDC two month HR , One months recievables </t>
  </si>
  <si>
    <t>Contingency expense fund is formed from the income from</t>
  </si>
  <si>
    <t>Registration ,ROE,Depreciation,IWC</t>
  </si>
  <si>
    <t>STOA and REC</t>
  </si>
  <si>
    <t>REC</t>
  </si>
  <si>
    <t xml:space="preserve">Every year after meeting all contingency expenses and after meeting statutory tax expenses , balance amount in contingency  account shall be transferred to </t>
  </si>
  <si>
    <t>LDCD fund</t>
  </si>
  <si>
    <t>PSDF</t>
  </si>
  <si>
    <t xml:space="preserve">RLDCs are allowed an incentive of </t>
  </si>
  <si>
    <t>8% of CAPEX</t>
  </si>
  <si>
    <t>7% of CAPEX</t>
  </si>
  <si>
    <t>7% Annual charge</t>
  </si>
  <si>
    <t>incentive is linked with performance level @ ---for 1st 3yrs</t>
  </si>
  <si>
    <t>additional incentive of 1% is allowed for</t>
  </si>
  <si>
    <t>for every 5% increase in performance level above 90%</t>
  </si>
  <si>
    <t>for every 7% increase in performance level above 90%</t>
  </si>
  <si>
    <t>for every 5% increase in performance level above 95%</t>
  </si>
  <si>
    <t>for every 5% increase in performance level above 85%</t>
  </si>
  <si>
    <t xml:space="preserve">incentive shall be reduced by 1% for </t>
  </si>
  <si>
    <t>every decrease in performance of 3% below 85%</t>
  </si>
  <si>
    <t>every decrease in performance of 5% below 85%</t>
  </si>
  <si>
    <t>every decrease in performance of 3% below 90%</t>
  </si>
  <si>
    <t>every decrease in performance of 7% below 85%</t>
  </si>
  <si>
    <t>For specilist certification incentive uoto-----is allowed</t>
  </si>
  <si>
    <t>5000/month</t>
  </si>
  <si>
    <t>7000/mth</t>
  </si>
  <si>
    <t>7500/mont</t>
  </si>
  <si>
    <t>no incentive'</t>
  </si>
  <si>
    <t>RLDC collects fees &amp; charge for providing services</t>
  </si>
  <si>
    <t>System operation</t>
  </si>
  <si>
    <t xml:space="preserve">Market operation </t>
  </si>
  <si>
    <t>Both</t>
  </si>
  <si>
    <t xml:space="preserve"> Annual fees &amp; charge contains how many parts</t>
  </si>
  <si>
    <t>One time User Registration fees for Transmission Licensse (in Rs.)</t>
  </si>
  <si>
    <t>10,00,000</t>
  </si>
  <si>
    <t>5,00,000</t>
  </si>
  <si>
    <t>1,00,000</t>
  </si>
  <si>
    <t>One time User Registration fees for seller/Buyer (in Rs.)</t>
  </si>
  <si>
    <t>Correct sequence for one time User Registration fees for Generating station upto-
A. 10 MW                                 i. 0.50 Lakhs
B. 10MW-100 MW                ii.  1 Lakhs
C. 100 MW- 2000 MW         iii. 5 Lakhs
D. 2000 MW and above      iv. 10 Lakhs</t>
  </si>
  <si>
    <t>D-iv,C- iii, B-ii, A-i</t>
  </si>
  <si>
    <t>D-ii,C- iii, B-iv, A-i</t>
  </si>
  <si>
    <t>D-iv,C- iv, B-ii, A-i</t>
  </si>
  <si>
    <t>D-iv,C- iv, B-iv, A-iv</t>
  </si>
  <si>
    <t>Correct the Sentence in terms of RLDC fees &amp; charge annual incentive</t>
  </si>
  <si>
    <t>Incentive shall be reduced by 1% of annual charges on prorata basis for the every 3% decrease in performance level below 85%</t>
  </si>
  <si>
    <t>The incentive shall increase by 1% of annual charges for every 5% increase
of performance level above 90%</t>
  </si>
  <si>
    <t>Both are correct</t>
  </si>
  <si>
    <t>Both are wrong</t>
  </si>
  <si>
    <t>As per RLDC fees &amp; charge regulation, a User is entitled for 2% rebate, if the payment made</t>
  </si>
  <si>
    <t>within 7 days from date of billing</t>
  </si>
  <si>
    <t>within 10 days from date of billing</t>
  </si>
  <si>
    <t>no rebate policy</t>
  </si>
  <si>
    <t>withing 60 days from date of billing</t>
  </si>
  <si>
    <t>Choose the correct sequence</t>
  </si>
  <si>
    <t>Surcharge @1% per month is applicable if User don’t pay monthly bill within 60 days after the date of billing</t>
  </si>
  <si>
    <t>Surcharge @1.5% per month is applicable if User don’t pay monthly bill within 60 days after the date of billing</t>
  </si>
  <si>
    <t>Surcharge @2% per month is applicable if User don’t pay monthly bill within 60 days after the date of billing</t>
  </si>
  <si>
    <t>Surcharge @1.5% per month is applicable if User don’t pay monthly bill within 90 days after the date of billing</t>
  </si>
  <si>
    <t>Rate of return on equity shall be rounded off to</t>
  </si>
  <si>
    <t>three decimal points, Computation formula :
Rate of pre-tax return on equity = Base rate/(1-t)
t= tax rate</t>
  </si>
  <si>
    <t>two decimal points, Computation formula :
Rate of pre-tax return on equity = Base rate/(1-t)
t= tax rate</t>
  </si>
  <si>
    <t>three decimal points, Computation formula :
Rate of pre-tax return on equity = Base rate/(t-1)
t= tax rate</t>
  </si>
  <si>
    <t>three decimal points, Computation formula :
Rate of pre-tax return on equity = Base rate/t
t= tax rate</t>
  </si>
  <si>
    <t>Truing up of approved Vs actual expenditure for a Financial year is to be done by</t>
  </si>
  <si>
    <t>30th Apr</t>
  </si>
  <si>
    <t>31st Dec</t>
  </si>
  <si>
    <t>30th Sept</t>
  </si>
  <si>
    <t>31st March of next year.</t>
  </si>
  <si>
    <t>‘Grid Access’ means the permission granted by the --------- for integration of the generating station</t>
  </si>
  <si>
    <t>RLDC concerned</t>
  </si>
  <si>
    <t>RPC concerned</t>
  </si>
  <si>
    <t xml:space="preserve">‘Licensee’ means a person granted a licence under ------ of the Act;  </t>
  </si>
  <si>
    <t>Section8</t>
  </si>
  <si>
    <t>Section 14</t>
  </si>
  <si>
    <t>Section16</t>
  </si>
  <si>
    <t>Section11</t>
  </si>
  <si>
    <t>Operation of the National Load Desptach Centre is formed in accordance with --------anf RLDC in accordance with ------of Act</t>
  </si>
  <si>
    <t>Section 36 &amp; Section 37</t>
  </si>
  <si>
    <t>Section 28 &amp; Section 29</t>
  </si>
  <si>
    <t>Section 71 &amp; Section 72</t>
  </si>
  <si>
    <t>Section 26 &amp; Section 27</t>
  </si>
  <si>
    <t>Where the inter-State Transmission System is connected to the transmission system of foreign country, then the USER shall be</t>
  </si>
  <si>
    <t>Agency designated by Govt.of India</t>
  </si>
  <si>
    <t>ISTS transmission licemsee in India</t>
  </si>
  <si>
    <t>ISTS transmission licemsee in Foreign country</t>
  </si>
  <si>
    <t>The Sardar Sarovar Project (SSP) and Bhakra Beas Management Board(BBMB) are eligible to become USER of RLDCS</t>
  </si>
  <si>
    <t>The buyers and sellers who intend to avail grid access shall register with concerned RLDC not less than--days prior to intended date of commencement of grid access</t>
  </si>
  <si>
    <t xml:space="preserve">"Bulk Consumer" in respect of connectivity for OA means one who intends to avail supply of a minimum load of </t>
  </si>
  <si>
    <t>10 MW</t>
  </si>
  <si>
    <t>50 MW</t>
  </si>
  <si>
    <t>200 MW</t>
  </si>
  <si>
    <t>"Connectivity" for a generating station, including a captive generating plant, a bulk consumer or an inter-state transmission licence means the state of getting connected to the</t>
  </si>
  <si>
    <t>any part of the Grid through 220 kV lines and above</t>
  </si>
  <si>
    <t>any transmission licences network</t>
  </si>
  <si>
    <t>Inter-state transmission system</t>
  </si>
  <si>
    <t>Network owned by Power Grid/CTU</t>
  </si>
  <si>
    <t xml:space="preserve">“short-term open access” means open access </t>
  </si>
  <si>
    <t>for a period up to one (1) month at one time</t>
  </si>
  <si>
    <t xml:space="preserve">for a period from one(1) month to three (3) months </t>
  </si>
  <si>
    <t>for any period of less than  three (3) months at a time</t>
  </si>
  <si>
    <t>for a period of up to (2) months at a time</t>
  </si>
  <si>
    <t xml:space="preserve">A captive plant may apply for connectivity if its exportable capacity is </t>
  </si>
  <si>
    <t>More than 300 MW</t>
  </si>
  <si>
    <t>More than 500 MW</t>
  </si>
  <si>
    <t>Equal to or more than 250 MW</t>
  </si>
  <si>
    <t>More than 100 MW</t>
  </si>
  <si>
    <r>
      <t>A hydro power plant (other than CPP) shall not be requied to constuct a dedicated transmission line for long-term access if its capacity is a minimum of</t>
    </r>
    <r>
      <rPr>
        <sz val="10"/>
        <color indexed="8"/>
        <rFont val="Arial"/>
        <family val="2"/>
      </rPr>
      <t/>
    </r>
  </si>
  <si>
    <t>A medium-term customer may relinquish rights, fully or partly, by giving at 
least …….. days prior notice to the nodal agency</t>
  </si>
  <si>
    <t>A state X has declared his STU charges as Rs.1110/MW/day. The STU charges that RLDC would consider for X in Rs/MWh would be</t>
  </si>
  <si>
    <t>cannot be determined</t>
  </si>
  <si>
    <t xml:space="preserve">A STOA customer applies for the first time for a transaction and the concerned state  has necessary infrastructure for concurring the transaction. Latest within what period should SLDC concur  the ‘no objection’? </t>
  </si>
  <si>
    <t xml:space="preserve"> Within three   (3)  working days </t>
  </si>
  <si>
    <t xml:space="preserve"> Within two (2) working days </t>
  </si>
  <si>
    <t>Within seven  (7)  working days</t>
  </si>
  <si>
    <t>Within five (5) working days</t>
  </si>
  <si>
    <t>A STOA customer desires to undertake an advance STOA for the month of Dec. It would submit the application latest by</t>
  </si>
  <si>
    <t>Oct. 26</t>
  </si>
  <si>
    <t>Sept. 30</t>
  </si>
  <si>
    <t>Nov. 20</t>
  </si>
  <si>
    <t xml:space="preserve">All of these </t>
  </si>
  <si>
    <t>A thermal power plant (other than CPP) shall not be requied to constuct a dedicated transmission line for long-term access if its capacity is a minimum of</t>
  </si>
  <si>
    <t>250 MW</t>
  </si>
  <si>
    <t>600 MW</t>
  </si>
  <si>
    <t>A transaction of 200MW is taking place over a transmission link. The composition of transaction is as 100 MW Long term, 20 MW Medium Term, 30 MW Short Term bilateral and 50 MW Collective. Due to transmission constraints 20MW of transaction is to be curtailed. What would be the composition of transaction after curtailment.</t>
  </si>
  <si>
    <t>100 MW Long Term, 30 MW Short Term bilateral , 50 MW Collective</t>
  </si>
  <si>
    <t xml:space="preserve"> 80   MW Long Term, 20 MW Medium Term, 30 MW Short term bilateral, 50 MW collective</t>
  </si>
  <si>
    <t>   100  MW Long Term,  20 MW Medium term, 10  MW Short term bilateral, 50 MW collective</t>
  </si>
  <si>
    <t xml:space="preserve">   100 MW long Term, 20 MW Medium term, 7.5 MW Short Term bilateral , 12.5 MW collective </t>
  </si>
  <si>
    <t xml:space="preserve">After having Grant of Connectivity only, an applicant may interchange power with the Grid under
</t>
  </si>
  <si>
    <t>Only MTOA</t>
  </si>
  <si>
    <t>Only STOA</t>
  </si>
  <si>
    <t>LTA or MTOA or STOA or a combination of these</t>
  </si>
  <si>
    <t>An advance scheduling application received on 22nd June for the month of July can be processed as --------category</t>
  </si>
  <si>
    <t>Advance only</t>
  </si>
  <si>
    <t>FCFS</t>
  </si>
  <si>
    <t>to be considered invalid</t>
  </si>
  <si>
    <t>Contingency</t>
  </si>
  <si>
    <t>An application for long-term access shall be accompanied with a bank guarantee of Rs. …… per MW</t>
  </si>
  <si>
    <t>5000/-</t>
  </si>
  <si>
    <t>10000/-</t>
  </si>
  <si>
    <t>20000/-</t>
  </si>
  <si>
    <t>30000/-</t>
  </si>
  <si>
    <t>An application received on 12th March at 17:30 Hrs for scheduling on 13th March would be treated under</t>
  </si>
  <si>
    <t>day ahead basis</t>
  </si>
  <si>
    <t>contingency basis</t>
  </si>
  <si>
    <t>would be rejected</t>
  </si>
  <si>
    <t>Term ahead basis</t>
  </si>
  <si>
    <t>An application received on 23rd April for scheduling 16th May can be processed after</t>
  </si>
  <si>
    <t>25th April</t>
  </si>
  <si>
    <t>30th April</t>
  </si>
  <si>
    <t>1st May</t>
  </si>
  <si>
    <t>Cannot be processed</t>
  </si>
  <si>
    <t>Application Fee for Long-term access for generating Station of 
greater than 1000 MW in Rs. Lakhs is</t>
  </si>
  <si>
    <t>Application Fee for Medium-term open access for generating Station between 500 MW and 1000 MW in Rs. Lakhs is</t>
  </si>
  <si>
    <t>Application Fee for Medium-term open access for generating Station of 
greater than 1000 MW in Rs. Lakhs is</t>
  </si>
  <si>
    <t>applications for long-term access requiring planning or augmentation of transmission system, shall be considered on</t>
  </si>
  <si>
    <t>31st March of each year</t>
  </si>
  <si>
    <t>30th September of each year</t>
  </si>
  <si>
    <t>31st March of each year and 30th September of each year</t>
  </si>
  <si>
    <t>30th June and 31st December of each year</t>
  </si>
  <si>
    <t xml:space="preserve">Applications on day ahead basis can be processed </t>
  </si>
  <si>
    <t>after completion of PX processing on pro-rata basis</t>
  </si>
  <si>
    <t>after completion of PX processing as per order of time of receipt</t>
  </si>
  <si>
    <t>after completion of PX processing on FCFS basis</t>
  </si>
  <si>
    <t xml:space="preserve">None of these </t>
  </si>
  <si>
    <t xml:space="preserve">As per IE Act, CTU cannot engage in </t>
  </si>
  <si>
    <t>generation &amp; trading</t>
  </si>
  <si>
    <t>trading only</t>
  </si>
  <si>
    <t>generation,trading &amp; distribution</t>
  </si>
  <si>
    <t>Generation and Distribution</t>
  </si>
  <si>
    <t xml:space="preserve">As per IE Act, STU cannot engage in </t>
  </si>
  <si>
    <t>Generation</t>
  </si>
  <si>
    <t>Trading</t>
  </si>
  <si>
    <t>Distribution</t>
  </si>
  <si>
    <t xml:space="preserve"> Trading and Distribution</t>
  </si>
  <si>
    <t xml:space="preserve">As per IE Act, Transmission licensee cannot engage in </t>
  </si>
  <si>
    <t>As per revised procedure applications received upto ----Hrs for the next day under contingency category would be taken up together</t>
  </si>
  <si>
    <t>15:00 hrs</t>
  </si>
  <si>
    <t>17:00Hrs</t>
  </si>
  <si>
    <t>17:30Hrs</t>
  </si>
  <si>
    <t>18:00Hrs</t>
  </si>
  <si>
    <t>As per the approved e_bidding procedure for STOA,the minimum bid price is</t>
  </si>
  <si>
    <t>Rs10/MWh</t>
  </si>
  <si>
    <t>Rs.1/unit</t>
  </si>
  <si>
    <t>Rs.100/MWh</t>
  </si>
  <si>
    <t>10p/unit</t>
  </si>
  <si>
    <t>As per the approved e_bidding procedure for STOA,the tick price would be in multiples of</t>
  </si>
  <si>
    <t>Bulk consumer in respect to the connectivity to the ISTS means a consumer with a minimum load of _________</t>
  </si>
  <si>
    <t>CTU shall disburse transmission charges as follows:</t>
  </si>
  <si>
    <t>Full amount receivable</t>
  </si>
  <si>
    <t>Only amount received on Pro-rata basis</t>
  </si>
  <si>
    <t>Payment only on receipt of full amount</t>
  </si>
  <si>
    <t>Depends upon agreement between the licensee  &amp; CTU</t>
  </si>
  <si>
    <t>Downward revision of STOA under unit tripping would be applicable from</t>
  </si>
  <si>
    <t>4th time block of unit tripping</t>
  </si>
  <si>
    <t>4th time block of intimation to RLDC</t>
  </si>
  <si>
    <t>4th time block of time of receipt of request for revision or actual tripping whichever later</t>
  </si>
  <si>
    <t>6th time block of intimation to RLDC</t>
  </si>
  <si>
    <t>During schedule curtailment by RLDC for transmission constraint, the order followed is:</t>
  </si>
  <si>
    <t>1.Long term  2.Bilateral Transactions 3.CollectiveTransactions                 4.  Medium term</t>
  </si>
  <si>
    <t xml:space="preserve">1.Bilateral Transactions;  2.CollectiveTransactions; 3.  Medium term; 4. Long term    </t>
  </si>
  <si>
    <t>1.Long term; 2.Collective Transactions;  3.Bilateral Transactions;   4.  Medium term;</t>
  </si>
  <si>
    <t>1.Medium term       2.Bilateral  Transactions 3.CollectiveTransactions                                    4.  Longterm</t>
  </si>
  <si>
    <t>Each STOA transaction needs to have a resolution of-----MW at each State/Regional Boundary</t>
  </si>
  <si>
    <t>e-bidding would be applicable for the following category of transactions</t>
  </si>
  <si>
    <t>Advance &amp; FCFS</t>
  </si>
  <si>
    <t>in case of congestion for all types</t>
  </si>
  <si>
    <t>contingency</t>
  </si>
  <si>
    <t xml:space="preserve">facility of adjustment of STOA charges paid by a DIC, against LTA charges paid </t>
  </si>
  <si>
    <t>would not be available for portfolio traders</t>
  </si>
  <si>
    <t>would be available against STOA through protfolio traders to target region</t>
  </si>
  <si>
    <t>would be available against STOA through protfolio traders to any region</t>
  </si>
  <si>
    <t>Fees and charges for the RLDC shall be payable by</t>
  </si>
  <si>
    <t>Only long-term customers</t>
  </si>
  <si>
    <t>Only medium term customers</t>
  </si>
  <si>
    <t>Both long-term &amp; medium term customers</t>
  </si>
  <si>
    <t>Long-term, medium-term &amp; short-term customers</t>
  </si>
  <si>
    <t>For a day ahead application received at 16:00 Hrs the same would be treated under ----category</t>
  </si>
  <si>
    <t>day ahead</t>
  </si>
  <si>
    <t xml:space="preserve">contingency </t>
  </si>
  <si>
    <t>to be treated invalid</t>
  </si>
  <si>
    <t>For a transaction of 100MW Round the clock power(RTC) from 10th June to 30th June, if the application for downward revision for the full period to 50MW RTC power is received on 10th June, the total MWh billed would be</t>
  </si>
  <si>
    <t>For a transaction of 100MW Round the clock power(RTC) from 10th June to 30th June, if the application for downward revision for the full period to 50MW RTC power is received on 7th June, the MWh additionally payable would be</t>
  </si>
  <si>
    <t>Nil</t>
  </si>
  <si>
    <t>For a transaction of 100MW Round the clock power(RTC) from 10th June to 30th June, if the application for downward revision for the full period to 50MW RTC power is received on 7th June, the total MWh billed would be</t>
  </si>
  <si>
    <t>For advance application received on 15th June for the month of August, processing would have to be completed by</t>
  </si>
  <si>
    <t>20th June</t>
  </si>
  <si>
    <t>25th June</t>
  </si>
  <si>
    <t>30th June</t>
  </si>
  <si>
    <t>6th July</t>
  </si>
  <si>
    <t>For advance application received on 16th June for the month of July, processing would have to be completed by</t>
  </si>
  <si>
    <t>5th July</t>
  </si>
  <si>
    <t>For advance application received on 18th June for the month of September, the processing would have to be completed by</t>
  </si>
  <si>
    <t>For advance application received on 22nd June for the month of July can be processed as --------category</t>
  </si>
  <si>
    <t>For an STOA contract of 100MW between DVC to PSEB with 2% DVC injection loss &amp; 1.5% PSEB withdrawal POC loss, how much would PSEB be able to draw?</t>
  </si>
  <si>
    <t>98MW</t>
  </si>
  <si>
    <t>98.5MW</t>
  </si>
  <si>
    <t>96.53MW</t>
  </si>
  <si>
    <t>None of above</t>
  </si>
  <si>
    <t>For an STOA contract of 100MW between DVC to PSEB with 2% DVC injection loss &amp; 1.5% PSEB withdrawal POC loss, what would  DVC need to inject?</t>
  </si>
  <si>
    <t>100MW</t>
  </si>
  <si>
    <t>103.63MW</t>
  </si>
  <si>
    <t>For an STOA contract of 100MWh between X and Y for three days, with either case of path ER-WR-NR or ER-NR direct, the transmission charges and total value of bill would differ by</t>
  </si>
  <si>
    <t>Be both same</t>
  </si>
  <si>
    <t>Transmission charges and total bill would differ by Rs.6000/-</t>
  </si>
  <si>
    <t>Only total bill would differ by Rs.3000/-</t>
  </si>
  <si>
    <t>Only total bill would differ by Rs.5000/-</t>
  </si>
  <si>
    <t>For case where infrastructure &amp; available transmission margins are already established, SLDC concurrance is to be given within ----------------days</t>
  </si>
  <si>
    <t>For downward revision of STOA under unit tripping, following concurrances are required</t>
  </si>
  <si>
    <t>all concerned RLDCs</t>
  </si>
  <si>
    <t>RLDC where the generator is situated</t>
  </si>
  <si>
    <t>no concurrance required</t>
  </si>
  <si>
    <t>concurrance of both RLDc &amp; SLDC where generator situated</t>
  </si>
  <si>
    <t>For downward revision of STOA under unit tripping, following must be furnished</t>
  </si>
  <si>
    <t>Intimation of tripping only</t>
  </si>
  <si>
    <t>Intimtion of tripping &amp; expected restoration time</t>
  </si>
  <si>
    <t>Expected restoration time only</t>
  </si>
  <si>
    <t>For Grant of MTOA &amp; LTA, when would the CTU notify TTC/ATC (as per procedures)</t>
  </si>
  <si>
    <t>once every 6 months</t>
  </si>
  <si>
    <t>once every year</t>
  </si>
  <si>
    <t>once every 2 years</t>
  </si>
  <si>
    <t xml:space="preserve"> once every 4 years</t>
  </si>
  <si>
    <t>For Long Term Access applications requiring augmentation, studies/planning would be done as follows:</t>
  </si>
  <si>
    <t>Every three months</t>
  </si>
  <si>
    <t>Bianually on 30th June &amp; 31st December every year</t>
  </si>
  <si>
    <t>Annually on 31st December every year</t>
  </si>
  <si>
    <t xml:space="preserve">For processing the Collective Transactions through Power Exchange,margin available is </t>
  </si>
  <si>
    <t xml:space="preserve"> after permitting advance and first-come-first-serve transactions</t>
  </si>
  <si>
    <t xml:space="preserve"> after permitting advance  transactions only</t>
  </si>
  <si>
    <t xml:space="preserve"> after permitting  first-come-first-serve transactions</t>
  </si>
  <si>
    <t>For release of under-utilized capacity of MTOA, refund to MTOA customer would amount to ________</t>
  </si>
  <si>
    <t>amount excess of exit penalty for MTOA customers</t>
  </si>
  <si>
    <t>depends upon % of capacity untuilized and refunded</t>
  </si>
  <si>
    <t>depends on the revenue realised on the unutilised capacity</t>
  </si>
  <si>
    <t>For renewal of LTA , such request for renewal has to be given at least ____ months prior to expiry of the LTA</t>
  </si>
  <si>
    <t xml:space="preserve">For which of the following category of transactions, would e-bidding be applicable? </t>
  </si>
  <si>
    <t>FCFS only</t>
  </si>
  <si>
    <t>For which of the following would, transmission augmentation studies be required?</t>
  </si>
  <si>
    <t>LTA &amp; MTOA</t>
  </si>
  <si>
    <t>LTA only</t>
  </si>
  <si>
    <t>LTA, MTOA &amp; STOA</t>
  </si>
  <si>
    <t>Bulk consumer</t>
  </si>
  <si>
    <t>From which time block would downward revision of STOA under unit tripping be applicable?</t>
  </si>
  <si>
    <t>Sixth time block of unit tripping</t>
  </si>
  <si>
    <t>How can short term open access schedules in case of "Advance scheduling" or “First-Cum-First Served basis” be cancelled or revised?</t>
  </si>
  <si>
    <t>by giving minimum three  days notice</t>
  </si>
  <si>
    <t>by giving minimum five days notice</t>
  </si>
  <si>
    <t>by giving minimum two days notice</t>
  </si>
  <si>
    <t>by giving minimum one day notice</t>
  </si>
  <si>
    <t>If an intra-State entity is applying for long-term  access or medium-term open access, and necessary infrastructure required for energy metering and time-blockwise accounting already exists and required transmission capacity in the State network is available, concurrence of the State Load Despatch Centre shall be accorded in</t>
  </si>
  <si>
    <t>20 days</t>
  </si>
  <si>
    <t>30 days</t>
  </si>
  <si>
    <t>If for a transaction approved for the entire month of June, if the quantum is revised to zero for first ten days of month  the operating charges payable would be for</t>
  </si>
  <si>
    <t>22 days</t>
  </si>
  <si>
    <t>If for a transaction approved for the entire month of June, if the quantum is revised to zero for the entire month  the operating charges payable would be for</t>
  </si>
  <si>
    <t>1 day</t>
  </si>
  <si>
    <t xml:space="preserve">2 days   </t>
  </si>
  <si>
    <t>If required, transmission capacity can be created for only _______.</t>
  </si>
  <si>
    <t>Long-term access</t>
  </si>
  <si>
    <t>medium term access</t>
  </si>
  <si>
    <t>Short-term Open Access</t>
  </si>
  <si>
    <t>Never created for any type of access</t>
  </si>
  <si>
    <t>In case a transaction of 100 MW RTC power for 10 days is curtailed by 50% due to transmission constraints, the operating charges would be payable for</t>
  </si>
  <si>
    <t>5 days</t>
  </si>
  <si>
    <t>2 days minimum</t>
  </si>
  <si>
    <t>8 days</t>
  </si>
  <si>
    <t>In case a transaction of quantum 100MWh is curtailed by 20% due to transmission constraints, the transmission charges would be payable for</t>
  </si>
  <si>
    <t>100MWh</t>
  </si>
  <si>
    <t>80MWh</t>
  </si>
  <si>
    <t>20MWh</t>
  </si>
  <si>
    <t>120MWh</t>
  </si>
  <si>
    <t>In case connectivity of a generating station, including captive generating plant  or bulk consumer is granted to the inter-State 
transmission system of an inter-State transmission licensee other than the Central Transmission Utility, then Connection Agreement is to be signed between</t>
  </si>
  <si>
    <t>applicant and CTU</t>
  </si>
  <si>
    <t>applicant and ISTS licensee other than CTU</t>
  </si>
  <si>
    <t>CTU and ISTS licensee other than CTU</t>
  </si>
  <si>
    <t>applicant, CTU and ISTS licensee other than CTU</t>
  </si>
  <si>
    <t>In case of congestion for STOA transactions in sdvance category the following options are available to applicants</t>
  </si>
  <si>
    <t>revision of applications</t>
  </si>
  <si>
    <t>Revision &amp; re-routing</t>
  </si>
  <si>
    <t>re-routing or e-bidding</t>
  </si>
  <si>
    <t>revision, re-routing, e-bidding</t>
  </si>
  <si>
    <t>In case of connectivity to a ISTS licensee substation which is not owned by CTU, ____</t>
  </si>
  <si>
    <t>connectivity &amp; agreements are not required</t>
  </si>
  <si>
    <t>Connectivity with ISTS licensee would require agreement with the licensee</t>
  </si>
  <si>
    <t>Connectivity with ISTS licensee would require tri-partite agreement between licensee, applicant &amp; CTU</t>
  </si>
  <si>
    <t>CTU would grant connectivity through the ISTS licensee in such a case</t>
  </si>
  <si>
    <t>In case of e-bidding process,the Applicant getting approval for scheduling equal to the scheduling request sought by him shall pay the charges</t>
  </si>
  <si>
    <t>quoted by him</t>
  </si>
  <si>
    <t>quoted by the last Applicant getting approval of its full scheduling request</t>
  </si>
  <si>
    <t>quoted by the second last Applicant getting approval of its full scheduling request</t>
  </si>
  <si>
    <t>quoted by the first Applicant getting approval of its full scheduling request</t>
  </si>
  <si>
    <t>In case of refunds arising due to curtailment/revision of Bilateral transactions during the previous month, the same shall be disbursed to the concerned applicants</t>
  </si>
  <si>
    <t>by 20th day of the current month.</t>
  </si>
  <si>
    <t>by 5th day of the current month.</t>
  </si>
  <si>
    <t>by 10th day of the current month.</t>
  </si>
  <si>
    <t>by 15th day of the current month.</t>
  </si>
  <si>
    <t>In case of re-routing of power for an STOA transaction from ER-NR direct path to ER-WR-NR path</t>
  </si>
  <si>
    <t>Both Transmission charges &amp; Operating charges would increase</t>
  </si>
  <si>
    <t>Transmission charge increases but operating charge remains same</t>
  </si>
  <si>
    <t>Transmission charge remains same but operating charge increases</t>
  </si>
  <si>
    <t>In case of under-utilization of granted MTOA, such transmission capacity may be released for</t>
  </si>
  <si>
    <t>LT &amp; other MT customers</t>
  </si>
  <si>
    <t>Other MT customers</t>
  </si>
  <si>
    <t>Short Term Customers</t>
  </si>
  <si>
    <t>Inter State interface meters are to be installed by</t>
  </si>
  <si>
    <t>Inter-State market where buyers and sellers directly transact or transact through an Electricity Trader is known as</t>
  </si>
  <si>
    <t>Over the Counter Market</t>
  </si>
  <si>
    <t>Power Exchange Market</t>
  </si>
  <si>
    <t>Derivative Market</t>
  </si>
  <si>
    <t>Futures market</t>
  </si>
  <si>
    <t>Losses would be absorbed by Buyers in case of (I) STOA (ii) PX (iii) MTOA (iv) LTA</t>
  </si>
  <si>
    <t>(I) and (ii)</t>
  </si>
  <si>
    <t>(I) and (iii)</t>
  </si>
  <si>
    <t>(iv) only</t>
  </si>
  <si>
    <t>(iii) and (iv)</t>
  </si>
  <si>
    <t>Nodal agency for granting access to ISTS is</t>
  </si>
  <si>
    <t>Regional Power Committee</t>
  </si>
  <si>
    <t>PoC rates for short term open access are expressed in _______</t>
  </si>
  <si>
    <t>ps/kwh</t>
  </si>
  <si>
    <t>Rs/ MW/Week</t>
  </si>
  <si>
    <t>Recovery of transmission charges for use of ISTS shall be recovered from long-term, medium term and short-term customers in accordance with</t>
  </si>
  <si>
    <t>terms &amp; conditions of tariff specified by CERC</t>
  </si>
  <si>
    <t>Directions issued by MoP from time to time</t>
  </si>
  <si>
    <t>As decided by the concerned RPC</t>
  </si>
  <si>
    <t>CERC (Sharing of inter state transmission charges and losses), Regulations 2010</t>
  </si>
  <si>
    <t>Refunds due to curtailments/revisions are to be done by-------day of  month</t>
  </si>
  <si>
    <t xml:space="preserve">5th </t>
  </si>
  <si>
    <t xml:space="preserve">30th  </t>
  </si>
  <si>
    <t>Renewables/Hydro &lt; 50MW individually but collectively &gt; 50MW can seek ISTS connectivity if _________</t>
  </si>
  <si>
    <t>they are connected at a single point</t>
  </si>
  <si>
    <t>they are connected at a single pt &amp; have a lead generator</t>
  </si>
  <si>
    <t>they are connected at a single pt &amp; have an agreement amongst themselves for a lead generator which is forwarded to CTU</t>
  </si>
  <si>
    <t>they are connected at two points &amp; have an agreement amongst themselves for a lead generator which is forwarded to CTU</t>
  </si>
  <si>
    <t>Responsibility for carrying out necessary system studies before grant of long-term access is with</t>
  </si>
  <si>
    <t>Revision of STOA schedules for Day ahead &amp; contingency can be done  for</t>
  </si>
  <si>
    <t>Transmission constraints only</t>
  </si>
  <si>
    <t xml:space="preserve">Transmission constraints and unit tripping </t>
  </si>
  <si>
    <t>Transmission constraints, generator tripping of size &gt; 100MW only</t>
  </si>
  <si>
    <t>cannot be done</t>
  </si>
  <si>
    <t>Revision of STOA schedules under normal conditions can be done for</t>
  </si>
  <si>
    <t>Advance &amp; FCFS Transactions only</t>
  </si>
  <si>
    <t>Advance , FCFS and day ahead</t>
  </si>
  <si>
    <t>Possible for all categories</t>
  </si>
  <si>
    <t xml:space="preserve">Scheduling of transactions pursuant to long-term &amp; medium-term OA shall be carried out </t>
  </si>
  <si>
    <t>on day ahead basis</t>
  </si>
  <si>
    <t>on week ahead basis</t>
  </si>
  <si>
    <t>As provided for in CEA regulations</t>
  </si>
  <si>
    <t>Atleast 5 days in advance</t>
  </si>
  <si>
    <t>Short term open access schedules in case of "Advance scheduling" or “First-Cum-First Served basis” may be cancelled or revised</t>
  </si>
  <si>
    <t xml:space="preserve">Stranded transmission capacity' means the transmission capacity in the inter state transmission system which is likely to remain unutilized due to </t>
  </si>
  <si>
    <t>Margins available in ISTS due to outage of ISGS</t>
  </si>
  <si>
    <t>Margins available in ISTS during real time operation due to change of utility demand</t>
  </si>
  <si>
    <t>Margins available due to relinquishment of access rights by a long term customer</t>
  </si>
  <si>
    <t>Margins available due to relinquishment of access rights by both long term and medium term open access customer</t>
  </si>
  <si>
    <t xml:space="preserve">The adjustment of STOA charges against LTA charges(without beneficiaries) paid would be applicable for </t>
  </si>
  <si>
    <t>All STOA and Collective transactions</t>
  </si>
  <si>
    <t>For STOA to the same target region only</t>
  </si>
  <si>
    <t>For STOA to same target region &amp; all collective transactions</t>
  </si>
  <si>
    <t>For STOA to target region &amp; selective collective transactions</t>
  </si>
  <si>
    <t>The applicant for Connectivity need not make a fresh application if there is a change in the power to be interchanged with the ISTS upto</t>
  </si>
  <si>
    <t>75 MW</t>
  </si>
  <si>
    <t>125 MW</t>
  </si>
  <si>
    <t xml:space="preserve">The cap rate for infirm power injected into the grid by a imported coal based generating station after synchronization and upto date of commercial operation during testing would be </t>
  </si>
  <si>
    <t>Rs. 5.00 per unit</t>
  </si>
  <si>
    <t>Rs. 2.00 per unit</t>
  </si>
  <si>
    <t>Rs. 3.03 per unit</t>
  </si>
  <si>
    <t>Rs. 3.30 per unit</t>
  </si>
  <si>
    <t>The following would not be required to construct a dedicated line for upto point of connection with CTU</t>
  </si>
  <si>
    <t>Thermal generator &gt;= 250MW and hydro/renewables &gt;= 50MW</t>
  </si>
  <si>
    <t>All generators &gt;= 250MW</t>
  </si>
  <si>
    <t>All generators &gt;= 250 MW &amp; Bulk consumer of min load &gt;= 250MW</t>
  </si>
  <si>
    <t>Thermal generator &gt;= 500MW and hydro/renewables &gt;= 250MW</t>
  </si>
  <si>
    <t>The infirm power injected into the grid after synchronization and upto date of commercial operation during testing would be charged at ……… subject to a cap rate</t>
  </si>
  <si>
    <t>Rs 3 per unit</t>
  </si>
  <si>
    <t>Rs. 2 per unit</t>
  </si>
  <si>
    <t>Rs. 4 per unit</t>
  </si>
  <si>
    <t>Deviation Charges</t>
  </si>
  <si>
    <t>The latest Regulations on Long-term access allows</t>
  </si>
  <si>
    <t>Connectivity after Long-term Access</t>
  </si>
  <si>
    <t>Long-term access after Connectivity</t>
  </si>
  <si>
    <t>Connectivity after Medium-term Open access</t>
  </si>
  <si>
    <t>Connectivity after Short-term Open access</t>
  </si>
  <si>
    <t>The name of the Agreement to be signed subsequent to getting connectivity from the CTU</t>
  </si>
  <si>
    <t>Connection Agreement</t>
  </si>
  <si>
    <t>Long-term Access Agreement</t>
  </si>
  <si>
    <t>Transmission Services Agreement</t>
  </si>
  <si>
    <t>Bulk Power Transmision Agreement</t>
  </si>
  <si>
    <t xml:space="preserve">The start date of the medium-term open access shall not be earlier than ……. months from the last day of the month in which application has been made.  </t>
  </si>
  <si>
    <t xml:space="preserve">The study to be carried out by CTU when an applicant applies for connectivity is called </t>
  </si>
  <si>
    <t>System Studies</t>
  </si>
  <si>
    <t>Interconnection study</t>
  </si>
  <si>
    <t>Stability Studies</t>
  </si>
  <si>
    <t>Eletro Magnetic Transient Phenomena Studies</t>
  </si>
  <si>
    <t>The transmission charges for State network would be collected by--------and payable to----------</t>
  </si>
  <si>
    <t>SLDC, STU</t>
  </si>
  <si>
    <t>RLDC, CTU</t>
  </si>
  <si>
    <t>RLDC, STU</t>
  </si>
  <si>
    <t xml:space="preserve">Time limit for processing of application for long-term access where system augmentation is not required is </t>
  </si>
  <si>
    <t>120 days from last day of the month of receipt of application</t>
  </si>
  <si>
    <t>180 days from last day of the month of receipt of application</t>
  </si>
  <si>
    <t>60 days from last day of the month of receipt of application</t>
  </si>
  <si>
    <t>100 days from last day of the month of receipt of application</t>
  </si>
  <si>
    <t>Time limit for processing of application for medium-term access</t>
  </si>
  <si>
    <t>40 days from last day of the month of receipt of application</t>
  </si>
  <si>
    <t>30 days from last day of the month of receipt of application</t>
  </si>
  <si>
    <t>15 days from last day of the month of receipt of application</t>
  </si>
  <si>
    <t>Transmission augmentation studies would be required for the following</t>
  </si>
  <si>
    <t>LTA, MTOA, STOA</t>
  </si>
  <si>
    <t>Transmission charges for all ISTS licensees would be collected and disbursed by the</t>
  </si>
  <si>
    <t xml:space="preserve">CTU   </t>
  </si>
  <si>
    <t>would be collected individually by licensees as billed by CTU</t>
  </si>
  <si>
    <t>would be collected &amp; billed by ISTS licensees</t>
  </si>
  <si>
    <t>Two applications for contingency for next day received at 18:15Hrs and 21:00 Hrs would be processed on</t>
  </si>
  <si>
    <t>as per order of receipt</t>
  </si>
  <si>
    <t>pro-rata basis</t>
  </si>
  <si>
    <t xml:space="preserve">Two plants G1 and G2 connected to a common ISTS Point and having LTA(without PPA) to NR and SR respectively if enter into STOA sale contract through portfoilio trader would get their STOA charges reimbursed back if </t>
  </si>
  <si>
    <t xml:space="preserve">STOA sale is to NR &amp; SR in ratio 50:50 </t>
  </si>
  <si>
    <t>STOA sale is either to NR or SR</t>
  </si>
  <si>
    <t>would not get any reimbursement back of the STOA charges</t>
  </si>
  <si>
    <t xml:space="preserve">Under which CERC Open Access Regulations, RLDC may deny open access to users </t>
  </si>
  <si>
    <t>Regulation 26</t>
  </si>
  <si>
    <t>Regulation 25A</t>
  </si>
  <si>
    <t>Regulation 28</t>
  </si>
  <si>
    <t>Regulation 24</t>
  </si>
  <si>
    <t xml:space="preserve">Under which section of Electricity Act STU function is to provide non-discriminatory Open Access to users </t>
  </si>
  <si>
    <t>Section 38 of the Act</t>
  </si>
  <si>
    <t>Section 39 of the Act</t>
  </si>
  <si>
    <t>Section 40 of the Act</t>
  </si>
  <si>
    <t>Section 42 of the Act</t>
  </si>
  <si>
    <t>What happens after the expiry of the period of long-term access if extension is sought ?</t>
  </si>
  <si>
    <t>Extension cannot be sought.</t>
  </si>
  <si>
    <t>A written request must come from the applicant at least 6 months in advance.</t>
  </si>
  <si>
    <t>The long-term access stands automayically extended.</t>
  </si>
  <si>
    <t>A written request must come from the applicant at least 1 year in advance.</t>
  </si>
  <si>
    <t>When can applications on day ahead basis be processed?</t>
  </si>
  <si>
    <t>after completion of Power Exchange processing on pro-rata basis</t>
  </si>
  <si>
    <t>after completion of Power Exchange  processing as per order of time of receipt</t>
  </si>
  <si>
    <t>after completion of Power Exchange  processing on FCFS basis</t>
  </si>
  <si>
    <t>When shall an application for inter-State scheduling for Bilateral Transactions during the third month be made?</t>
  </si>
  <si>
    <t>up to seven (7) days prior to the close of the first month</t>
  </si>
  <si>
    <t>up to the last day of the first month</t>
  </si>
  <si>
    <t>up to ten (10) days prior to the close of the first month</t>
  </si>
  <si>
    <t>up to five (5) days prior to the close of the first month</t>
  </si>
  <si>
    <t>Which of the following applicants are eligible for grant of connectivity to the ISTS 
(a) 3 hydro stations of 20MW each connected at a single point &amp; having a lead generator 
(b)renewables of aggregate capacity 40MW tied at a single point with lead generator 
(c ) a consumer with minimum load of  250MW aggregate 
(d) a CPP with load of 200MW and generation of 300MW max.</t>
  </si>
  <si>
    <t>a only</t>
  </si>
  <si>
    <t>a and b</t>
  </si>
  <si>
    <t>c only</t>
  </si>
  <si>
    <t>a and c only</t>
  </si>
  <si>
    <t>Which of the following applicants are eligible for grant of connectivity to the ISTS 
(a) 5 hydro stations of capcity 10 MW each connected at a single point with lead generator 
(b) 5 wind farms of capacity 20MW each connected at a single pt &amp; no lead generator (c ) Consumer of min. load 150MW 
(d) two thermal generators of 140MW capacity each connected to a single pt with lead generator</t>
  </si>
  <si>
    <t>a,b, c</t>
  </si>
  <si>
    <t>a ,c</t>
  </si>
  <si>
    <t>Which of the following applicants are eligible for grant of connectivity to the ISTS 
(a) 50MW hydro 
(b ) CPP with load = 100MW  and generation = 500MW 
(c) a wind generator collectively &gt; 50MW  at a single point with lead generator 
(d) Thermal generator of size 210MW</t>
  </si>
  <si>
    <t>all four</t>
  </si>
  <si>
    <t>Which of the following applicants are eligible for grant of connectivity to the ISTS 
(a) A 250MW thermal plant
(b) A 50MW hydro plant 
(c ) CPP with house load =generation 
(d)  A renewable generator with aggregated generation &lt; 50MW</t>
  </si>
  <si>
    <t>Which of the following is true.</t>
  </si>
  <si>
    <t>Medium-term open access is granted if the resultant power flow 
can be accommodated in the existing transmission system or the transmission 
system under execution</t>
  </si>
  <si>
    <t>The nodal agency for grant of connectivity, long-term access and mediumterm open access to the inter-State transmission system is Central 
Electricity Authority</t>
  </si>
  <si>
    <t>The application for connectivity is to be processed within 90 days</t>
  </si>
  <si>
    <t>Construction of dedicated line is considered as augentation of transmission system for the purpose of granting connectivity, LTA and MTOA</t>
  </si>
  <si>
    <t>Which of the following shall be applicable, in case sufficient transmission margin does not exist for the MTOA quantum applied?</t>
  </si>
  <si>
    <t>Augmentation of transmission system shall be done</t>
  </si>
  <si>
    <t>Curtailed consent for the MTOA application would be given subject to acceptance by applicant</t>
  </si>
  <si>
    <t>MTOA application would be returned to applicant for revision</t>
  </si>
  <si>
    <t>The MTOA applicantion will be kept pending till the ATC improves</t>
  </si>
  <si>
    <t>While processing applications for long-term and medium term access priority is for</t>
  </si>
  <si>
    <t>long-term access</t>
  </si>
  <si>
    <t>No priority betwenn the two</t>
  </si>
  <si>
    <t>Priority in the ratio of quantum of power</t>
  </si>
  <si>
    <t>Who is the nodal agency for grant of connectivity to the ISTS?</t>
  </si>
  <si>
    <t>Who provides the interface meters for intra state entities ?</t>
  </si>
  <si>
    <t>Who provides the interface meters for regional entities</t>
  </si>
  <si>
    <t xml:space="preserve">Who shall collect and disburse the transmission charges for all ISTS licensees? </t>
  </si>
  <si>
    <t>they would be collected individually by licensees but billed by CTU</t>
  </si>
  <si>
    <t>they would be collected &amp; billed by ISTS licensees</t>
  </si>
  <si>
    <t>CTU and ISTS licencee as per an MOU</t>
  </si>
  <si>
    <t>Who would be the nodal RLDC in case of a transaction for sale from Arunachal Pradesh in NER to Nepal via  ER and NR?</t>
  </si>
  <si>
    <t>NERLDC</t>
  </si>
  <si>
    <t>ERLDC</t>
  </si>
  <si>
    <t>NRLDC</t>
  </si>
  <si>
    <t>SRLDC</t>
  </si>
  <si>
    <t xml:space="preserve">Whose concurrances are required for downward revision of STOA under unit tripping? </t>
  </si>
  <si>
    <t>concurrance of both RLDC &amp; SLDC where generator is situated</t>
  </si>
  <si>
    <t>The STOA operating charges include fee for</t>
  </si>
  <si>
    <t>scheduling</t>
  </si>
  <si>
    <t>system operation</t>
  </si>
  <si>
    <t>collection and disbursement</t>
  </si>
  <si>
    <t>All of above</t>
  </si>
  <si>
    <t>In case of collective transaction, operating charges shall be payable by the power exchange to NLDC at the rate of  --------- for each State involved</t>
  </si>
  <si>
    <t>Rs 2000/day</t>
  </si>
  <si>
    <t>Rs 1 per Mwh with ceiling of Rs 200 per day</t>
  </si>
  <si>
    <t>Rs 1000/day</t>
  </si>
  <si>
    <t>Rs 5000/day</t>
  </si>
  <si>
    <t>In case of Bilateral transaction, RLDC operating charges shall be payable by the applicant at the rate of ----    Rs per day</t>
  </si>
  <si>
    <t>Depends on SLDC Operating charges</t>
  </si>
  <si>
    <t>In case of Bilateral transaction, SLDC operating charges shall be payable by the applicant to RLDC at the rate of ----- Rs per day only if the operating charges have not been notified by the respective State Commission</t>
  </si>
  <si>
    <t>In case of Bilateral transaction, STUcharges shall be payable by the applicant to RLDC at the rate of ----     Rs/MWH only if the STU charges have not been notified by the respective State Commission</t>
  </si>
  <si>
    <t>In case of Collective transaction, STU charges shall be payable by the applicant to SLDC at the rate of ----     Rs/MWH only if the STU charges have not been notified by the respective State Commission</t>
  </si>
  <si>
    <t>In the case of collective transactions, the transmission charges for State network and Operating charges for the SLDCs shall be directly settled by the Power Exchange(s) with</t>
  </si>
  <si>
    <t xml:space="preserve">NLDC </t>
  </si>
  <si>
    <t>respective SLDC</t>
  </si>
  <si>
    <t>respective STU</t>
  </si>
  <si>
    <t>POC charge are not applicable in STOA transaction from which type of  generator</t>
  </si>
  <si>
    <t>E-bid gas</t>
  </si>
  <si>
    <t xml:space="preserve">Solar </t>
  </si>
  <si>
    <t>Wind</t>
  </si>
  <si>
    <t>Both B and C</t>
  </si>
  <si>
    <t xml:space="preserve">POC rate (Paise/KWH) for STOA transaction is </t>
  </si>
  <si>
    <t>POC slab rate (Paise/KWH)</t>
  </si>
  <si>
    <t>Reliability support charge rate (Paise/KWH)</t>
  </si>
  <si>
    <t>A+B</t>
  </si>
  <si>
    <t>A-B</t>
  </si>
  <si>
    <t>As per IEGC Fifth Amedment intimation of Unit tripping can be made by</t>
  </si>
  <si>
    <t>Genarator Only</t>
  </si>
  <si>
    <t>Trading Agency of the trancation</t>
  </si>
  <si>
    <t>Trading Agency of the trancation and Generator</t>
  </si>
  <si>
    <t>Generator or trading licensee any other agency selling power from the generating station</t>
  </si>
  <si>
    <t>Number of Revisions in restoration time of a tripped unit can be made???</t>
  </si>
  <si>
    <t>One only</t>
  </si>
  <si>
    <t>once in a day</t>
  </si>
  <si>
    <t>02 Revision per day</t>
  </si>
  <si>
    <t>No limit</t>
  </si>
  <si>
    <t>What is NOAR</t>
  </si>
  <si>
    <t>National Opena Access Record</t>
  </si>
  <si>
    <t>NLDC Open Access Record</t>
  </si>
  <si>
    <t>National Open Access Registry</t>
  </si>
  <si>
    <t>Nodal Open Access Registry</t>
  </si>
  <si>
    <t xml:space="preserve">By which date the NOAR is implemented </t>
  </si>
  <si>
    <t>Yet to implement</t>
  </si>
  <si>
    <t xml:space="preserve">As per Fifth amendment of Open Access in interState Transmission standing clerance for the maximum period can be issued for ……. months </t>
  </si>
  <si>
    <t>Registration fee for OA applicant on NOAR is Rs…..</t>
  </si>
  <si>
    <t>Standing clearance  shall be issued within three (3) working days of receipt of Standing Clerance application. When??</t>
  </si>
  <si>
    <t>Existence of necessary infrastructure, availability of surplus transmission capacity, and submission of declaration have been established</t>
  </si>
  <si>
    <t>Existence of infrastructure necessary for time-block wise energy metering and accounting</t>
  </si>
  <si>
    <t>As per discreation of RLDC / SLDC</t>
  </si>
  <si>
    <t>None of the these</t>
  </si>
  <si>
    <t xml:space="preserve">Nodal Agency of NOAR is </t>
  </si>
  <si>
    <t>RLDC in which drawee utility is situated</t>
  </si>
  <si>
    <t>Standing Clerarance will be issued by…</t>
  </si>
  <si>
    <t>Only RLDC</t>
  </si>
  <si>
    <t>RLDC or SLDC as the cas may be</t>
  </si>
  <si>
    <t>As per regulation Payment towards Approval is to be made to Nodal RLDC</t>
  </si>
  <si>
    <t>Through Cheque Only</t>
  </si>
  <si>
    <t>payment gateway Only</t>
  </si>
  <si>
    <t>RTGS / NEFT</t>
  </si>
  <si>
    <t>Cash Only</t>
  </si>
  <si>
    <t>Who authorises an entity as 'Solar Power park developer, in respect of Long term Access?</t>
  </si>
  <si>
    <t>CERC/SERC</t>
  </si>
  <si>
    <t>Central/State Government</t>
  </si>
  <si>
    <t>"Long term access" means the right to use the inter-state transmission system for a period __________</t>
  </si>
  <si>
    <t>Upto 25 years</t>
  </si>
  <si>
    <t>exceeding 12 years</t>
  </si>
  <si>
    <t>exceeding 7 years</t>
  </si>
  <si>
    <t>From 5 years to 7 years</t>
  </si>
  <si>
    <t xml:space="preserve">"Medium-term open access" means the right to use the inter-state transmission system for a period _________ </t>
  </si>
  <si>
    <t>exceeding 3 months</t>
  </si>
  <si>
    <t>less than 5 years</t>
  </si>
  <si>
    <t>exceeding 3 months but not exceeding 3 years</t>
  </si>
  <si>
    <t>exceeding 3 months but not exceeding 5 years</t>
  </si>
  <si>
    <t>Where the capacity tied up under LTA is released under MTOA, the concerned generator shall be liable to pay ………..% LTA charges for such reallocated capacity</t>
  </si>
  <si>
    <t>On receipt of the copy of PPA, CTU shall advise concerned RLDC for scheduling of power at the earliest,but not later than a period of………..month</t>
  </si>
  <si>
    <t xml:space="preserve">Drawal of star-up power shall not be used  by generating station for </t>
  </si>
  <si>
    <t>Commissioning activities</t>
  </si>
  <si>
    <t xml:space="preserve">testing </t>
  </si>
  <si>
    <t>Construction activities</t>
  </si>
  <si>
    <t>full load testing</t>
  </si>
  <si>
    <t xml:space="preserve">The start date of the medium-term open access shall not be later than ….. from the last day of the month in which application has been made.  </t>
  </si>
  <si>
    <t>1 years</t>
  </si>
  <si>
    <t>A Hydro generating station with installed capacity 200 MW for Connectivity need not make a fresh application if there is a change in the power to be interchanged with the ISTS upto a max. capacity of…….. MW</t>
  </si>
  <si>
    <t>The CTU Shall plan the system such that maximum length of dedicated transmission line shall not exceed…….KM  from switchyard of the generating station till the nearest pooling substation of the transmission licensee</t>
  </si>
  <si>
    <t>Drawal of star-upt power shall not exceed …..Months prior to the expected date of first synchonization and …….months after date of  the first synchronization</t>
  </si>
  <si>
    <t>15,6</t>
  </si>
  <si>
    <t>6, 15</t>
  </si>
  <si>
    <t>12, 6</t>
  </si>
  <si>
    <t>6,12</t>
  </si>
  <si>
    <t>100% subsidiary companies shall be allowed to transfer their connectivity and LTA to the parent company and vice versa one year after achieving commercial operation of Renewable Energy generating station(s)" [True/False].</t>
  </si>
  <si>
    <t>TRUTH</t>
  </si>
  <si>
    <t>“Renewable Power Park Developers” shall mean a</t>
  </si>
  <si>
    <t>Solar Power Park Developer</t>
  </si>
  <si>
    <t>Wind Power Park Developer</t>
  </si>
  <si>
    <t>Renewable Hybrid Power Park Developer</t>
  </si>
  <si>
    <t>“Storage” means energy storage system utilizing methods and technologies like</t>
  </si>
  <si>
    <t>Solid State Batteries</t>
  </si>
  <si>
    <t>Flow Batteries</t>
  </si>
  <si>
    <t>Pumped Storage hydro-power</t>
  </si>
  <si>
    <t>PoC rates for LTA access are expressed in _______</t>
  </si>
  <si>
    <t>PoC rates for MTOA access are expressed in _______</t>
  </si>
  <si>
    <t>Congestion charge would be levied  for</t>
  </si>
  <si>
    <t>Under drawl in the importing control area</t>
  </si>
  <si>
    <t xml:space="preserve">Over drawl in the importing control area </t>
  </si>
  <si>
    <t xml:space="preserve">Under drawl or Over drawl in the importing control area </t>
  </si>
  <si>
    <t>No congestion charges for importing control area</t>
  </si>
  <si>
    <t xml:space="preserve">Congestion charges will be levied for </t>
  </si>
  <si>
    <t xml:space="preserve">Overdrawing utility in exporting control area </t>
  </si>
  <si>
    <t xml:space="preserve">Over injecting utilities in the exporting control area </t>
  </si>
  <si>
    <t xml:space="preserve">Under injecting utilities in the exporting control area </t>
  </si>
  <si>
    <t>Under drawing utility in importing control area</t>
  </si>
  <si>
    <t>Available Transfer Capacity (ATC) is _____ where TTC is Total Transfer Capability and RM is Reliability Margin</t>
  </si>
  <si>
    <t>TTC + RM</t>
  </si>
  <si>
    <t>TTC-RM</t>
  </si>
  <si>
    <t>TTC/RM</t>
  </si>
  <si>
    <t>TTC*RM</t>
  </si>
  <si>
    <t>Congestion charge applicable to all regions is _____ per kWh</t>
  </si>
  <si>
    <t xml:space="preserve">Rs. 5.45 </t>
  </si>
  <si>
    <t>Rs. 3.00</t>
  </si>
  <si>
    <t>Rs.7.45</t>
  </si>
  <si>
    <t>Rs.1.92</t>
  </si>
  <si>
    <t xml:space="preserve">Congestion charges are paid </t>
  </si>
  <si>
    <t>If lieu of deviation charges</t>
  </si>
  <si>
    <t xml:space="preserve">In addition to the deviation charges </t>
  </si>
  <si>
    <t>In lieu of reactive energy charges</t>
  </si>
  <si>
    <t>In lieu of PoC charges</t>
  </si>
  <si>
    <t>Congestion is a situation where the demand for transmission capacity</t>
  </si>
  <si>
    <t>Exceeds the ATC</t>
  </si>
  <si>
    <t>Equals the ATC</t>
  </si>
  <si>
    <t>Less than Reliability Margin</t>
  </si>
  <si>
    <t>Less than the ATC</t>
  </si>
  <si>
    <t>Frequencies &gt; 50 Hz, congestion charge would be levied for</t>
  </si>
  <si>
    <t>Under-drawl in exporting control area</t>
  </si>
  <si>
    <t>Over-drawl in exporting control area</t>
  </si>
  <si>
    <t>Under drawal or over drawal in exporting control area</t>
  </si>
  <si>
    <t>Congestion Charge is delinked from frequency</t>
  </si>
  <si>
    <t>NLDC/ RLDC(s) shall issue a notice for application of congestion charge if congestion persists for</t>
  </si>
  <si>
    <t xml:space="preserve">2 time-blocks not counting the time-block in which warning notice was issued by RLDC </t>
  </si>
  <si>
    <t xml:space="preserve">1 time-blocks counting the time-block in which warning notice was issued by RLDC </t>
  </si>
  <si>
    <t xml:space="preserve">2 time-blocks counting the time-block in which warning notice was issued by RLDC </t>
  </si>
  <si>
    <t xml:space="preserve">4 time-blocks not counting the time-block in which warning notice was issued by RLDC </t>
  </si>
  <si>
    <t>No congestion charge levied for congestion in a transmission corridor, if  congestion has been caused by</t>
  </si>
  <si>
    <t xml:space="preserve">Forced outages of a line </t>
  </si>
  <si>
    <t>Real-time power flow along a corridor exceeds the ATC</t>
  </si>
  <si>
    <t>Grid voltage in the important nodes downstream/ upstream of the corridor is beyond the operating range</t>
  </si>
  <si>
    <t>All of these options</t>
  </si>
  <si>
    <t>TRM is arrived considering</t>
  </si>
  <si>
    <t>2% total anticipated demand met in a control area(s) or largest generating unit in the control area(s)</t>
  </si>
  <si>
    <t>1% total anticipated demand met ina control area(s)/largest generating unit in the control area(s)</t>
  </si>
  <si>
    <t>3% total anticipated demand met ina control area(s)/largest generating unit in the control area(s)</t>
  </si>
  <si>
    <t>Congestion notice is issued under the following circumstances</t>
  </si>
  <si>
    <t xml:space="preserve">Voltage at upstreame/downdtream are beyond operational norms,, </t>
  </si>
  <si>
    <t>real time flow along a corridor is such that n-1 will not be  complied</t>
  </si>
  <si>
    <t>one or more transmision lines in a coridors are loaded beyod the operating range mentioned in planning criterion</t>
  </si>
  <si>
    <t>Comgestion notice shall be withdrawn if</t>
  </si>
  <si>
    <t xml:space="preserve">the power flow in the effected corridor comes  within the ATC for one TMBLK </t>
  </si>
  <si>
    <t xml:space="preserve">the power flow in the effected corridor within the ATC for two TMBLK </t>
  </si>
  <si>
    <t xml:space="preserve">the power flow in the effected corridor within the ATC for 4 TMBLK </t>
  </si>
  <si>
    <t>RLDCs shall disburse the received congestion chrages within</t>
  </si>
  <si>
    <t>3 working days after the receipt.</t>
  </si>
  <si>
    <t>2 working days after the receipt.</t>
  </si>
  <si>
    <t>7 working days after the receipt.</t>
  </si>
  <si>
    <t>The Regional Entity liable to pay congestion charge shall deposit the amount in Congestion Charge Account within</t>
  </si>
  <si>
    <t>3 days</t>
  </si>
  <si>
    <t xml:space="preserve">10 days </t>
  </si>
  <si>
    <t xml:space="preserve">3 days </t>
  </si>
  <si>
    <t xml:space="preserve"> when payment of congestion charge is delayed beyond two days from due date, the Regional entity responsible for 
delay in depositing congestion charge amount shall be liable to pay interest at the 
rate of</t>
  </si>
  <si>
    <t>0.03% per day</t>
  </si>
  <si>
    <t>0.04% per day</t>
  </si>
  <si>
    <t>0.01% per day</t>
  </si>
  <si>
    <t>The TTC, ATC and TRM are  declared by which entity</t>
  </si>
  <si>
    <t>Central Transmission Utility (CTU)</t>
  </si>
  <si>
    <t xml:space="preserve">For TTC Calculations Credible Contingency is </t>
  </si>
  <si>
    <t>Outage of a largest unit in the control area Station</t>
  </si>
  <si>
    <t>Possible overloading of transmission line due to sudden increase in load</t>
  </si>
  <si>
    <t>Outage of a largest unit in the importing control area Station</t>
  </si>
  <si>
    <t>Corridor shall be considered congested</t>
  </si>
  <si>
    <t>Grid voltage in the important nodes downstream/ upstream of the corridor is beyond the operating range specified in the IEGC</t>
  </si>
  <si>
    <t>One or more transmission lines in the corridor are loaded beyond the normal limit specified in CEA Manual</t>
  </si>
  <si>
    <t>The real time power flow along a corridor is such that n-1 criteria may not be satisfied</t>
  </si>
  <si>
    <t>Congestion Charges are billed</t>
  </si>
  <si>
    <t>Every 10 Days</t>
  </si>
  <si>
    <t>After every Congesation</t>
  </si>
  <si>
    <t>Every Week</t>
  </si>
  <si>
    <t>TTC is ____________ in nature and the transfer capability for import of power in a region from another region may be ________ from the transfer capability for export of power from that region</t>
  </si>
  <si>
    <t>Variable, Same</t>
  </si>
  <si>
    <t>Directional, Different</t>
  </si>
  <si>
    <t>Fixed, Same</t>
  </si>
  <si>
    <t>Variable, Over Value</t>
  </si>
  <si>
    <t>Transfer Capability shall be mentioned in</t>
  </si>
  <si>
    <t>KWH</t>
  </si>
  <si>
    <t>MU</t>
  </si>
  <si>
    <t>MW</t>
  </si>
  <si>
    <t>MWH</t>
  </si>
  <si>
    <t>Bidding Mechanim for Day ahead market in Power Exchange</t>
  </si>
  <si>
    <t>single sided open ended auction</t>
  </si>
  <si>
    <t>double sided open end auction</t>
  </si>
  <si>
    <t>single sided close ended auction</t>
  </si>
  <si>
    <t>double sided closed bid auction</t>
  </si>
  <si>
    <t xml:space="preserve">Short term Market means a market with contracts for a period </t>
  </si>
  <si>
    <t>not more than 3 months</t>
  </si>
  <si>
    <t>more than one year</t>
  </si>
  <si>
    <t>not exceeding one year</t>
  </si>
  <si>
    <t>for less than 3 months</t>
  </si>
  <si>
    <t>Power Exchange(s) carry out congestion management in Day Ahead Market using</t>
  </si>
  <si>
    <t>Counter-trading</t>
  </si>
  <si>
    <t>Market splitting</t>
  </si>
  <si>
    <t>Explicit auction</t>
  </si>
  <si>
    <t xml:space="preserve"> redispatching</t>
  </si>
  <si>
    <t>"Spot market” means a market where physical delivery of electricity occurs on a date</t>
  </si>
  <si>
    <t>occurs on the same day as the date of the transaction (T)</t>
  </si>
  <si>
    <t>occurs on the next day (T+ 1)</t>
  </si>
  <si>
    <t>Both A &amp;B</t>
  </si>
  <si>
    <t xml:space="preserve">more than one day       (T + 2 or more) ahead from the date of transaction (T) </t>
  </si>
  <si>
    <t>"Term Ahead market” means a market where physical delivery of electricity occurs on a date</t>
  </si>
  <si>
    <t>occurs either on the same day as the date of the transaction (T) or on the next day (T+ 1)</t>
  </si>
  <si>
    <t xml:space="preserve">more than two day       (T + 3 or more) ahead from the date of transaction (T) </t>
  </si>
  <si>
    <t xml:space="preserve">more than four day       (T + 5 or more) ahead from the date of transaction (T) </t>
  </si>
  <si>
    <t xml:space="preserve">Bids on a constant volume in MWh/h at a certain price in a defined period of  consecutive hours is known as </t>
  </si>
  <si>
    <t>Single-interval bid</t>
  </si>
  <si>
    <t>Portfolio bid</t>
  </si>
  <si>
    <t>Block bid</t>
  </si>
  <si>
    <t xml:space="preserve">Contracts where the capacity of a generating station is booked in advance and consideration is paid by the buyer with the right to require the generator to despatch electricity as and when required is known as </t>
  </si>
  <si>
    <t>REC contracts</t>
  </si>
  <si>
    <t>Ancilary services contracts</t>
  </si>
  <si>
    <t>Capacity contracts</t>
  </si>
  <si>
    <t>Day ahead contract</t>
  </si>
  <si>
    <t>Congestion management method where auctioning of the available inter-connector capacity is carried out and the capacity reservation is done on the basis of the highest bids received</t>
  </si>
  <si>
    <t>Re-dispatching</t>
  </si>
  <si>
    <t>Explicit Auction</t>
  </si>
  <si>
    <t xml:space="preserve">One of the Salient feature of Power Exchange operation in India </t>
  </si>
  <si>
    <t>Mandatory participation</t>
  </si>
  <si>
    <t>Uniform pricing</t>
  </si>
  <si>
    <t>Pay-as bid pricing</t>
  </si>
  <si>
    <t>Single sided bidding</t>
  </si>
  <si>
    <t>For Collective transactions,Transmision losses shall be absorbed  by</t>
  </si>
  <si>
    <t>Buyer of electricity only</t>
  </si>
  <si>
    <t>Seller of electricity only</t>
  </si>
  <si>
    <t>Buyer and Seller of electricity</t>
  </si>
  <si>
    <t>Buyer or Seller of electricity</t>
  </si>
  <si>
    <t>NLDC shall reconcile the Short-Term Open Access Charges collected during the previous month by</t>
  </si>
  <si>
    <t>15th  day of the current month.</t>
  </si>
  <si>
    <t>10th day of the current month.</t>
  </si>
  <si>
    <t>20th day of the current month.</t>
  </si>
  <si>
    <t>25th day of the current month.</t>
  </si>
  <si>
    <t xml:space="preserve">The minimum price tick for bidding in Power Exchanges is </t>
  </si>
  <si>
    <t xml:space="preserve">Rs 0.01/MWh </t>
  </si>
  <si>
    <t xml:space="preserve">Rs 0.1/MWh </t>
  </si>
  <si>
    <t xml:space="preserve">Rs 1/MWh </t>
  </si>
  <si>
    <t xml:space="preserve">Rs 0.001/MWh </t>
  </si>
  <si>
    <t xml:space="preserve">The minimum volume tick for bidding in Power Exchanges is </t>
  </si>
  <si>
    <t>10 MWh</t>
  </si>
  <si>
    <t>1 MWh</t>
  </si>
  <si>
    <t>0.1 MWh</t>
  </si>
  <si>
    <t>0.01 MWh</t>
  </si>
  <si>
    <t>The operating charges(per Regional entity) in case of Collective transactions is</t>
  </si>
  <si>
    <t>Rs 5000</t>
  </si>
  <si>
    <t>Rs 2000</t>
  </si>
  <si>
    <t>Rs 1000</t>
  </si>
  <si>
    <t>Rs 10000</t>
  </si>
  <si>
    <t xml:space="preserve">The total number of Bid areas into which the Indian Power system is divided for Congestion management </t>
  </si>
  <si>
    <t>Total number of Power Exchange(s) given in-principle approval by CERC</t>
  </si>
  <si>
    <t>Format for bidding in Power Exchange is</t>
  </si>
  <si>
    <t>15-minute bidding</t>
  </si>
  <si>
    <t>Hourly bidding</t>
  </si>
  <si>
    <t>30 minute bidiing</t>
  </si>
  <si>
    <t>5 minute bidding</t>
  </si>
  <si>
    <t xml:space="preserve">Operating Charges for Collective Transactions payable per SLDCs
</t>
  </si>
  <si>
    <t>Rs 1000 per day for each point of transaction</t>
  </si>
  <si>
    <t>Rs 2000 per day for each point of transaction</t>
  </si>
  <si>
    <t>Rs 5000 per day for each point of transaction</t>
  </si>
  <si>
    <t>Rs 3000 per day for each point of transaction</t>
  </si>
  <si>
    <t xml:space="preserve">In case of Real Time Congestion Management,the Transmission charges in case of Collective Transactions are </t>
  </si>
  <si>
    <t>not revised</t>
  </si>
  <si>
    <t>Pro-rata refund by NLDC to PX</t>
  </si>
  <si>
    <t>revised in order of priority</t>
  </si>
  <si>
    <t>Day ahead Market saw increase in Cleared Volume after congestion due to</t>
  </si>
  <si>
    <t>Block –bids</t>
  </si>
  <si>
    <t xml:space="preserve">New Sell/Buy bid getting cleared in Final iteration
</t>
  </si>
  <si>
    <t>Prsenetly clearing corporation role is performed by</t>
  </si>
  <si>
    <t>Power Exchanges(s)</t>
  </si>
  <si>
    <t xml:space="preserve">The delivery / drawl of power shall be considered at the </t>
  </si>
  <si>
    <t>State periphery</t>
  </si>
  <si>
    <t>Regional periphery</t>
  </si>
  <si>
    <t>Regional entity periphery</t>
  </si>
  <si>
    <t xml:space="preserve">The Proprietary Member in a power exchange 
</t>
  </si>
  <si>
    <t>right to trade and clear on its own account</t>
  </si>
  <si>
    <t>trade and clear on behalf of its Clients</t>
  </si>
  <si>
    <t>A &amp; B both</t>
  </si>
  <si>
    <t>Regional Entity are those whose</t>
  </si>
  <si>
    <t>metering and energy accounting done by RLDCs</t>
  </si>
  <si>
    <t>metering  done by RLDCs</t>
  </si>
  <si>
    <t>energy accounting done by RLDCs</t>
  </si>
  <si>
    <t>metering and energy accounting done by NLDC</t>
  </si>
  <si>
    <t xml:space="preserve">REC Trading in Power Exchange platform take place </t>
  </si>
  <si>
    <t>Last Tuesday of every month</t>
  </si>
  <si>
    <t>Last Monday of every month</t>
  </si>
  <si>
    <t>Last Wednesday of every month</t>
  </si>
  <si>
    <t>Last Friday of every month</t>
  </si>
  <si>
    <t>Corridor allocation amongst multiple Power Exchange(s) is done using</t>
  </si>
  <si>
    <t>Pro-rata allocation method</t>
  </si>
  <si>
    <t>Counter-trade</t>
  </si>
  <si>
    <t>Explicit auctioning</t>
  </si>
  <si>
    <t>Market Clearing price is the price at which</t>
  </si>
  <si>
    <t>Quantity Demanded&gt;Quantity Supplied</t>
  </si>
  <si>
    <t>Quantity Demanded&lt;Quantity Supplied</t>
  </si>
  <si>
    <t>Quantity Demanded&lt;=Quantity Supplied</t>
  </si>
  <si>
    <t>Quantity Demanded=Quantity Supplied</t>
  </si>
  <si>
    <t>Demand remaining constant irrespective of the price is called</t>
  </si>
  <si>
    <t>Perfectly Elastic</t>
  </si>
  <si>
    <t>Perfectly Inelastic</t>
  </si>
  <si>
    <t>Elastic</t>
  </si>
  <si>
    <t>More Elastic</t>
  </si>
  <si>
    <t xml:space="preserve">The Day-ahead market in Power Exchange is </t>
  </si>
  <si>
    <t>Capacity based market</t>
  </si>
  <si>
    <t>Energy only market</t>
  </si>
  <si>
    <t>Mix of A &amp; B</t>
  </si>
  <si>
    <t>"Consumers discount" w.r.t Social welfare maximization is achieved when</t>
  </si>
  <si>
    <t>Accepted Purchase Bids (&gt;= MCP)</t>
  </si>
  <si>
    <t>Accepted Purchase Bids (= MCP)</t>
  </si>
  <si>
    <t>Accepted Purchase Bids (&lt;= MCP)</t>
  </si>
  <si>
    <t>Accepted Purchase Bids (&gt; MCP)</t>
  </si>
  <si>
    <t>"Generator Surplus" w.r.t Social welfare maximization is achieved when</t>
  </si>
  <si>
    <t xml:space="preserve">Accepted Sale Bids (&lt;MCP)
</t>
  </si>
  <si>
    <t xml:space="preserve">Accepted Sale Bids (&gt;= MCP)
</t>
  </si>
  <si>
    <t xml:space="preserve">Accepted Sale Bids (= MCP)
</t>
  </si>
  <si>
    <t xml:space="preserve">Accepted Sale Bids (&lt;= MCP)
</t>
  </si>
  <si>
    <t>First Power Exchange in India is</t>
  </si>
  <si>
    <t>Power Exchange India Ltd</t>
  </si>
  <si>
    <t>Indian Energy Exchange</t>
  </si>
  <si>
    <t>National Power Exchange</t>
  </si>
  <si>
    <t>National stock Exchange</t>
  </si>
  <si>
    <t>Nodal agency for Collective Transactions is</t>
  </si>
  <si>
    <t xml:space="preserve">In Collective Transactions,Transmission charges are based on </t>
  </si>
  <si>
    <t>Contract path method</t>
  </si>
  <si>
    <t>Locational Marginal pricing</t>
  </si>
  <si>
    <t>Average participation method</t>
  </si>
  <si>
    <t>Transmission and Operating Charges IN CASE OF Collective Transactions are payable by</t>
  </si>
  <si>
    <t>Same day</t>
  </si>
  <si>
    <t>day after tomorrow</t>
  </si>
  <si>
    <t>next working day</t>
  </si>
  <si>
    <t>Application fee payable by PX to NLDC in collective transaction is</t>
  </si>
  <si>
    <t>In Power Exchange,the contracts are</t>
  </si>
  <si>
    <t>Customized</t>
  </si>
  <si>
    <t>Standardized</t>
  </si>
  <si>
    <t>The "Procedure for Scheduling of Collective Transactions" approved by CERC was drafted by</t>
  </si>
  <si>
    <t>SLDCs</t>
  </si>
  <si>
    <t>The auction platform in Power Exchange is</t>
  </si>
  <si>
    <t>Onymous</t>
  </si>
  <si>
    <t>Anonymous</t>
  </si>
  <si>
    <t>Both A &amp; B</t>
  </si>
  <si>
    <t>Price Discovery in Power Exchange is done by matching</t>
  </si>
  <si>
    <t xml:space="preserve">Demand side bid </t>
  </si>
  <si>
    <t>Supply side bid</t>
  </si>
  <si>
    <t>Demand and Supply side bid</t>
  </si>
  <si>
    <t xml:space="preserve">Power Exchange(s) traded contracts are available to </t>
  </si>
  <si>
    <t>limited participants</t>
  </si>
  <si>
    <t>Wider market participants</t>
  </si>
  <si>
    <t xml:space="preserve">Price Discovery in Power Exchange is </t>
  </si>
  <si>
    <t>Opaque</t>
  </si>
  <si>
    <t>Vague</t>
  </si>
  <si>
    <t>Transparent</t>
  </si>
  <si>
    <t>Participants in Power Exchange(s) are required to maintain ------------ account with the Power Exchange(s)</t>
  </si>
  <si>
    <t>Savings</t>
  </si>
  <si>
    <t>Current</t>
  </si>
  <si>
    <t>Margin</t>
  </si>
  <si>
    <t>In principle approval to the first power exchange in the country is accorded by CERC in</t>
  </si>
  <si>
    <t>In case of treatment of Losses in Collective Transactions,Sellers to inject</t>
  </si>
  <si>
    <t>Contracted Power + Losses</t>
  </si>
  <si>
    <t>Contracted Power - Losses</t>
  </si>
  <si>
    <t>Contracted Power</t>
  </si>
  <si>
    <t>In REC,in case of default by any Seller(s) in terms of volume</t>
  </si>
  <si>
    <t>bids of the defaulter(s) to be rejected in both the PXs and auction to be run by both PXs including the defaulter(s) bids.</t>
  </si>
  <si>
    <t>bids of the defaulter(s) to be rejected in both the PXs and auction to be run by both PXs excluding the defaulter(s) bids.</t>
  </si>
  <si>
    <t>bids of the defaulter(s) to be accepted in  both the  PXs and auction to be run by both PXs including the defaulter(s) bids.</t>
  </si>
  <si>
    <t xml:space="preserve"> Power Exchange implementation wherein ownership, management and participation
are clearly demarcated is called</t>
  </si>
  <si>
    <t>Demutualised form</t>
  </si>
  <si>
    <t>Mutualised form</t>
  </si>
  <si>
    <t>Centralised form</t>
  </si>
  <si>
    <t>In Power Exchange,the credit risk is covered by the</t>
  </si>
  <si>
    <t>Members of Power Exchange</t>
  </si>
  <si>
    <t>Clients of Power Exchange</t>
  </si>
  <si>
    <t>Power Exchange</t>
  </si>
  <si>
    <t xml:space="preserve">support services necessary to support the power system (or grid) operation for maintaining power quality, reliability and security of the grid, e.g. active power support for load following, reactive power support, black start, etc. </t>
  </si>
  <si>
    <t>Participants in Power Exchange shall take “Concurrence ,Prior Standing Clearance, or No objection”   from their respective State Load Despatch Centres if applicable before participating in the Power Exchang</t>
  </si>
  <si>
    <t xml:space="preserve">A Power Exchange shall always have a minimum networth  of </t>
  </si>
  <si>
    <t>5 cr</t>
  </si>
  <si>
    <t>15 cr</t>
  </si>
  <si>
    <t>20 cr</t>
  </si>
  <si>
    <t>25 cr</t>
  </si>
  <si>
    <t xml:space="preserve"> Power Exchange separates its clearing function to a Clearing Corporation, PX shall be required to have a minimum networth</t>
  </si>
  <si>
    <t xml:space="preserve">………% of the SGF proceeds shall be kept in safe liquid investments. </t>
  </si>
  <si>
    <t>Any shareholder other than a Member of the Power Exchange can have a maximum (whether directly or indirectly) of …….shareholding in the Power Exchange.</t>
  </si>
  <si>
    <t>A Member of the Power Exchange can have a maximum (whether directly or indirectly) of….. shareholding in the Power Exchange</t>
  </si>
  <si>
    <t>In total, a Power Exchange can have a maximum of --- of its total shareholding owned by entities (whether directly or indirectly) which are Members of the Power Exchange</t>
  </si>
  <si>
    <t xml:space="preserve">The registration of a power exchange shall continue to be in force for a period </t>
  </si>
  <si>
    <t>25 years</t>
  </si>
  <si>
    <t>35 years</t>
  </si>
  <si>
    <t>15 years</t>
  </si>
  <si>
    <t>An application for renewal may be filled at the most …………………years before the expiry of initial registration of Power Exchange.</t>
  </si>
  <si>
    <t>Half year</t>
  </si>
  <si>
    <t>What is the number of independent directors in PX</t>
  </si>
  <si>
    <t>one-third of board</t>
  </si>
  <si>
    <t>minimum 2</t>
  </si>
  <si>
    <t>one-third of board or minimum 2 , whichever is higher</t>
  </si>
  <si>
    <t>Annual Registration charge for PX for annual turnover morethan 10000 MU</t>
  </si>
  <si>
    <t>5 lacs</t>
  </si>
  <si>
    <t>30 lacs</t>
  </si>
  <si>
    <t>Annual Registration charge for PX for annual turnover upto 10000 MU</t>
  </si>
  <si>
    <t>Annual Registration charge for PX for annual turnover upto 5000 MU</t>
  </si>
  <si>
    <t>Technical Qualification for applicant for electicity trader</t>
  </si>
  <si>
    <t>Shall have atleast two professional with Engineering discipline with 10 years experience</t>
  </si>
  <si>
    <t>Shall haveatleast two professional with CA discipline with 5 years experience</t>
  </si>
  <si>
    <t>Membership in Power Exchange shall be of the following three categories</t>
  </si>
  <si>
    <t>Member who is an Electricity Trader</t>
  </si>
  <si>
    <t xml:space="preserve">Member who is a distribution licensee including deemed distribution licensee or a grid connected entity </t>
  </si>
  <si>
    <t>Member who is neither an Electricity Trader  nor distribution licensee including deemed distribution licensee nor a grid connected entity</t>
  </si>
  <si>
    <t>All the above</t>
  </si>
  <si>
    <t>Member Service Charge for providing services to their clients in day ahead and term ahead markets in Power Exchange shall not be more than …... of transaction value</t>
  </si>
  <si>
    <t xml:space="preserve">The Risk management Committee (RMC) shall review the risk management framework and process of the Power Exchange </t>
  </si>
  <si>
    <t>Half-Yearly</t>
  </si>
  <si>
    <t>A Power Exchange which has less than......market share for continuously ..... financial years falling after a period of two years of commencement of its operations shall close operations or merge with an existing Power Exchange with in a period of next six months</t>
  </si>
  <si>
    <t>20%,2</t>
  </si>
  <si>
    <t>30%,3</t>
  </si>
  <si>
    <t>40%,2</t>
  </si>
  <si>
    <t>50%,3</t>
  </si>
  <si>
    <t>a fund maintained by the Power Exchange or Clearing Corporation used for settlement of defaults of its members as prescribed in the default remedy mechanism of Power Exchange</t>
  </si>
  <si>
    <t>Settlement Guarantee Fund</t>
  </si>
  <si>
    <t>Safe Liquid Fund</t>
  </si>
  <si>
    <t>Current Account Fund</t>
  </si>
  <si>
    <t>Clearing Fund</t>
  </si>
  <si>
    <t xml:space="preserve">“inter-State trading” means transfer of </t>
  </si>
  <si>
    <t>electricity from the territory of one State for re-sale to the territory of another State</t>
  </si>
  <si>
    <t>electricity imported from any other country for re-sale in any State of India</t>
  </si>
  <si>
    <t>electricity trade within the state</t>
  </si>
  <si>
    <t>Shall have atleast one professional with Engineering discipline with 10 years experience</t>
  </si>
  <si>
    <t>Shall have atleast one professional with CA discipline with 5 years experience</t>
  </si>
  <si>
    <t>“current ratio” means ratio between the</t>
  </si>
  <si>
    <t>current assets and current liabilities</t>
  </si>
  <si>
    <t>current liabilities  and current assets</t>
  </si>
  <si>
    <t>liquid assets and current liabilities</t>
  </si>
  <si>
    <t>current liabilities  and liquid assets</t>
  </si>
  <si>
    <t>“liquidity ratio” means the ratio between the</t>
  </si>
  <si>
    <t>liquid assets and liquid liabilities</t>
  </si>
  <si>
    <t>liquid liabilities  and liquid assets</t>
  </si>
  <si>
    <t>“promoter” with reference to a company means a person who has promoted and is actively associated with the management of the company or holds not less than …………….. percent of the share capital of such company</t>
  </si>
  <si>
    <t>The applicant shall not be qualified for grant of trading licence if The applicant holds a licence for</t>
  </si>
  <si>
    <t>Generation of electricity</t>
  </si>
  <si>
    <t>transmission of electricity</t>
  </si>
  <si>
    <t>Distribution of electricity</t>
  </si>
  <si>
    <t>All of the Above</t>
  </si>
  <si>
    <t>Volume of Electricity can be traded in a year by Category -I licensee</t>
  </si>
  <si>
    <t>Not more than 100 MU</t>
  </si>
  <si>
    <t>Not more than 500 MU</t>
  </si>
  <si>
    <t>Not more than 1500 MU</t>
  </si>
  <si>
    <t>Volume of Electricity can be traded in a year by Category -II licensee</t>
  </si>
  <si>
    <t>Volume of Electricity can be traded in a year by Category -III licensee</t>
  </si>
  <si>
    <t>Volume of Electricity can be traded in a year by Category -IV licensee</t>
  </si>
  <si>
    <t>Match the following :                         Category        Networth                                a)Category -I        5 crore                                    b)Category-II         15 Crore                                             c) Category-III       50 crore                            d) Category-IV       1 crore</t>
  </si>
  <si>
    <t>a)-I , b)-ii   , c)-iii d -iv)</t>
  </si>
  <si>
    <t>a)-iii  b)- ii     c)- I   d)-iv</t>
  </si>
  <si>
    <t>a)-ii  b)- iii     c)- I  d-iv)</t>
  </si>
  <si>
    <t>a)-i  b)- iii     c)- iv   d)-ii)</t>
  </si>
  <si>
    <t>Trader can undertake trading of electricity upto a max of …… percent of the volume of trade authorized under license granted to him</t>
  </si>
  <si>
    <t xml:space="preserve"> on exceeding the volume of trading authorized in a year under the licence granted to him shall pay licence fee applicable to the higher category for that particular year</t>
  </si>
  <si>
    <t xml:space="preserve">Trading licensee shall furnish monthly information in Forms IV-A, IV-B and IV-C appended to these regulations, separately in respect of inter-State trading, intra-State trading and trading through power exchange so as to reach the Commission before ....... of the succeeding month. </t>
  </si>
  <si>
    <t>5th</t>
  </si>
  <si>
    <t>Where the charge of non-serious contraventions is established aganiest the trading licensee, the comission may</t>
  </si>
  <si>
    <t>not excedds rupees one lakh penelty</t>
  </si>
  <si>
    <t>debar the licensee from trading</t>
  </si>
  <si>
    <t>suspend the licence for trading</t>
  </si>
  <si>
    <t>revoke the licence of the licensee</t>
  </si>
  <si>
    <t xml:space="preserve"> The licensee shall not charge trading margin exceeding ……. paise/kWh in case the sale price is exceeding Rupees three (3.0)/kWh </t>
  </si>
  <si>
    <t xml:space="preserve"> The licensee shall not charge trading margin exceeding ……. paise/kWh in case the sale price is less than Rupees three (3.0)/kWh </t>
  </si>
  <si>
    <t>In a 24 Hrs STOA transaction a Generator is injecting 103.09 MW and Load is drawing 97MW. If the trade is through trader, what will be the Earning of Trader (in Rs) if the sale price is Rs3.05/KWH??</t>
  </si>
  <si>
    <t>A already approved 100MW 24 Hrs STOA transaction is curtailed to 50MW 24Hrs due to Transmission Constratin. Loss of Generator &amp; Load are 5%. If the trade is through trader, what will be the Earning of Trader (in Rs) if the sale price is Rs3.00/KWH??</t>
  </si>
  <si>
    <t>Capacity Charges in the capacity charges of the generating station, in respect of which the schedule has been restricted, shall be paid by the………….</t>
  </si>
  <si>
    <t>Regulating Entity</t>
  </si>
  <si>
    <t>Regulated Entity</t>
  </si>
  <si>
    <t>Trader</t>
  </si>
  <si>
    <t>Transmission Licensee</t>
  </si>
  <si>
    <t>In case regulating entity is a transmission licensee, power supply regulation is to be done from the …………………… source of power</t>
  </si>
  <si>
    <t>Costliest</t>
  </si>
  <si>
    <t>Cheapest</t>
  </si>
  <si>
    <t>Nearest</t>
  </si>
  <si>
    <t>Farthest</t>
  </si>
  <si>
    <t>Notice for regulation of power supply can be withdrawn by giving an advance intimation of……………… days.</t>
  </si>
  <si>
    <t xml:space="preserve">Regulation of Power Supply can be made effective in case of </t>
  </si>
  <si>
    <t>Non maintenance of Payment Security Mechanism</t>
  </si>
  <si>
    <t>Outstanding dues</t>
  </si>
  <si>
    <t>Dispute in contract</t>
  </si>
  <si>
    <t>Non maintenance of Payment Security Mechanism and Outstanding dues scenario</t>
  </si>
  <si>
    <t>The date from which the default in payment or default in maintaining Letter of Credit or any other agreed Payment Security Mechanism has been established is called</t>
  </si>
  <si>
    <t>First Date of Default</t>
  </si>
  <si>
    <t>Last Date</t>
  </si>
  <si>
    <t>Earliest Date</t>
  </si>
  <si>
    <t>Default Trigger Date</t>
  </si>
  <si>
    <t>Which of the following can notify to regulate the power of a defaulting entity?</t>
  </si>
  <si>
    <t>Generating Company</t>
  </si>
  <si>
    <t>Both Generation and Transmission entities</t>
  </si>
  <si>
    <t>Which of the following information is not required when the regualtion of power is done by a generating company.</t>
  </si>
  <si>
    <t>Amount of Outstanding dues</t>
  </si>
  <si>
    <t>Source of  power</t>
  </si>
  <si>
    <t>Quantum and duration of reduction in drawl schedule</t>
  </si>
  <si>
    <t>Quantum and duration of denial of medium‐term open access and/or long‐term access</t>
  </si>
  <si>
    <t>Who prepares the implementation plan of power supply regulation for a regional entity</t>
  </si>
  <si>
    <t>default trigger date for non payment</t>
  </si>
  <si>
    <t>Next day after completion of 60days from issuance of bill</t>
  </si>
  <si>
    <t>Next day after completion of 30days from issuance of bill</t>
  </si>
  <si>
    <t>Next day after completion of 120days from issuance of bill</t>
  </si>
  <si>
    <t>Next day after completion of 180days from issuance of bill</t>
  </si>
  <si>
    <t>default trigger date for non maintance of paymment security mechanism</t>
  </si>
  <si>
    <t xml:space="preserve"> 3rd working day after security mechanism ceases to exit</t>
  </si>
  <si>
    <t xml:space="preserve"> 1st working day after security mechanism ceases to exit</t>
  </si>
  <si>
    <t xml:space="preserve"> 30 days after security mechanism ceases to exit</t>
  </si>
  <si>
    <t xml:space="preserve"> 60 days after security mechanism ceases to exit</t>
  </si>
  <si>
    <t>regulated entity means</t>
  </si>
  <si>
    <t>defaulting benificiary</t>
  </si>
  <si>
    <t>Transmission licensee</t>
  </si>
  <si>
    <t>regulating entity means</t>
  </si>
  <si>
    <t xml:space="preserve">genertaing company  </t>
  </si>
  <si>
    <t>transmission licensee</t>
  </si>
  <si>
    <t>Both Generating &amp; transmision licensee</t>
  </si>
  <si>
    <t>USER means for Reg of power supply</t>
  </si>
  <si>
    <t>generating company , captive plant, DISCOm,bulk consumer connectedto ISTS  at 33kV and above</t>
  </si>
  <si>
    <t>DISCOM &amp; Bulk Consumers connected to ISTS</t>
  </si>
  <si>
    <t>Both A&amp;B</t>
  </si>
  <si>
    <t>notice for regulation shall include</t>
  </si>
  <si>
    <t>outstanding amount, quantum of reduction in drawal schedule, qoantum of LTA/MTOA denied</t>
  </si>
  <si>
    <t>in case of generator the souce from which reduction of drawal to be implemented, in case of transmision licensee the line or corridor were access to be denied</t>
  </si>
  <si>
    <t>Notice of implementation of regulation of power supply shall be isued</t>
  </si>
  <si>
    <t>3days in advance from date of implementation</t>
  </si>
  <si>
    <t>one week in advance from date of implementation</t>
  </si>
  <si>
    <t>one month in advance from date of implementation</t>
  </si>
  <si>
    <t>Regulation shall be imposed</t>
  </si>
  <si>
    <t>from 4th day of serving the notice</t>
  </si>
  <si>
    <t>from 3rd day of serving the notice</t>
  </si>
  <si>
    <t>from 2nd day of serving the notice</t>
  </si>
  <si>
    <t>from 1st day of serving the notice</t>
  </si>
  <si>
    <t xml:space="preserve">withdrawal of postponedment shall be informed </t>
  </si>
  <si>
    <t>2days prior to date of proposed implementation</t>
  </si>
  <si>
    <t>3days prior to date of proposed implementation</t>
  </si>
  <si>
    <t>7days prior to date of proposed implementation</t>
  </si>
  <si>
    <t xml:space="preserve">amount received from the sale of regulated power after adjustment of energy charge and anyothe rcharge shall be </t>
  </si>
  <si>
    <t>adjusted against the outstanding dues.</t>
  </si>
  <si>
    <t>adjusted against the anyother outstanding dues by defaulting entity</t>
  </si>
  <si>
    <t>Any amount remained after all adjustment even after liquidating the outstanding the balance amount shall be passed to</t>
  </si>
  <si>
    <t>regulated entity</t>
  </si>
  <si>
    <t>regulating entity</t>
  </si>
  <si>
    <t>shared equally between regulated and regulating entity</t>
  </si>
  <si>
    <t>in case of hydro stations during spilage period if takers could not arrange, then they may inject the power through DSM after taking permission from RLDC</t>
  </si>
  <si>
    <t>capacity charge of the regulated power shall be borne b</t>
  </si>
  <si>
    <t>The entity to whome the regulated power is scheduled</t>
  </si>
  <si>
    <t>Other benificiaries of regulationg entity</t>
  </si>
  <si>
    <t>Present tariff regulations are valid for a period of___________from 01.04.14</t>
  </si>
  <si>
    <t>10 years</t>
  </si>
  <si>
    <t>What is the meaning of additional Capitalisation under Terms and Conditions of Tariff?</t>
  </si>
  <si>
    <t xml:space="preserve">Capital expenditure incurred upto COD </t>
  </si>
  <si>
    <t>Capital expenditure incurred upto cut off date</t>
  </si>
  <si>
    <t>Capital expenditure incurred between COD &amp; cut off date</t>
  </si>
  <si>
    <t>Capital expenditure incurred upto project scheduled date</t>
  </si>
  <si>
    <t>What is the significance of Cut off date?</t>
  </si>
  <si>
    <t xml:space="preserve">The owner of asset can start billing from that date   </t>
  </si>
  <si>
    <t xml:space="preserve">additional capitalisation would be allowed upto this date for a new project.   </t>
  </si>
  <si>
    <t xml:space="preserve">last date for filing tariff petition </t>
  </si>
  <si>
    <t xml:space="preserve">last date for completing all expenditure. </t>
  </si>
  <si>
    <t>Design energy is relevant w.r.t.________</t>
  </si>
  <si>
    <t>Thermal station</t>
  </si>
  <si>
    <t>Hydro station</t>
  </si>
  <si>
    <t>Transmission System</t>
  </si>
  <si>
    <t>Gross calorific value is measured in _____</t>
  </si>
  <si>
    <t xml:space="preserve">Kcal/kg of  coal </t>
  </si>
  <si>
    <t xml:space="preserve">kcal/lit of liquid fuel  </t>
  </si>
  <si>
    <t xml:space="preserve">kcal/m3 of gas </t>
  </si>
  <si>
    <t xml:space="preserve">Gross Station Heat rate is measured in ____ </t>
  </si>
  <si>
    <t>K cal/kWh</t>
  </si>
  <si>
    <t>k cal/kg</t>
  </si>
  <si>
    <t>kcal/kW</t>
  </si>
  <si>
    <t>kwh/kcal</t>
  </si>
  <si>
    <t>When is the earliest date for filing of Tariff Petition in case of CERC  Terms and Conditions of Tariff Regulations 2014-2019?</t>
  </si>
  <si>
    <t>one year before expected date of completion of project</t>
  </si>
  <si>
    <t>6 months before expected date of completion of project</t>
  </si>
  <si>
    <t>6 months before COD</t>
  </si>
  <si>
    <t>6 months before cutoff date</t>
  </si>
  <si>
    <t>What is the value of equity in capital cost of the power project?</t>
  </si>
  <si>
    <t>70% of capital cost</t>
  </si>
  <si>
    <t>30% of capital cost</t>
  </si>
  <si>
    <t>30% of loan amount.</t>
  </si>
  <si>
    <t>30% capital cost or actual equity whichever is low.</t>
  </si>
  <si>
    <t>Expenditure towards initial spares is a part of _______</t>
  </si>
  <si>
    <t>O&amp;M charges</t>
  </si>
  <si>
    <t>Annual fixed charges</t>
  </si>
  <si>
    <t>Capital cost</t>
  </si>
  <si>
    <t>Working capital</t>
  </si>
  <si>
    <t>What is the objective of allowing renovation and modernisation costs?</t>
  </si>
  <si>
    <t>seek special allowance</t>
  </si>
  <si>
    <t>seek higher tariff</t>
  </si>
  <si>
    <t xml:space="preserve">extend life beyond useful life and achieve higher operational performs  </t>
  </si>
  <si>
    <t>increase profitability of project owner</t>
  </si>
  <si>
    <t>A company had invested Rs.20 cr. from its own resources; if the total cost of the project is Rs.100 cr. what is the equity ?</t>
  </si>
  <si>
    <t>Rs. 80 cr.</t>
  </si>
  <si>
    <t>Rs.30 cr.</t>
  </si>
  <si>
    <t>Rs.20 cr</t>
  </si>
  <si>
    <t>Rs.70 cr.</t>
  </si>
  <si>
    <t>A company had invested Rs.40 cr. from its own resources; if the total cost of the project is Rs.100 cr. What is the amount admissible as equity ?</t>
  </si>
  <si>
    <t>A company had taken a loan of Rs.60 cr. and invested Rs.40 cr. from own resources. What is the  treatment of loan component?</t>
  </si>
  <si>
    <t xml:space="preserve">Rs.70 cr. treated as loan at SBI PLR  </t>
  </si>
  <si>
    <t>Rs.60 cr. is treated  at actual rate of interest and Rs.10 cr. at normative interest rate</t>
  </si>
  <si>
    <t>Rs.70 cr treated as loan at actual interest rate</t>
  </si>
  <si>
    <t>Rs.70 cr at wt. average rate of interest</t>
  </si>
  <si>
    <t>What is the debt: equity ratio allowed by CERC for the control period 14 - 19 ?</t>
  </si>
  <si>
    <t xml:space="preserve"> 80:20</t>
  </si>
  <si>
    <t>75:25</t>
  </si>
  <si>
    <t>40:40</t>
  </si>
  <si>
    <t>As per terms &amp; conditions of tariff, tariff determined by the Regulator for generating stations consists of __________</t>
  </si>
  <si>
    <t>single part tariff</t>
  </si>
  <si>
    <t>two part tariff comprising capacity charges and energy charges</t>
  </si>
  <si>
    <t>three part tariff consisting of capacity charges, energy charges and UI charges</t>
  </si>
  <si>
    <t>4 part tariff consisting of capacity charges, energy charges, UI charges and incentive.</t>
  </si>
  <si>
    <t>O&amp;M expenses of a generating station are recovered through ____</t>
  </si>
  <si>
    <t>annual fixed charges</t>
  </si>
  <si>
    <t>energy charges</t>
  </si>
  <si>
    <t>working capital</t>
  </si>
  <si>
    <t>maintenance spares</t>
  </si>
  <si>
    <t>Cost of secondary fuel oil for coal/lignite based generating stations is recovered through ______</t>
  </si>
  <si>
    <t>annual fixed cost</t>
  </si>
  <si>
    <t>Which one of the following is not a part of annual fixed cost</t>
  </si>
  <si>
    <t>Working Capital</t>
  </si>
  <si>
    <t>What is the base rate of return on equity for thermal generation?</t>
  </si>
  <si>
    <t>What is the benefit,  if a project is completed within schedule?</t>
  </si>
  <si>
    <t>COD can be declared early</t>
  </si>
  <si>
    <t>billing can start early</t>
  </si>
  <si>
    <t>additional return on equity will be allowed</t>
  </si>
  <si>
    <t>incentive will be given</t>
  </si>
  <si>
    <t>What is the additional return on equity allowed for timely completion of a project</t>
  </si>
  <si>
    <t>If 't' is the applicable tax rate, rate of pre-tax return on equity is _____</t>
  </si>
  <si>
    <t>base rate of ROE x  (1-t)</t>
  </si>
  <si>
    <t xml:space="preserve">base rate of ROE  x (1+t) </t>
  </si>
  <si>
    <t>base rate of ROE/(1+t)</t>
  </si>
  <si>
    <t>base rate of ROE / (1-t)</t>
  </si>
  <si>
    <t>Depreciation is allowed upto a maximum of ___</t>
  </si>
  <si>
    <t>80% of capital cost</t>
  </si>
  <si>
    <t>90% of capital cost</t>
  </si>
  <si>
    <t>10% of capital cost</t>
  </si>
  <si>
    <t>90% of equity invested</t>
  </si>
  <si>
    <t xml:space="preserve">Depreciation is calculated as a percentage of ….. </t>
  </si>
  <si>
    <t>Loan component</t>
  </si>
  <si>
    <t>Equity</t>
  </si>
  <si>
    <t>Salvage value of an asset (generator / transmission) for allowing depreciation is</t>
  </si>
  <si>
    <t>What  is the rate of depreciation for Land under free hold (full ownership)?</t>
  </si>
  <si>
    <t xml:space="preserve">zero %  </t>
  </si>
  <si>
    <t xml:space="preserve">Is there any consideration for the vintage (age) of the generating stations while specifying the O&amp;M expenses? </t>
  </si>
  <si>
    <t xml:space="preserve">there is no relation  </t>
  </si>
  <si>
    <t xml:space="preserve">Less O&amp;M exp specified for older plants  </t>
  </si>
  <si>
    <t xml:space="preserve">Higher O&amp;M exp specified for older plant  </t>
  </si>
  <si>
    <t>depends on case to case basis</t>
  </si>
  <si>
    <t xml:space="preserve">Normative O&amp;M expenditure of a Sub-station </t>
  </si>
  <si>
    <t xml:space="preserve">Decreases with increase in voltage level  </t>
  </si>
  <si>
    <t xml:space="preserve">Increases with increase in voltage level  </t>
  </si>
  <si>
    <t xml:space="preserve">Not related to voltage level  </t>
  </si>
  <si>
    <t>is a percentage of capital cost</t>
  </si>
  <si>
    <t>The fixed charges of a Thermal / Hydro Generating station is computed on _________   basis and recovered on ________ basis</t>
  </si>
  <si>
    <t xml:space="preserve">Monthly, Annual   </t>
  </si>
  <si>
    <t xml:space="preserve">Annual, Monthly  </t>
  </si>
  <si>
    <t xml:space="preserve">5 Yearly, Annual   </t>
  </si>
  <si>
    <t xml:space="preserve">Tariff period, Monthly  </t>
  </si>
  <si>
    <t xml:space="preserve">The total Capacity Charges receivable by a Generating station shall be shared by its Beneficiaries as per ______ </t>
  </si>
  <si>
    <t xml:space="preserve">Average Requisitions   </t>
  </si>
  <si>
    <t xml:space="preserve">Average Share Allocation   </t>
  </si>
  <si>
    <t xml:space="preserve">Maximum Entitlement in peak hours   </t>
  </si>
  <si>
    <t>Maximum Entitlement in the month</t>
  </si>
  <si>
    <t>For plants achieving higher Availability Factor than Normative Availability Factor.  What is the advantage ?</t>
  </si>
  <si>
    <t xml:space="preserve">No advantage  </t>
  </si>
  <si>
    <t xml:space="preserve">Incentive in terms of Energy Charges would be paid  </t>
  </si>
  <si>
    <t xml:space="preserve">Incentive in terms of Annual Fixed Charges would be paid  </t>
  </si>
  <si>
    <t>Incentive in terms of higher Return on Equity would be paid</t>
  </si>
  <si>
    <t xml:space="preserve">Energy charges shall be payable by every Beneficiary  as per </t>
  </si>
  <si>
    <t xml:space="preserve">Share allocation  </t>
  </si>
  <si>
    <t xml:space="preserve">Total energy schedule in the month on ex power plant  </t>
  </si>
  <si>
    <t xml:space="preserve">Total energy scheduled in the month on ex-periphery of the beneficiary    </t>
  </si>
  <si>
    <t>Total drawal schedule of beneficiary including all contracts</t>
  </si>
  <si>
    <t>How is the quantum of  Primary Fuel in Energy Charge Rate obtained?</t>
  </si>
  <si>
    <t>On actual Consumption basis</t>
  </si>
  <si>
    <t xml:space="preserve">On Normative consumption of primary fuel  </t>
  </si>
  <si>
    <t>On certificate basis</t>
  </si>
  <si>
    <t>Based on last year consumption</t>
  </si>
  <si>
    <t xml:space="preserve">Gross Station Heat Rate influences the </t>
  </si>
  <si>
    <t xml:space="preserve">Fixed charges  </t>
  </si>
  <si>
    <t xml:space="preserve">Energy charges   </t>
  </si>
  <si>
    <t xml:space="preserve">Incentive   </t>
  </si>
  <si>
    <t>Nothing</t>
  </si>
  <si>
    <t>How are the savings, achieved due to Actual Consumption of Secondary Fuel Oil being less than Normative Consumption, treated?</t>
  </si>
  <si>
    <t xml:space="preserve">Retained by the generator   </t>
  </si>
  <si>
    <t xml:space="preserve">Passed on to beneficiaries   </t>
  </si>
  <si>
    <t xml:space="preserve">Shared 50:50 basis with beneficiaries   </t>
  </si>
  <si>
    <t>Shared on 60:40 basis between generator &amp;  beneficiaries</t>
  </si>
  <si>
    <t>What is the maximum value of Normative Annual Plant Availability factor specified for thermal stations?</t>
  </si>
  <si>
    <t>For coal based generating stations, Gross Station Heat Rate is in the range of …… kCal/kWh</t>
  </si>
  <si>
    <t>1000 - 2000</t>
  </si>
  <si>
    <t>2000 - 3500</t>
  </si>
  <si>
    <t>3500 - 4500</t>
  </si>
  <si>
    <t>&gt; 4500</t>
  </si>
  <si>
    <t xml:space="preserve">If the boiler feed pump in a station is changed from "Electric Driven" to "Turbine/Steam Driven" then the Gross Heat Rate </t>
  </si>
  <si>
    <t>Increases</t>
  </si>
  <si>
    <t>Decreases</t>
  </si>
  <si>
    <t>No Effect</t>
  </si>
  <si>
    <t>The two are not related</t>
  </si>
  <si>
    <t>If station P has sets of 500MW and station Q has sets of 210 MW size, then what is the relation between Gross Station Heat Rates of P &amp; Q?</t>
  </si>
  <si>
    <t xml:space="preserve">P&lt;Q    </t>
  </si>
  <si>
    <t xml:space="preserve">P&gt;Q   </t>
  </si>
  <si>
    <t xml:space="preserve">P=Q    </t>
  </si>
  <si>
    <t>The Gross Station Heat Rate of Combined Cycle Gas Station is</t>
  </si>
  <si>
    <t xml:space="preserve">More than that of Open cycle station   </t>
  </si>
  <si>
    <t xml:space="preserve">Less than that of  Open cycle station  </t>
  </si>
  <si>
    <t xml:space="preserve">Equal to Open cycle mode   </t>
  </si>
  <si>
    <t>No relation with Open cycle mode of operation</t>
  </si>
  <si>
    <t>Higher the Gross Heat Rate,____</t>
  </si>
  <si>
    <t xml:space="preserve">Lower the Energy Charge rate   </t>
  </si>
  <si>
    <t xml:space="preserve">Higher the Energy Charge rate   </t>
  </si>
  <si>
    <t xml:space="preserve">Higher the Fixed Charge   </t>
  </si>
  <si>
    <t xml:space="preserve">Higher the Incentive </t>
  </si>
  <si>
    <t>On which of the following factors does Design Heat rate depend on? 1.Pressure rating of boiler, super heater temperature and re-heater temperature  2.Type of boiler feed pump (Electrical/steam driven)  3.Type of fuel</t>
  </si>
  <si>
    <t>1 and 2</t>
  </si>
  <si>
    <t>2 and 3</t>
  </si>
  <si>
    <t>1 and 3</t>
  </si>
  <si>
    <t>All 1,2 and 3</t>
  </si>
  <si>
    <t>What is full form of CFBC technology?</t>
  </si>
  <si>
    <t xml:space="preserve">Cold Furnace Bed Combustion  </t>
  </si>
  <si>
    <t xml:space="preserve">Circulating Furnace Blast Combustion  </t>
  </si>
  <si>
    <t xml:space="preserve">Circulating Fluidized Bed Combustion  </t>
  </si>
  <si>
    <t>Circulating Furnace Boiler Combustion</t>
  </si>
  <si>
    <t xml:space="preserve">What is the relation between unit size and % Auxiliary consumption? </t>
  </si>
  <si>
    <t xml:space="preserve">Auxilliary consumption is more as unit size increases   </t>
  </si>
  <si>
    <t xml:space="preserve">Auxilliary consumption % is less as unit size increases  </t>
  </si>
  <si>
    <t>Auxilliary consumption is not dependant on Unit Size</t>
  </si>
  <si>
    <t>Auxilliary consumption is a fixed % of Capacity</t>
  </si>
  <si>
    <t>Pick up the right order of stations with respect to auxiliary consumption.</t>
  </si>
  <si>
    <t xml:space="preserve">Hydro&gt;gas&gt;coal&gt;lignite  </t>
  </si>
  <si>
    <t>Coal&gt;gas&gt;hydro&gt;lignite</t>
  </si>
  <si>
    <t xml:space="preserve">Lignite&gt;coal&gt;gas&gt;hydro   </t>
  </si>
  <si>
    <t xml:space="preserve">Gas&gt;hydro&gt;lignite&gt;coal   </t>
  </si>
  <si>
    <t>Which of the following relations is true with respect to Normative Auxiliary consumption of gas stations?</t>
  </si>
  <si>
    <t xml:space="preserve">Open cycle&gt;combined cycle  </t>
  </si>
  <si>
    <t xml:space="preserve">Combined cycle&gt;open cycle   </t>
  </si>
  <si>
    <t xml:space="preserve">Combined cycle=open cycle   </t>
  </si>
  <si>
    <t>Does not depend on whether combined cycle or open cycle</t>
  </si>
  <si>
    <t xml:space="preserve">Which agency decides the share allocation in Central Generating Stations? </t>
  </si>
  <si>
    <t xml:space="preserve">Central Govt. </t>
  </si>
  <si>
    <t xml:space="preserve">RPC   </t>
  </si>
  <si>
    <t xml:space="preserve">RLDC </t>
  </si>
  <si>
    <t xml:space="preserve">Compare the Normative Auxiliary consumption of Surface Hydro station and Underground Hydro station.   </t>
  </si>
  <si>
    <t xml:space="preserve">Surface Hydro &gt;Underground Hydro </t>
  </si>
  <si>
    <t>Surface Hydro &lt; Underground Hydro</t>
  </si>
  <si>
    <t xml:space="preserve">Surface Hydro = Underground Hydro </t>
  </si>
  <si>
    <t>Can not say</t>
  </si>
  <si>
    <t xml:space="preserve">Useful life of  AC Substations is </t>
  </si>
  <si>
    <t>20 years</t>
  </si>
  <si>
    <t>depends on voltage level</t>
  </si>
  <si>
    <t xml:space="preserve">Initial Spare allowed for Transmission lines as % of capital cost is </t>
  </si>
  <si>
    <t>While computing depreciable value of asset following will not be included</t>
  </si>
  <si>
    <t>Building</t>
  </si>
  <si>
    <t>Plant &amp; Machinery</t>
  </si>
  <si>
    <t xml:space="preserve">Land </t>
  </si>
  <si>
    <t xml:space="preserve">Everything will be included </t>
  </si>
  <si>
    <t xml:space="preserve">Working capital in case of transmission projects include O&amp; M expenses of </t>
  </si>
  <si>
    <t>Two months</t>
  </si>
  <si>
    <t>One Month</t>
  </si>
  <si>
    <t>Not allowed</t>
  </si>
  <si>
    <t>Three month</t>
  </si>
  <si>
    <t>How many days are allowed  to the beneficiary for payment of bill  raised by transmission licensee without surcharges</t>
  </si>
  <si>
    <t xml:space="preserve">90 days </t>
  </si>
  <si>
    <t xml:space="preserve">O&amp; M charges for sub stations are graded according to </t>
  </si>
  <si>
    <t>Voltage</t>
  </si>
  <si>
    <t>Age</t>
  </si>
  <si>
    <t>Location</t>
  </si>
  <si>
    <t>Both Voltage &amp; Age</t>
  </si>
  <si>
    <t>O &amp; M charges of Transmission lines are graded according to:</t>
  </si>
  <si>
    <t>Voltage only</t>
  </si>
  <si>
    <t>No. of circuit and voltage</t>
  </si>
  <si>
    <t>No. of circuit and No. of conductors</t>
  </si>
  <si>
    <t xml:space="preserve">Voltage and No. of conductors </t>
  </si>
  <si>
    <t>How the benefits of refinancing of debt is to be shared between beneficiary and utility</t>
  </si>
  <si>
    <t>Only beneficiary</t>
  </si>
  <si>
    <t>Only Utility</t>
  </si>
  <si>
    <t xml:space="preserve">Maximum time period defined under  appendix-II timely completion is for </t>
  </si>
  <si>
    <t xml:space="preserve">765 KV S/C in snow bound area </t>
  </si>
  <si>
    <t>400 kV D/C Quad conductor in Snow bound</t>
  </si>
  <si>
    <t>500 kV HVDC Line in snow bound area</t>
  </si>
  <si>
    <t xml:space="preserve"> 400 kV triple conductor in Snow bound area</t>
  </si>
  <si>
    <t>Guideline for tariff determination for Generating station is given in following section of Electricity Act,2003</t>
  </si>
  <si>
    <t>Section 15</t>
  </si>
  <si>
    <t>Section 79</t>
  </si>
  <si>
    <t>Section 61</t>
  </si>
  <si>
    <t>Section 178</t>
  </si>
  <si>
    <t xml:space="preserve">Transmission system availability  factor is to be computed </t>
  </si>
  <si>
    <t xml:space="preserve">Payment through letter of credit entitled  beneficiary a rebate of </t>
  </si>
  <si>
    <t>if a company invested complete cost of  100 crs from its own resources , it will get  rate of return of equity  on</t>
  </si>
  <si>
    <t>50 crs</t>
  </si>
  <si>
    <t>70 crs</t>
  </si>
  <si>
    <t>30 crs</t>
  </si>
  <si>
    <t>100 crs</t>
  </si>
  <si>
    <t xml:space="preserve">The normative annual plant availabiliy factor of Generating projects in 2014-19 regulation is </t>
  </si>
  <si>
    <t xml:space="preserve">The norms for gross station heat rate for  500 MW existing coal based project in 2014-19  is </t>
  </si>
  <si>
    <t xml:space="preserve"> 2500 kCal /kWh </t>
  </si>
  <si>
    <t xml:space="preserve"> 2375 kCal /kWh</t>
  </si>
  <si>
    <t xml:space="preserve"> 2600 kCal /kWh </t>
  </si>
  <si>
    <t>2450 kCal /kWh</t>
  </si>
  <si>
    <t>Who shall  certify the Monthly Availability factor of Transmission system</t>
  </si>
  <si>
    <t>GM, NLDC</t>
  </si>
  <si>
    <t>Chief (Engg), CERC</t>
  </si>
  <si>
    <t>Member Secretary, RPC</t>
  </si>
  <si>
    <t>Chairperson, CEA</t>
  </si>
  <si>
    <t xml:space="preserve">Useful life of Hydro Generating station is </t>
  </si>
  <si>
    <t>50 years</t>
  </si>
  <si>
    <t xml:space="preserve">The date of commercial operation for transmission system shall be </t>
  </si>
  <si>
    <t xml:space="preserve"> First day of month</t>
  </si>
  <si>
    <t>Last day of month</t>
  </si>
  <si>
    <t xml:space="preserve">The following day of 24 hour trial run </t>
  </si>
  <si>
    <t>Will be as certified by Regional Power Committee</t>
  </si>
  <si>
    <t>Which Regulatory system is adopted by CERC</t>
  </si>
  <si>
    <t>Yardstick competition</t>
  </si>
  <si>
    <t>Cost Plus</t>
  </si>
  <si>
    <t>Price Cap</t>
  </si>
  <si>
    <t>Output regulation</t>
  </si>
  <si>
    <t>For GIS spares amendment in Tariff Regulation proposed</t>
  </si>
  <si>
    <t xml:space="preserve">3.5% of Capital Cost </t>
  </si>
  <si>
    <t xml:space="preserve">2.5% of Capital cost </t>
  </si>
  <si>
    <t xml:space="preserve">On actual expenditure </t>
  </si>
  <si>
    <t xml:space="preserve">5% of capital cost </t>
  </si>
  <si>
    <t>Determination of Tariff of Inter- state transmission system is a function of CERC under Electricity Act,2003</t>
  </si>
  <si>
    <t>Section 25</t>
  </si>
  <si>
    <t xml:space="preserve"> Components of Annual Fixed charges for central Generating stations  are </t>
  </si>
  <si>
    <t xml:space="preserve">What value of Minimum Alternate tax( MAT) is assumed in Regulation </t>
  </si>
  <si>
    <t>In case of delay in payment of bills how much surcharge shall be levied</t>
  </si>
  <si>
    <t xml:space="preserve">as per prevailing bank interest </t>
  </si>
  <si>
    <t xml:space="preserve">1.5 %per month </t>
  </si>
  <si>
    <t>1.25% per month</t>
  </si>
  <si>
    <t>9.5% per annum</t>
  </si>
  <si>
    <t xml:space="preserve">Provisional tariff for central generating station can be granted upto </t>
  </si>
  <si>
    <t>For series compensation and HVDC  stations Spares allowed as % of capital cost is:</t>
  </si>
  <si>
    <t xml:space="preserve">The auxiliary Consumption norms for  500 MW thermal station in 2014-19 regulation with steam driven boiler feed pumps </t>
  </si>
  <si>
    <t xml:space="preserve">Maximum Initial spares  as % of capital cost are allowed for </t>
  </si>
  <si>
    <t>HVDC Station</t>
  </si>
  <si>
    <t>Hydro Station</t>
  </si>
  <si>
    <t xml:space="preserve">Gas Insulated Sub-station </t>
  </si>
  <si>
    <t>Thermal-Coal Station</t>
  </si>
  <si>
    <t xml:space="preserve">Income tax on DSM income of generation stations is borne in 2009-14 Regulation by </t>
  </si>
  <si>
    <t xml:space="preserve">Beneficiary </t>
  </si>
  <si>
    <t>Shared between both</t>
  </si>
  <si>
    <t>Tax is not applicable on this income</t>
  </si>
  <si>
    <t xml:space="preserve">Truing up of the tariff   for 2014-19 shall be carried out </t>
  </si>
  <si>
    <t xml:space="preserve">During 18 - 19 </t>
  </si>
  <si>
    <t>Can be done any time</t>
  </si>
  <si>
    <t xml:space="preserve">Intrium Truing up in 2016-17 anf final during 19 - 20 </t>
  </si>
  <si>
    <t>No truing up of tariff is required in 2014-19 period</t>
  </si>
  <si>
    <t xml:space="preserve">Useful life of what  will be used in computation of tariff  for </t>
  </si>
  <si>
    <t>rate of return</t>
  </si>
  <si>
    <t>interest on working capital</t>
  </si>
  <si>
    <t xml:space="preserve">depreciation </t>
  </si>
  <si>
    <t xml:space="preserve">O&amp;M charges </t>
  </si>
  <si>
    <t xml:space="preserve">Special compensation allowance is admissible  to </t>
  </si>
  <si>
    <t>All generating companies and transmission licensees</t>
  </si>
  <si>
    <t xml:space="preserve"> All hydro generating stations</t>
  </si>
  <si>
    <t>Only coal based or lignite based station</t>
  </si>
  <si>
    <t>gas stations</t>
  </si>
  <si>
    <t xml:space="preserve">In case normative  Annual transmission availability is less than operation norm fixed by Commission then tariff would:  </t>
  </si>
  <si>
    <t xml:space="preserve">Increases </t>
  </si>
  <si>
    <t xml:space="preserve">Decrease proportionately </t>
  </si>
  <si>
    <t>Only incentive will not be payable</t>
  </si>
  <si>
    <t>If COD is 15 Oct. 2015 for a project, then the cut off date would be</t>
  </si>
  <si>
    <t>31.3.2016</t>
  </si>
  <si>
    <t>31.3.2017</t>
  </si>
  <si>
    <t>31.3.2018</t>
  </si>
  <si>
    <t>31.3.2019</t>
  </si>
  <si>
    <t xml:space="preserve">Medium term usage of transmission system means </t>
  </si>
  <si>
    <t>use upto 5 years</t>
  </si>
  <si>
    <t>use upto three years</t>
  </si>
  <si>
    <t>use upto 1 year</t>
  </si>
  <si>
    <t>use upto 7 years</t>
  </si>
  <si>
    <t xml:space="preserve">Normative  Annual Transmission Availability factor for AC system is </t>
  </si>
  <si>
    <t xml:space="preserve">Auxiliary Energy consumption in AC sub station shall be reimbursed through </t>
  </si>
  <si>
    <t xml:space="preserve"> Actual expenditure in monthly billing</t>
  </si>
  <si>
    <t>Power allocation from Government of India</t>
  </si>
  <si>
    <t>By inclusion in normative O&amp; M expenditure</t>
  </si>
  <si>
    <t>shall be borne by licensee himself</t>
  </si>
  <si>
    <t xml:space="preserve">Rate of interest on working capital shall be equal to </t>
  </si>
  <si>
    <t>Long term weighted average cost of debt</t>
  </si>
  <si>
    <t>Short term Prime lending rate of SBI</t>
  </si>
  <si>
    <t>On actual bais</t>
  </si>
  <si>
    <t>The tariff Regulation of CERC  is applicable to generating stations                                                                                                     (1) Generating stations owned or controlled by the Central Government;                                                                                         (2)Generating stations other than those owned or controlled by the Central Government having a composite scheme for generation and sale of electricity in more than one state;                                                   (3) Generating stations owned or controlled by the State Government and supplying power within the State;                                                                           (4) Generating stations supplying power to the trader</t>
  </si>
  <si>
    <t>2&amp;3</t>
  </si>
  <si>
    <t>4&amp;1</t>
  </si>
  <si>
    <t xml:space="preserve">Rate of Post  tax return allowed for the storage type hydro generating station in tariff period 2014-19 is  </t>
  </si>
  <si>
    <t xml:space="preserve">Useful life of  a thermal generating station is </t>
  </si>
  <si>
    <t xml:space="preserve">50 years </t>
  </si>
  <si>
    <t xml:space="preserve">Initial Spares allowed for a gas based generating station as a %  of capital cost is </t>
  </si>
  <si>
    <t xml:space="preserve">If the actual equity deployed is 25% then what would be the Debt Equity ratio considered for the purpose of tariff  for project  declared under commercial operation after 1.4.2009  </t>
  </si>
  <si>
    <t>In interest on working capital, two month receivable means</t>
  </si>
  <si>
    <t xml:space="preserve"> Fixed and energy charges of two month </t>
  </si>
  <si>
    <t>Interest of two months</t>
  </si>
  <si>
    <t>salary of employees for two months</t>
  </si>
  <si>
    <t>Spares for two months</t>
  </si>
  <si>
    <t xml:space="preserve">The loan repayment is considered equal to  </t>
  </si>
  <si>
    <t xml:space="preserve"> annual depreciation</t>
  </si>
  <si>
    <t>actual repayment</t>
  </si>
  <si>
    <t>Normative repayment</t>
  </si>
  <si>
    <t xml:space="preserve"> lower of actual and normative</t>
  </si>
  <si>
    <t xml:space="preserve">The rate of interest for the computation of interest on loan shall be </t>
  </si>
  <si>
    <t xml:space="preserve"> weighted average rate of interest on the basis of actual loan portfolio</t>
  </si>
  <si>
    <t xml:space="preserve"> SBI PLR</t>
  </si>
  <si>
    <t>Max rate of interest on the basis of actual loan portfolio</t>
  </si>
  <si>
    <t xml:space="preserve">Min rate of interest on the basis of actual loan portfolio </t>
  </si>
  <si>
    <t xml:space="preserve">How many times truing up exercise can be taken up by the Commission during the tariff period </t>
  </si>
  <si>
    <t>One</t>
  </si>
  <si>
    <t xml:space="preserve">Two </t>
  </si>
  <si>
    <t xml:space="preserve">Three </t>
  </si>
  <si>
    <t>Cannot be taken up</t>
  </si>
  <si>
    <t>If the station COD is 3.1.2010 then what would be the cut off date</t>
  </si>
  <si>
    <t>31.3.2010</t>
  </si>
  <si>
    <t>31.3.2011</t>
  </si>
  <si>
    <t>31.3.2012</t>
  </si>
  <si>
    <t>31.3.2013</t>
  </si>
  <si>
    <t>Special allowance which may be opted by the coal/lignite generating station after useful life</t>
  </si>
  <si>
    <t>Rs 5 Lakh/MW in 2014-15  escalated @5.72% every year</t>
  </si>
  <si>
    <t>Rs 6 Lakh/MW in 2014-15   escalated @5.72% every year</t>
  </si>
  <si>
    <t>Rs7. 5 Lakh/MW in 2014-15   escalated @6.35% every year</t>
  </si>
  <si>
    <t xml:space="preserve">Rs 5 Lakh/MW in 2014-15   escalated @7% every year </t>
  </si>
  <si>
    <t>Determination of Tariff of generating station is function of CERC under Electricity Act,2003</t>
  </si>
  <si>
    <t>Section 62 read with Section 79</t>
  </si>
  <si>
    <t xml:space="preserve">The Components of Annual Fixed charges for a coal based generating stations are </t>
  </si>
  <si>
    <t>What is norm of cost of coal in working capital for a pit head station</t>
  </si>
  <si>
    <t>one and half month</t>
  </si>
  <si>
    <t>one month</t>
  </si>
  <si>
    <t>two month</t>
  </si>
  <si>
    <t>3 month</t>
  </si>
  <si>
    <t>If the  value of Minimum Alternate tax( MAT) is 20% then what would be Pre-tax return on equity as per the Regulation corresponding to 15.5% post tax return</t>
  </si>
  <si>
    <t>What is norm of Maintenance spares for the gas based stations in working capital calculations</t>
  </si>
  <si>
    <t>25% of O&amp;M expenses</t>
  </si>
  <si>
    <t>20% of O&amp;M expenses</t>
  </si>
  <si>
    <t>30% of O&amp;M expenses</t>
  </si>
  <si>
    <t>1% of the capital cost</t>
  </si>
  <si>
    <t xml:space="preserve">Norm of O&amp;M expenses are specified for thermal generating stations </t>
  </si>
  <si>
    <t>In Rs Lakh/MW</t>
  </si>
  <si>
    <t xml:space="preserve"> In Rs Lakh/MWh</t>
  </si>
  <si>
    <t>In Rs Lakh</t>
  </si>
  <si>
    <t>In Rs. Crore</t>
  </si>
  <si>
    <t xml:space="preserve">What is norm of Secondary fuel oil consumption for a coal based station for 2014-19 control period </t>
  </si>
  <si>
    <t>1 ml/kWh</t>
  </si>
  <si>
    <t>1.5 ml/kWh</t>
  </si>
  <si>
    <t>2 ml/kWh</t>
  </si>
  <si>
    <t>0.5 ml/kWh</t>
  </si>
  <si>
    <t xml:space="preserve">In case Annual Plant  Availability Factor is less than the NAPAF fixed by Commission  then the tariff recovery would  </t>
  </si>
  <si>
    <t xml:space="preserve">Increase </t>
  </si>
  <si>
    <t>Decrease</t>
  </si>
  <si>
    <t>decrease proportionately</t>
  </si>
  <si>
    <t xml:space="preserve">Only incentive will not be payable </t>
  </si>
  <si>
    <t xml:space="preserve">If the GCV of the coal decreases during the month then the energy charges shall </t>
  </si>
  <si>
    <t>decrease</t>
  </si>
  <si>
    <t>increase</t>
  </si>
  <si>
    <t>remain same</t>
  </si>
  <si>
    <t xml:space="preserve">become zero </t>
  </si>
  <si>
    <t>The norms for the transit and handling losses as a % of coal in case of non-pit head stations is</t>
  </si>
  <si>
    <t xml:space="preserve">Tariff of hydro consist of only fixed charges but tariff is recovered in </t>
  </si>
  <si>
    <t>Single Part</t>
  </si>
  <si>
    <t>two part</t>
  </si>
  <si>
    <t>three part</t>
  </si>
  <si>
    <t>Four parts</t>
  </si>
  <si>
    <t xml:space="preserve">In Availability Based Tariff payment of fixed charges are linked to </t>
  </si>
  <si>
    <t>PLF</t>
  </si>
  <si>
    <t>Heat rate</t>
  </si>
  <si>
    <t>O&amp;M</t>
  </si>
  <si>
    <t>Availability of plant</t>
  </si>
  <si>
    <t>Gross station heat rate norm of new coal based station is specified as on/after 1.4.2014 COD</t>
  </si>
  <si>
    <t xml:space="preserve">1.065 x Design Heat rate </t>
  </si>
  <si>
    <t>1.05 x Design Heat rate</t>
  </si>
  <si>
    <t xml:space="preserve">1.045 x Design heat rate </t>
  </si>
  <si>
    <t>2450 kCal/kWh</t>
  </si>
  <si>
    <t>What is the norm of Auxiliary Energy Consumption for 210MW unit using steam driven BFP with Forced draft cooling towers</t>
  </si>
  <si>
    <t>as per actual</t>
  </si>
  <si>
    <t>Sil of 765kV quad bersimis</t>
  </si>
  <si>
    <t>Who calculate TAFM</t>
  </si>
  <si>
    <t>Trans.licensee</t>
  </si>
  <si>
    <t>Who veryfy the TAFM</t>
  </si>
  <si>
    <t xml:space="preserve">Who certify TAFM </t>
  </si>
  <si>
    <t>TAFM is calculated for A &amp; HVDC</t>
  </si>
  <si>
    <t>seperately</t>
  </si>
  <si>
    <t>together</t>
  </si>
  <si>
    <t>no TRFM for HVDC</t>
  </si>
  <si>
    <t>Depreciation rate of overhead lines</t>
  </si>
  <si>
    <t xml:space="preserve">Time schedule of completiition of green filed unit size of 660MW/800MW </t>
  </si>
  <si>
    <t>44ths</t>
  </si>
  <si>
    <t>33mths</t>
  </si>
  <si>
    <t>52mths</t>
  </si>
  <si>
    <t>44mths</t>
  </si>
  <si>
    <t>Time schedule of copletion of 765kV S/C</t>
  </si>
  <si>
    <t>46mths</t>
  </si>
  <si>
    <t>50mths</t>
  </si>
  <si>
    <t>48mths</t>
  </si>
  <si>
    <t>FEHS for Hydro station is</t>
  </si>
  <si>
    <t>12% or act. Which is less</t>
  </si>
  <si>
    <t>5% or act. Which is less</t>
  </si>
  <si>
    <t>13% or act. Which is less</t>
  </si>
  <si>
    <t>no specific norms</t>
  </si>
  <si>
    <t>Aux. energy consumption for HVDC shall be borne by</t>
  </si>
  <si>
    <t>Benificiaries</t>
  </si>
  <si>
    <t>Trans. Licensee</t>
  </si>
  <si>
    <t>part of O&amp;M</t>
  </si>
  <si>
    <t>No charge</t>
  </si>
  <si>
    <t>If outage of a transmission element is affecting evacuation of power then outage hrs shal be multiplied by</t>
  </si>
  <si>
    <t>same as normal hrs.</t>
  </si>
  <si>
    <t>Aux. consumption of surface hydro is -----than underground hydro</t>
  </si>
  <si>
    <t>less</t>
  </si>
  <si>
    <t>more</t>
  </si>
  <si>
    <t xml:space="preserve">Equal </t>
  </si>
  <si>
    <t xml:space="preserve">Aux. consumption between rotating exciters and static excitation is differ by </t>
  </si>
  <si>
    <t>Aux. power consumptiion of a station with coal rejects</t>
  </si>
  <si>
    <t>Secondry fuel oil consumption for lignate gene. With CFBC Tech</t>
  </si>
  <si>
    <t>0.5ml/kwh</t>
  </si>
  <si>
    <t>1ml/kwh</t>
  </si>
  <si>
    <t>2ml/kwh</t>
  </si>
  <si>
    <t>1.5ml/kwh</t>
  </si>
  <si>
    <t>Aux. power consumptiion for gas station having COD after 1/4/09</t>
  </si>
  <si>
    <t>1.045* design heat rate</t>
  </si>
  <si>
    <t>design heat rate</t>
  </si>
  <si>
    <t>1.05* design heat rate</t>
  </si>
  <si>
    <t>station GHR is less by ---kcal/kwh for electricaly driven boiler feed pumps of units 500MW and above</t>
  </si>
  <si>
    <t>35kcl/kwh</t>
  </si>
  <si>
    <t>50kcl/kwh</t>
  </si>
  <si>
    <t>40kcl/kwh</t>
  </si>
  <si>
    <t xml:space="preserve">none of these </t>
  </si>
  <si>
    <t>Transit and handling losses wrt coal for pit head &amp; non pit heads are</t>
  </si>
  <si>
    <t>1%&amp;8%</t>
  </si>
  <si>
    <t>0.2% &amp; 0.8%</t>
  </si>
  <si>
    <t>5% &amp; 8&amp;%</t>
  </si>
  <si>
    <t>% incentivesallowed  to generators hving exbus scheduled energy  in excess of  NAPLF</t>
  </si>
  <si>
    <t>75ps/kwh</t>
  </si>
  <si>
    <t>98ps/kwh</t>
  </si>
  <si>
    <t>50ps/kwh</t>
  </si>
  <si>
    <t>100ps/kwh</t>
  </si>
  <si>
    <t>lime stone consumtion is a part of</t>
  </si>
  <si>
    <t>capacity charge</t>
  </si>
  <si>
    <t>energy charge</t>
  </si>
  <si>
    <t>not included in any charge</t>
  </si>
  <si>
    <t>water charge is a part of O&amp;M .T/F</t>
  </si>
  <si>
    <t>no such charge exists</t>
  </si>
  <si>
    <t>Working capital of a hydro station include</t>
  </si>
  <si>
    <t>receivables = 2mths of fixed cost, 15% maint spares,O&amp;M for one month</t>
  </si>
  <si>
    <t>receivables = 1mth fixed cost, 11% maint spares,O&amp;M for two month</t>
  </si>
  <si>
    <t>receivables = 2mth fixed cost, 20% maint spares,O&amp;M for two month</t>
  </si>
  <si>
    <t>none of the these</t>
  </si>
  <si>
    <t>Additional ROE is not allowed for line having length less than</t>
  </si>
  <si>
    <t>32km</t>
  </si>
  <si>
    <t>100km</t>
  </si>
  <si>
    <t>50km</t>
  </si>
  <si>
    <t>75km</t>
  </si>
  <si>
    <t>in case FGMO/RGMO/telemetry/communication are not available the ROE is reduced by</t>
  </si>
  <si>
    <t>These regulations shall not apply for determination of tariff</t>
  </si>
  <si>
    <t>under Section 63 of the Act;</t>
  </si>
  <si>
    <t>Terms and Conditions for Tariff determination from Renewable Energy Sources) Regulations, 2012</t>
  </si>
  <si>
    <t xml:space="preserve">A and B </t>
  </si>
  <si>
    <t>A Only</t>
  </si>
  <si>
    <t>Small gas turbine generating station</t>
  </si>
  <si>
    <t>capacity range of
50 MW or below;</t>
  </si>
  <si>
    <t>capacity range of
10 MW or below;</t>
  </si>
  <si>
    <t>capacity range of
100 MW or below;</t>
  </si>
  <si>
    <t>the useful life for AC and DC substations and GIS for which Notice Inviting Tender is floated on or after 01.04.2014 shall be</t>
  </si>
  <si>
    <t>35 Years</t>
  </si>
  <si>
    <t>25 Years</t>
  </si>
  <si>
    <t xml:space="preserve">30 Year </t>
  </si>
  <si>
    <t>40 Years</t>
  </si>
  <si>
    <t>Year’ means a in  TCT</t>
  </si>
  <si>
    <t xml:space="preserve">Financial Year </t>
  </si>
  <si>
    <t xml:space="preserve">Calender Year </t>
  </si>
  <si>
    <t xml:space="preserve">amount under-recovered or over-recovered, along with simple interest at the
rate </t>
  </si>
  <si>
    <t>equal to the bank rate as on 1st April of the respective year</t>
  </si>
  <si>
    <t>equal to the bank rate as on 1st Jan of the respective year</t>
  </si>
  <si>
    <t>equal to the bank rate as on 1st Oct of the respective year</t>
  </si>
  <si>
    <t>equal to the bank rate as on 1st July of the respective year</t>
  </si>
  <si>
    <t>following shall be excluded or removed from the capital cost of the existing
and new project</t>
  </si>
  <si>
    <t>assets forming part of the project, but not in use</t>
  </si>
  <si>
    <t>Decapitalisation of Asset</t>
  </si>
  <si>
    <t>Capacity Charges Comprises</t>
  </si>
  <si>
    <t>Return on equity &amp; Interest on loan capital and Working capital</t>
  </si>
  <si>
    <t>Operation and maintenance expenses:</t>
  </si>
  <si>
    <t>All of Above</t>
  </si>
  <si>
    <t xml:space="preserve">Energy Charges Comprises of </t>
  </si>
  <si>
    <t>Landed Fuel Cost of primary fuel</t>
  </si>
  <si>
    <t>Cost of secondary fuel oil consumption</t>
  </si>
  <si>
    <t>Both A and B</t>
  </si>
  <si>
    <t>15.50% for thermal generators, transmission system, run of the river hydro generating</t>
  </si>
  <si>
    <t>base rate of 16.50% for the storage type
hydro generating, pumped storage hydro generating, run
of river generating</t>
  </si>
  <si>
    <t>Rate of return of a new project shall be reduced by 1% if declared under commercial operation without commissioning</t>
  </si>
  <si>
    <t>Restricted Governor Mode Operation (RGMO)/ Free Governor Mode
Operation (FGMO)</t>
  </si>
  <si>
    <t>data telemetry, communication system up to load dispatch Center</t>
  </si>
  <si>
    <t>protection system</t>
  </si>
  <si>
    <t>The working capital shall cover cost of coal or lignite and limestone towards stock, for -----------days for
pit-head generating stations and ---------- days for non-pit-head generating</t>
  </si>
  <si>
    <t>15,30</t>
  </si>
  <si>
    <t>10,10</t>
  </si>
  <si>
    <t>15,20</t>
  </si>
  <si>
    <t>20,20</t>
  </si>
  <si>
    <t>Auxiliary Energy Consumption for Coal-based generating stations with Electrically driven boiler feed pumps</t>
  </si>
  <si>
    <t>Auxiliary Energy Consumption for Combined Cycle ------- and for Open Cycle is --------</t>
  </si>
  <si>
    <t>2.5% , 1%</t>
  </si>
  <si>
    <t>1% , 2.5%</t>
  </si>
  <si>
    <t>2%, 3%</t>
  </si>
  <si>
    <t>3%, 2%</t>
  </si>
  <si>
    <t>Rebate on payments are made on any day after 2 days and within a period of 30 days of presentation of bills, by the generating company or the transmission licensee by  ---%</t>
  </si>
  <si>
    <t>Late payment surcharge on delay by a beneficiary as the case may be, beyond a period of 60 days from the date of billing</t>
  </si>
  <si>
    <t xml:space="preserve">Submission of information and calculation of expected revenue from tariff and charges to be done on or before </t>
  </si>
  <si>
    <t xml:space="preserve">The formats in respect of expected revenue from traiffs and charges shall contain financial position for - </t>
  </si>
  <si>
    <t xml:space="preserve">previous financial year </t>
  </si>
  <si>
    <t xml:space="preserve">current financial year </t>
  </si>
  <si>
    <t xml:space="preserve">ensuing financial year </t>
  </si>
  <si>
    <t>At what RMS voltage level is VARh recorded by SEM?</t>
  </si>
  <si>
    <t>More than 103% and less than 97%</t>
  </si>
  <si>
    <t>less than 103% and more than 97%</t>
  </si>
  <si>
    <t>At all voltage levels</t>
  </si>
  <si>
    <t>Optical port is available in ________ .</t>
  </si>
  <si>
    <t>DCD</t>
  </si>
  <si>
    <t>SEM</t>
  </si>
  <si>
    <t>PC</t>
  </si>
  <si>
    <t xml:space="preserve">All meters </t>
  </si>
  <si>
    <t xml:space="preserve">Where are the main meters (SEM) installed in case of ISGS (Regional Entity) injection? </t>
  </si>
  <si>
    <t>All GTs</t>
  </si>
  <si>
    <t>All outgoing feeders</t>
  </si>
  <si>
    <t>All GTs and Station Transformers</t>
  </si>
  <si>
    <t>All Station transformers</t>
  </si>
  <si>
    <t>What is RS-485 scheme used for?</t>
  </si>
  <si>
    <t>Data downloading from SEM to DCD</t>
  </si>
  <si>
    <t>Data downloading from DCD to PC</t>
  </si>
  <si>
    <t>Data downloading from SEM to PC</t>
  </si>
  <si>
    <t>What is the purpose of Net – Bus checking?</t>
  </si>
  <si>
    <t>Data Validation</t>
  </si>
  <si>
    <t>Data Checking</t>
  </si>
  <si>
    <t>Data processing</t>
  </si>
  <si>
    <t>Data logging</t>
  </si>
  <si>
    <t>Which part of ABT  is calculated / accounted for, by SEM?</t>
  </si>
  <si>
    <t>Energy Charge</t>
  </si>
  <si>
    <t>Capacity Charge</t>
  </si>
  <si>
    <t xml:space="preserve">Deviation charge </t>
  </si>
  <si>
    <t>Net input output charges</t>
  </si>
  <si>
    <t>Reactive energy is recorded in SEM in ______</t>
  </si>
  <si>
    <t>15 mins time blocks</t>
  </si>
  <si>
    <t xml:space="preserve">Cumulative only for low or high voltage conditions separately </t>
  </si>
  <si>
    <t xml:space="preserve">cumulative for whole day </t>
  </si>
  <si>
    <t>Cumulative for whole month</t>
  </si>
  <si>
    <t>What does SEM data validation include?</t>
  </si>
  <si>
    <t>Net Bus check of Sub-Stations</t>
  </si>
  <si>
    <t>Pair check (End1-End2) of lines</t>
  </si>
  <si>
    <t>Net Bus check of Sub-Stations &amp; Pair check (End1-End2) of lines</t>
  </si>
  <si>
    <t>SEMs have two standard models with voltage and current ratings of ______</t>
  </si>
  <si>
    <t>110V,1A &amp; 110V,5A</t>
  </si>
  <si>
    <t>64V,1A &amp; 64V,5A</t>
  </si>
  <si>
    <t>110V,5A &amp; 64V, 1A</t>
  </si>
  <si>
    <t>110V,1A&amp;64V,5A</t>
  </si>
  <si>
    <t>Who is responsible for installation of SEMs at interstate interface point?</t>
  </si>
  <si>
    <t>Respective States &amp; ISGS</t>
  </si>
  <si>
    <t>Wht is the duration upto which an Inter-State SEM can store meter data ?</t>
  </si>
  <si>
    <t>9 days</t>
  </si>
  <si>
    <t>What does the “Pr” indication in SEM LCD display indicate (Secondary quantities)?</t>
  </si>
  <si>
    <t>Reactive Energy in VArh</t>
  </si>
  <si>
    <t xml:space="preserve">Active Energy in Wh </t>
  </si>
  <si>
    <t>Reactive Power in VAr</t>
  </si>
  <si>
    <t>Active power in watts</t>
  </si>
  <si>
    <t>For which of the following meters, the same core of CT &amp; PT is used?</t>
  </si>
  <si>
    <t>Main &amp; Standby Meter</t>
  </si>
  <si>
    <t>Check &amp; Standby Meters</t>
  </si>
  <si>
    <t>Main &amp; Check meters</t>
  </si>
  <si>
    <t>Main, Check and Standby meters</t>
  </si>
  <si>
    <t xml:space="preserve">Through which device can limited time synchronization of SEM be done? </t>
  </si>
  <si>
    <t>SEM itself</t>
  </si>
  <si>
    <t>Data Collecting Device (DCD)</t>
  </si>
  <si>
    <t>GPS</t>
  </si>
  <si>
    <t>As per IEGC, by when should the SEM data be sent to respective RLDCs every week?</t>
  </si>
  <si>
    <t>Tuesday noon</t>
  </si>
  <si>
    <t>Thursday noon</t>
  </si>
  <si>
    <t xml:space="preserve">Monday noon </t>
  </si>
  <si>
    <t>Sunday Noon</t>
  </si>
  <si>
    <t>SEMs operate through:</t>
  </si>
  <si>
    <t>3Ph - 4wire configuration</t>
  </si>
  <si>
    <t>3Ph – 6 wire configuration</t>
  </si>
  <si>
    <t>3ph – 3wireconfiguration</t>
  </si>
  <si>
    <t>2 Phase 3 wire</t>
  </si>
  <si>
    <t>Where are the the main meters for state substation’s interface with ISTS located?</t>
  </si>
  <si>
    <t>Respective state substation end meters</t>
  </si>
  <si>
    <t>Remote (other) end meters</t>
  </si>
  <si>
    <t>Outgoing feeders of ISGS (Regional Entity)</t>
  </si>
  <si>
    <t>Which meters are used in computation, in case of failure of Main meters ?</t>
  </si>
  <si>
    <t>Check meters first followed by standby if check is not available</t>
  </si>
  <si>
    <t>Standby meters first followed by check if standby is not available</t>
  </si>
  <si>
    <t>Wait for rectification of main meters</t>
  </si>
  <si>
    <t>Average of check and stand by meters</t>
  </si>
  <si>
    <t>Pair checks are carried out for checking healthiness of _____</t>
  </si>
  <si>
    <t>End1-End2 meters</t>
  </si>
  <si>
    <t>All meters connected in a bus</t>
  </si>
  <si>
    <t>All meters connected in a sub-station</t>
  </si>
  <si>
    <t xml:space="preserve">What does 0.2S class accuracy indicate? </t>
  </si>
  <si>
    <t>error within +/- 0.2% of true value</t>
  </si>
  <si>
    <t>error within +/-2% of true value</t>
  </si>
  <si>
    <t>error within +/- 0.02% of true value</t>
  </si>
  <si>
    <t>error within +/-20% of true value</t>
  </si>
  <si>
    <t>For which of the following is Cumulative energy registered?</t>
  </si>
  <si>
    <t>Reactive High &amp; Low energy</t>
  </si>
  <si>
    <t>Active Energy</t>
  </si>
  <si>
    <t>Active, Reactive High &amp; Reactive Low energy</t>
  </si>
  <si>
    <t>Only active energy</t>
  </si>
  <si>
    <t>Which rule does memory storage in SEMs follow?</t>
  </si>
  <si>
    <t>FIFO rule</t>
  </si>
  <si>
    <t>LIFO rule</t>
  </si>
  <si>
    <t>LILO rule</t>
  </si>
  <si>
    <t>FILO Rule</t>
  </si>
  <si>
    <t>What are SEMs used for energy accounting known as?</t>
  </si>
  <si>
    <t>Interface meters</t>
  </si>
  <si>
    <t>Consumer meters</t>
  </si>
  <si>
    <t>Energy Accounting meters</t>
  </si>
  <si>
    <t>Audit Meters</t>
  </si>
  <si>
    <t>400/220 kV ICT has got two meters, Meter-A &amp; Meter-B installed at HV &amp; LV side respectively. Which of the following statement is true?</t>
  </si>
  <si>
    <t>Meter-A is main meter &amp; Meter-B is Check meter</t>
  </si>
  <si>
    <t>Meter-A is main meter &amp; Meter-B is standby meter</t>
  </si>
  <si>
    <t>Meter-B is main meter &amp; Meter-A is Check meter</t>
  </si>
  <si>
    <t>Meter-A is check meter and Meter -B is standby Meter</t>
  </si>
  <si>
    <t>In which of the following cases are Standby meters used for computation?</t>
  </si>
  <si>
    <t>Failure of Main meters</t>
  </si>
  <si>
    <t>Failure of Check meters</t>
  </si>
  <si>
    <t>Failure of both Main &amp; Check meters</t>
  </si>
  <si>
    <t>Mid night active energy is recorded by SEM in_________</t>
  </si>
  <si>
    <t>Wh</t>
  </si>
  <si>
    <t>MWh</t>
  </si>
  <si>
    <t>KWh</t>
  </si>
  <si>
    <t>How is collection of SEM data by DCD done under S/D condition of that particular feeder?</t>
  </si>
  <si>
    <t>Removing the meter &amp; reconnecting in the lab</t>
  </si>
  <si>
    <t>Using internal Battery backup</t>
  </si>
  <si>
    <t>By giving external supply to the meter</t>
  </si>
  <si>
    <t>Frequency Code=C; What is the actual frequency; ( 0&lt;C&lt;99)</t>
  </si>
  <si>
    <t>49.5+0.01*C</t>
  </si>
  <si>
    <t>49+0.02*C</t>
  </si>
  <si>
    <t>50+0.02*C</t>
  </si>
  <si>
    <t xml:space="preserve">All interface meters shall be tested once in </t>
  </si>
  <si>
    <t xml:space="preserve">Limited time synchronizaion that  can be done through DCD </t>
  </si>
  <si>
    <t>1 min per week</t>
  </si>
  <si>
    <t>5 min per week</t>
  </si>
  <si>
    <t>15 min per week</t>
  </si>
  <si>
    <t>No such limit</t>
  </si>
  <si>
    <t>The standby meters in Generating Stations are installed on</t>
  </si>
  <si>
    <t>all outgoing feeders</t>
  </si>
  <si>
    <t>the opposite end of the outgoing feeders</t>
  </si>
  <si>
    <t>HV side of the GT's &amp; ST's</t>
  </si>
  <si>
    <t>LV side of the GT's</t>
  </si>
  <si>
    <t xml:space="preserve">The difference between Main &amp; Check meter reading for a month shall be within </t>
  </si>
  <si>
    <t xml:space="preserve">The energy computations carried out by RLDCs and forwarded to RPC's are available to all regional entities for checking/verification for a period of </t>
  </si>
  <si>
    <t>21 days</t>
  </si>
  <si>
    <t xml:space="preserve">Assuming that R phase PT fuse has been blown out, the energy recorded  in the meter will be </t>
  </si>
  <si>
    <t xml:space="preserve">1/3 of the actual </t>
  </si>
  <si>
    <t>2/3 of the actual</t>
  </si>
  <si>
    <t>same as the actual</t>
  </si>
  <si>
    <t>1/2 of the actual</t>
  </si>
  <si>
    <t>The 15-minute Wh shall have a ….. sign when there is a net Wh export from substation busbars. The cumulative registers for Wh and Varh shall move ……... when there is Wh/Varh export from substation busbars</t>
  </si>
  <si>
    <t xml:space="preserve"> +ve/backward</t>
  </si>
  <si>
    <t xml:space="preserve"> +ve/forward</t>
  </si>
  <si>
    <t xml:space="preserve"> -ve/forward</t>
  </si>
  <si>
    <t xml:space="preserve"> -ve/backward</t>
  </si>
  <si>
    <t>Which of these quantities is not available in the display of the SEM</t>
  </si>
  <si>
    <t>Average % voltage of the previous TB</t>
  </si>
  <si>
    <t>Avg. freq of the previous TB</t>
  </si>
  <si>
    <t>Net WH transmital in the previous TB</t>
  </si>
  <si>
    <t>Net VARh transmital in the previous TB</t>
  </si>
  <si>
    <t>Metering</t>
  </si>
  <si>
    <t>Congestion amount arises from the difference in the market prices of different regions as a consequence of _____________</t>
  </si>
  <si>
    <t>Market Splitting</t>
  </si>
  <si>
    <t>market settlement</t>
  </si>
  <si>
    <t>less no. of buyers</t>
  </si>
  <si>
    <t>more no. of sellers</t>
  </si>
  <si>
    <t>Power System Development Fund comprises of ______________</t>
  </si>
  <si>
    <t>Deviation charges</t>
  </si>
  <si>
    <t>Reactive Energy charges</t>
  </si>
  <si>
    <t>Congestion charges</t>
  </si>
  <si>
    <t>Deviation, Reactive and Congestion charges,Congestion amount,&amp;additional transmission charge arising out of explicit auction of STO Abilateral</t>
  </si>
  <si>
    <t>Amount arising from the differences in the market prices of different regions as a consequence of Market Splitting in Power Exchanges is refered to as ____________________</t>
  </si>
  <si>
    <t>Congestion charge</t>
  </si>
  <si>
    <t>Congestion amount</t>
  </si>
  <si>
    <t>Market Operation Charge</t>
  </si>
  <si>
    <t xml:space="preserve">Market splitting charge </t>
  </si>
  <si>
    <t>Expenditure on account of providing ancilliary services shall be met from _______________</t>
  </si>
  <si>
    <t xml:space="preserve">Regional deviation pool account fund </t>
  </si>
  <si>
    <t>Congestion  charge  account</t>
  </si>
  <si>
    <t>Power Market congestion charge account</t>
  </si>
  <si>
    <t>Expenditure on account of Capacity building of SLDCs shall be met from:</t>
  </si>
  <si>
    <t>Congestion Charge account</t>
  </si>
  <si>
    <t>Deviation Charge Account</t>
  </si>
  <si>
    <t>None of These</t>
  </si>
  <si>
    <t>Expenditures on account of installation of VAR compensators, Series compensators and other reactive energy generators shall be met from ________________</t>
  </si>
  <si>
    <t>Deviation charge account</t>
  </si>
  <si>
    <t>Who appoints Appraisal Committee</t>
  </si>
  <si>
    <t>GoI</t>
  </si>
  <si>
    <t>Functions of appraisal committee</t>
  </si>
  <si>
    <t xml:space="preserve">Techno Economic clearance </t>
  </si>
  <si>
    <t>prioritization of various projects</t>
  </si>
  <si>
    <t>Who appints monitoring committee</t>
  </si>
  <si>
    <t>What are functions of monitoring committee</t>
  </si>
  <si>
    <t>Sanction of project &amp; release of fund&amp;monitoring the projects</t>
  </si>
  <si>
    <t>Respective excess charge in each pool A/C shall be transferred to PSDF on</t>
  </si>
  <si>
    <t>Weekly</t>
  </si>
  <si>
    <t>Amount accrued  in PSDF after utilization shall be transferred to</t>
  </si>
  <si>
    <t>SBI</t>
  </si>
  <si>
    <t>POSOCO A/C</t>
  </si>
  <si>
    <t>Public A/C of India</t>
  </si>
  <si>
    <t>PSDF shall be utilized for</t>
  </si>
  <si>
    <t xml:space="preserve">Transmission system of stategic importance, </t>
  </si>
  <si>
    <t>shunt capacitors, series compensators</t>
  </si>
  <si>
    <t xml:space="preserve"> SVC, STACOM,SPS,R&amp;M of transmission </t>
  </si>
  <si>
    <t xml:space="preserve">Privite sector projects are eligible for PSDF </t>
  </si>
  <si>
    <t>Who is chairperson of Appraisal Committee</t>
  </si>
  <si>
    <t>CEO,POSOCO</t>
  </si>
  <si>
    <t>Chairman, CEA</t>
  </si>
  <si>
    <t>Secretary,CERC</t>
  </si>
  <si>
    <t>Secretory Power,GoI</t>
  </si>
  <si>
    <t>Who is chairperson of Monitoring Committee</t>
  </si>
  <si>
    <t>Who is Member Secretary of Monitoring Committee</t>
  </si>
  <si>
    <t>Members of MonitoringCommittee</t>
  </si>
  <si>
    <t>Mop,MNRE,MoF,CEA, PlanningCommission</t>
  </si>
  <si>
    <t>CEA,CERC,MOP</t>
  </si>
  <si>
    <t>NLDC,RLDC</t>
  </si>
  <si>
    <t>planning commission</t>
  </si>
  <si>
    <t>Who all can apply for PSDF funds</t>
  </si>
  <si>
    <t xml:space="preserve">Generators, </t>
  </si>
  <si>
    <t>Trans.licensees, DISCOMs</t>
  </si>
  <si>
    <t>LDCs,PX,RPC</t>
  </si>
  <si>
    <t xml:space="preserve">What is the flow of an application submitted to PSDF    (i) Application Submission (ii)Monitoring Committee   (iii) CERC  (iv) Nodal Agency  (v) Appraisal committee                         </t>
  </si>
  <si>
    <t>(v),(i),(ii),(iii),(iv)</t>
  </si>
  <si>
    <t>(i), (v),(iv),(iii),(ii)</t>
  </si>
  <si>
    <t>(i),(ii),(iii),(iv)</t>
  </si>
  <si>
    <t>(iii),(ii),(i),(v),)iv)</t>
  </si>
  <si>
    <t>Annual report of PSDF shalll be placed to</t>
  </si>
  <si>
    <t>Parliament through MoP</t>
  </si>
  <si>
    <t>Who prepares the Detailed Procedure for Implementation and administaration of PSDF.</t>
  </si>
  <si>
    <t>GOI</t>
  </si>
  <si>
    <t xml:space="preserve">The PSDF can also be Utilized for the project proposed by the Distribution utilities which are already covered under the Scheme of GOI (RAPDRP, RGGVY,NEF) </t>
  </si>
  <si>
    <t xml:space="preserve">After the approval,the NODAL Agency shall approach ________ Committee for Sanction of fund from PSDF </t>
  </si>
  <si>
    <t xml:space="preserve">Monitoring Committee </t>
  </si>
  <si>
    <t>Appraisal Committee</t>
  </si>
  <si>
    <t>Who pepares the Annual Report of the PSDF</t>
  </si>
  <si>
    <t>The "NODAL Agency" for PSDF is the agency as designated under the</t>
  </si>
  <si>
    <t>Clause (a) of Regulation 5</t>
  </si>
  <si>
    <t>Clause (b) of Regulation 5</t>
  </si>
  <si>
    <t>Clause (c) of Regulation 5</t>
  </si>
  <si>
    <t xml:space="preserve"> Under which section of the "Electricity Act" CEA has been conferred powers</t>
  </si>
  <si>
    <t>sec 79 (sub 2)</t>
  </si>
  <si>
    <t>sec 70(sub 9) and sec 177 (sub2)(1d)</t>
  </si>
  <si>
    <t>sec 38 (sub 29)</t>
  </si>
  <si>
    <t>sec 49</t>
  </si>
  <si>
    <t xml:space="preserve"> Under which section of the "Electricity Act" CEA has been established</t>
  </si>
  <si>
    <t>sec 70(sub 2)</t>
  </si>
  <si>
    <t>sec 178</t>
  </si>
  <si>
    <t>Who authenticate the orders and resolutions passed by the CEA</t>
  </si>
  <si>
    <t>Member</t>
  </si>
  <si>
    <t>Secretary</t>
  </si>
  <si>
    <t>Chairperson</t>
  </si>
  <si>
    <t>President</t>
  </si>
  <si>
    <t xml:space="preserve"> Under which section of the "Electricity Act" Secretary of CEA has been appointed</t>
  </si>
  <si>
    <t>Sec 72</t>
  </si>
  <si>
    <t>Sec 73</t>
  </si>
  <si>
    <t>sec 79</t>
  </si>
  <si>
    <t xml:space="preserve"> under regulation 7, least Notice period in days for organising ordinary meetings of CEA</t>
  </si>
  <si>
    <t>Who is authorised to call a special meeting of CEA</t>
  </si>
  <si>
    <t>Any Member</t>
  </si>
  <si>
    <t>Who is authorised to exercise a second or castng vote in the event of equality of votes during CEA meeting</t>
  </si>
  <si>
    <t>Any decision / resolution through voting is done in CEA through</t>
  </si>
  <si>
    <t>Meeting</t>
  </si>
  <si>
    <t>Circulation for voting</t>
  </si>
  <si>
    <t>both a&amp;b</t>
  </si>
  <si>
    <t>Vote of Chairperson</t>
  </si>
  <si>
    <t>who codify and compile subject-wise all resolution and decisions taken in the meetings of the CEA</t>
  </si>
  <si>
    <t xml:space="preserve">Under which section of the “Electricity Act” Member of CEA has been appointed                                                        </t>
  </si>
  <si>
    <t>Sec73(sub2)</t>
  </si>
  <si>
    <t>Sec79(sub3)</t>
  </si>
  <si>
    <t>Sec70(sub3)</t>
  </si>
  <si>
    <t>Who is responsible for recording the minutes of the meeting which shall contain fair, concise and correct summary of the proceedings at the meeting</t>
  </si>
  <si>
    <t>Any other person authorized by the chairperson</t>
  </si>
  <si>
    <t>Both a and b</t>
  </si>
  <si>
    <t>What is the position of India in Wind Internationally ?</t>
  </si>
  <si>
    <t xml:space="preserve">10th  </t>
  </si>
  <si>
    <t xml:space="preserve">20th   </t>
  </si>
  <si>
    <t xml:space="preserve">5th    </t>
  </si>
  <si>
    <t xml:space="preserve">3rd </t>
  </si>
  <si>
    <t>What is the relation between wind velocity and power?</t>
  </si>
  <si>
    <t xml:space="preserve">proportional to square of velocity  </t>
  </si>
  <si>
    <t xml:space="preserve">inversely proportional to cube of velocity  </t>
  </si>
  <si>
    <t xml:space="preserve">no relation at all  </t>
  </si>
  <si>
    <t xml:space="preserve">proportional to cube of velocity  </t>
  </si>
  <si>
    <t>What is the definition of Penetration level of Wind source ?</t>
  </si>
  <si>
    <t xml:space="preserve">percentage wind energy  in design energy  </t>
  </si>
  <si>
    <t xml:space="preserve">percentage wind energy  in annual energy   </t>
  </si>
  <si>
    <t xml:space="preserve">percentage wind energy  in total energy of control Area.  </t>
  </si>
  <si>
    <t>percentage wind energy  in total energy of the country.</t>
  </si>
  <si>
    <t>One REC is issued for an injection of ________ energy</t>
  </si>
  <si>
    <t xml:space="preserve">100MWh    </t>
  </si>
  <si>
    <t xml:space="preserve">100 kWh     </t>
  </si>
  <si>
    <t xml:space="preserve">1000MWh    </t>
  </si>
  <si>
    <t xml:space="preserve">1MWh  </t>
  </si>
  <si>
    <t>A company was issued 100 RECs on 01-03-2012. Out of them 60 were sold on 30-03-2012.  Upto what period can the company retain the  balance REC?</t>
  </si>
  <si>
    <t>I year</t>
  </si>
  <si>
    <t>What is the Pf range in which Wind generators are to operate?</t>
  </si>
  <si>
    <t xml:space="preserve">0.8 pf  lag to 0.9 pf lead   </t>
  </si>
  <si>
    <t xml:space="preserve">0.95pf lag to 0.95pf lead  </t>
  </si>
  <si>
    <t xml:space="preserve">0.8 lag to 0.8 pf  </t>
  </si>
  <si>
    <t>1pf lag and lead</t>
  </si>
  <si>
    <t>What is the minimum voltage at which WTG can disconnect under Fault Ride Through condition?</t>
  </si>
  <si>
    <t xml:space="preserve">below 10%  </t>
  </si>
  <si>
    <t xml:space="preserve">below 85%   </t>
  </si>
  <si>
    <t xml:space="preserve">below 15%   </t>
  </si>
  <si>
    <t xml:space="preserve">below </t>
  </si>
  <si>
    <t>Which state in India has the highest wind potential?</t>
  </si>
  <si>
    <t xml:space="preserve">TN  </t>
  </si>
  <si>
    <t xml:space="preserve">Gujarat   </t>
  </si>
  <si>
    <t xml:space="preserve">Rajasthan   </t>
  </si>
  <si>
    <t>Karnataka</t>
  </si>
  <si>
    <t>Which of the following would best describe a type 4 WTG?</t>
  </si>
  <si>
    <t xml:space="preserve">Synchronous generator   </t>
  </si>
  <si>
    <t xml:space="preserve">Squirrel  cage Induction  </t>
  </si>
  <si>
    <t xml:space="preserve">Variable speed generator   </t>
  </si>
  <si>
    <t>Synchronous and Variable speed generators</t>
  </si>
  <si>
    <t>What is the short circuit contribution of WTG?</t>
  </si>
  <si>
    <t xml:space="preserve">it depends on direct connection or AC-DC-AC connection </t>
  </si>
  <si>
    <t>infinite</t>
  </si>
  <si>
    <t xml:space="preserve">very less </t>
  </si>
  <si>
    <t>What is the inertia contribution of type 4 (Full conversion) WTG?</t>
  </si>
  <si>
    <t xml:space="preserve">nil   </t>
  </si>
  <si>
    <t xml:space="preserve">very less   </t>
  </si>
  <si>
    <t xml:space="preserve">it depends on rotor winding  </t>
  </si>
  <si>
    <t>it depends on rotor mass</t>
  </si>
  <si>
    <t>What is the lateral clearance between Wind Turbine Generators to be maintained in hilly terrains (consider D to be the diameter of rotor blades)?</t>
  </si>
  <si>
    <t xml:space="preserve">2D    </t>
  </si>
  <si>
    <t xml:space="preserve">7D    </t>
  </si>
  <si>
    <t xml:space="preserve">5D      </t>
  </si>
  <si>
    <t xml:space="preserve">2.5D   </t>
  </si>
  <si>
    <t>Which country has highest installed capacity of Wind?</t>
  </si>
  <si>
    <t xml:space="preserve">Spain    </t>
  </si>
  <si>
    <t xml:space="preserve">US  </t>
  </si>
  <si>
    <t xml:space="preserve">China   </t>
  </si>
  <si>
    <t>Germany</t>
  </si>
  <si>
    <t>Which country has a dedicated control centre for Renewables ?</t>
  </si>
  <si>
    <t xml:space="preserve">US    </t>
  </si>
  <si>
    <t xml:space="preserve">China    </t>
  </si>
  <si>
    <t xml:space="preserve">UK   </t>
  </si>
  <si>
    <t>Spain</t>
  </si>
  <si>
    <t>A Renewable Energy generator sells power of 1500 MWh to a Discom @ 3.50 ps/u a preferential rate fixed by the SERC.  How many Renewable Energy Certificates will the generator get?</t>
  </si>
  <si>
    <t>Renewable Energy Certificates are traded at the Power Exchanges on</t>
  </si>
  <si>
    <t>every Wednesday of the month</t>
  </si>
  <si>
    <t>every last Wednesday of the month</t>
  </si>
  <si>
    <t>every day</t>
  </si>
  <si>
    <t>every first Wednesday of the month</t>
  </si>
  <si>
    <t>The Floor Price and the Forebearance Price of Renewable Energy Certificates are ____</t>
  </si>
  <si>
    <t>discovered at the Power Exchanges</t>
  </si>
  <si>
    <t>decided by the eleigible entities</t>
  </si>
  <si>
    <t>decided, based upon the market forces</t>
  </si>
  <si>
    <t xml:space="preserve"> decided by the comission in consultation with the FoR and the Central Agency</t>
  </si>
  <si>
    <t>Accreditation of the Renewable Energy project is done by the ___</t>
  </si>
  <si>
    <t>State Agency</t>
  </si>
  <si>
    <t>Central Agency</t>
  </si>
  <si>
    <t>Which of the following renewable energy projects connected to the 33 kV level and above are bound by IEGC to forecast their generation?</t>
  </si>
  <si>
    <t>10 MW and above wind projects and 10MW and above solar projects</t>
  </si>
  <si>
    <t>5 MW and above wind projects and 5 MW and above solar projects</t>
  </si>
  <si>
    <t>10 MW and above wind projects and 5 MW and above solar projects</t>
  </si>
  <si>
    <t>none of the renewable energy generators</t>
  </si>
  <si>
    <t>Which of the following hydro generators are eligible for Renewable Energy Certificates?</t>
  </si>
  <si>
    <t>less than 25 MW</t>
  </si>
  <si>
    <t>less than 10 MW</t>
  </si>
  <si>
    <t>less than 1 MW</t>
  </si>
  <si>
    <t>all hydro projects are eligible</t>
  </si>
  <si>
    <t>What is the maximum efficiency of a WTG (wind turbine generator) ?</t>
  </si>
  <si>
    <t>approximately 72 %</t>
  </si>
  <si>
    <t>approximately 45 %</t>
  </si>
  <si>
    <t>approximately 59 %</t>
  </si>
  <si>
    <t>approximately 65 %</t>
  </si>
  <si>
    <t>Which state in India has the highest installed wind capacity ?</t>
  </si>
  <si>
    <t>What is the denomination of each REC issued?</t>
  </si>
  <si>
    <t>5 KWh</t>
  </si>
  <si>
    <t>5MWh</t>
  </si>
  <si>
    <t>1 KWh</t>
  </si>
  <si>
    <t>What are the types of RECs issued?</t>
  </si>
  <si>
    <t>Wind &amp; Biomass</t>
  </si>
  <si>
    <t>Solar &amp; Non-Solar</t>
  </si>
  <si>
    <t>Wind, Biomass &amp; Solar</t>
  </si>
  <si>
    <t>An RE Generator is selling power at Preferential Tariff. In a particular month it injects 250 MWh into the grid. How many RECs can be issued to the said RE Generator?</t>
  </si>
  <si>
    <t>250 RECs</t>
  </si>
  <si>
    <t>25000 RECs</t>
  </si>
  <si>
    <t>25 RECs</t>
  </si>
  <si>
    <t>Not eligible for RECs</t>
  </si>
  <si>
    <t>RECs are issued to :</t>
  </si>
  <si>
    <t>Distribution Licensee</t>
  </si>
  <si>
    <t>RE Generators</t>
  </si>
  <si>
    <t>Buyers</t>
  </si>
  <si>
    <t>RECs are issued by:</t>
  </si>
  <si>
    <t>RECs are valid for:</t>
  </si>
  <si>
    <t>365 Days</t>
  </si>
  <si>
    <t>Whether Auxiliary consumption of any RE generator (including RE CPP or Bagasse based cogeneration power plants) is entitled for issuance of REC?</t>
  </si>
  <si>
    <t>No</t>
  </si>
  <si>
    <t>Yes</t>
  </si>
  <si>
    <t>RECs are traded at:</t>
  </si>
  <si>
    <t>SERCs</t>
  </si>
  <si>
    <t xml:space="preserve">In normal circumstances, RECs are traded on: </t>
  </si>
  <si>
    <t>Last Friday of the Month</t>
  </si>
  <si>
    <t>Last Wednesday of the Month</t>
  </si>
  <si>
    <t>Every Wednesday in a Month</t>
  </si>
  <si>
    <t>Every Friday in a Month</t>
  </si>
  <si>
    <t>Who designate State Agency under REC Mechanism?</t>
  </si>
  <si>
    <t>Respective SERC</t>
  </si>
  <si>
    <t>Ministry of Power</t>
  </si>
  <si>
    <t>Which Agency has been designated as Central Agency  under REC Mechanism?</t>
  </si>
  <si>
    <t>A RE Generator Registered by Central Agency under REC Mechanism injected 500 MWh in the month of May, 2011, it applied for issuance of RECs in the Month of October, 2011. How many RECs can be issued?</t>
  </si>
  <si>
    <t>500 RECs</t>
  </si>
  <si>
    <t>5,00,000 RECs</t>
  </si>
  <si>
    <t>5 RECs</t>
  </si>
  <si>
    <t>Energy Lapsed</t>
  </si>
  <si>
    <t>Accreditation and Registration under REC Mechanism  are valid for:</t>
  </si>
  <si>
    <t>3 Years</t>
  </si>
  <si>
    <t>6 Months</t>
  </si>
  <si>
    <t>5 Years</t>
  </si>
  <si>
    <t>1 Year</t>
  </si>
  <si>
    <t>Who validates Energy Injection Report?</t>
  </si>
  <si>
    <t>RE Generator</t>
  </si>
  <si>
    <t>‘First Trade’ under REC Mechanism occurred in:</t>
  </si>
  <si>
    <t>March, 2011</t>
  </si>
  <si>
    <t>February, 2011</t>
  </si>
  <si>
    <t>April, 2011</t>
  </si>
  <si>
    <t>June, 2011</t>
  </si>
  <si>
    <t>RE Generator can apply for Accreditation…………………………. prior to proposed date of Commissioning.</t>
  </si>
  <si>
    <t>3 Months</t>
  </si>
  <si>
    <t>365 day</t>
  </si>
  <si>
    <t>Cannot apply before Commissioning</t>
  </si>
  <si>
    <t>RE Generator can apply for Registration…………………………. prior to proposed date of Commissioning.</t>
  </si>
  <si>
    <t>Which one of the following is the correct sequence of ‘Process under REC Mechanism’?</t>
  </si>
  <si>
    <t>Accreditation, Registration, Issuance, Redemption</t>
  </si>
  <si>
    <t>Redemption, Issuance,Registration, Accreditation</t>
  </si>
  <si>
    <t>Accreditation, Redemption, Issuance, Redemption</t>
  </si>
  <si>
    <t xml:space="preserve">Issuance, Registration, Accreditation, Redemption </t>
  </si>
  <si>
    <t xml:space="preserve">Which of the following functions under REC Mechanism are undertaken by Central Agency? </t>
  </si>
  <si>
    <t>Registration Only</t>
  </si>
  <si>
    <t>Registration, Issuance</t>
  </si>
  <si>
    <t>Redemption</t>
  </si>
  <si>
    <t xml:space="preserve">Registration, Issuance, Redemption </t>
  </si>
  <si>
    <t xml:space="preserve">Which of the following functions under REC Mechanism are undertaken by State Agency? </t>
  </si>
  <si>
    <t>Accreditation</t>
  </si>
  <si>
    <t>Registration, Issuance, Redemption</t>
  </si>
  <si>
    <t>RECs can be purchased by:</t>
  </si>
  <si>
    <t>Mandatory Buyers</t>
  </si>
  <si>
    <t>Voluntary Buyers</t>
  </si>
  <si>
    <t>Voluntary and Mandatory Buyers</t>
  </si>
  <si>
    <t>Power Exchanges Only</t>
  </si>
  <si>
    <t>Which one of the following is the URL for REC Mechanism?</t>
  </si>
  <si>
    <t>www.recregistryindia.com</t>
  </si>
  <si>
    <t>www.recregistryindia.in</t>
  </si>
  <si>
    <t>www.rec.com</t>
  </si>
  <si>
    <t>www.recnldc.com</t>
  </si>
  <si>
    <t>Who is Administrator of the REC Website?</t>
  </si>
  <si>
    <t>RECs shall be issued by the Central Agency within ______ from the date of application by the eligible entities</t>
  </si>
  <si>
    <t xml:space="preserve">10days </t>
  </si>
  <si>
    <t>What is Floor Price for Non- Solar RECs?</t>
  </si>
  <si>
    <t>Rs 3300 per REC</t>
  </si>
  <si>
    <t>Rs 17000 per REC</t>
  </si>
  <si>
    <t>Rs 1500 per REC</t>
  </si>
  <si>
    <t>Rs 3900 per REC</t>
  </si>
  <si>
    <t>What is Forbeareance Price for Non- Solar RECs?</t>
  </si>
  <si>
    <t>Rs 13300 per REC</t>
  </si>
  <si>
    <t>Rs 11500 per REC</t>
  </si>
  <si>
    <t>Rs 13900 per REC</t>
  </si>
  <si>
    <t xml:space="preserve">Supposing the Floor Price and Forbearance price for Solar RECs as Rs 9000 per REC and Rs 15000 per REC then what can be the probable Market Clearing Price (MCP) per REC discovered in Power Exchanges? </t>
  </si>
  <si>
    <t>MCP shall necessarily be greater than  Rs 9000 &amp; less than Rs 15000 as discovered in the Market</t>
  </si>
  <si>
    <t>MCP shall necessarily be greater than Rs 15000 as discovered in the Market</t>
  </si>
  <si>
    <t>MCP shall necessarily be less than Rs 9000  as discovered in the Market</t>
  </si>
  <si>
    <t xml:space="preserve">MCP may be any price as discovered in the Market  </t>
  </si>
  <si>
    <t>An RE generator is eligible for issuance of REC towards</t>
  </si>
  <si>
    <t>Gross generation</t>
  </si>
  <si>
    <t>Ex-bus generation after auxiliary consumption</t>
  </si>
  <si>
    <t>Generation at the point of connection</t>
  </si>
  <si>
    <t>Generation at the HV bus terminal</t>
  </si>
  <si>
    <t>All RE based Captive power plants shall be recognised by -------- before issuence of RECs</t>
  </si>
  <si>
    <t>MNRE</t>
  </si>
  <si>
    <t>Renewable purchase obligation is specified under</t>
  </si>
  <si>
    <t>Renewable purchase obligation-Solar</t>
  </si>
  <si>
    <t>Renewable purchase obligation-Non Solar</t>
  </si>
  <si>
    <t>Total renewable purchase obligation</t>
  </si>
  <si>
    <t>As per REC Regulation, Central Agency shall accord registration to eligible applicant within _________ from the date of application for registration</t>
  </si>
  <si>
    <t>Person aggrieved by the order of the Central Agency wrt registartion under proviso to Regulation 5, clause (3) of  REC regulation may appeal before the Commission within ______  from the date of such order.</t>
  </si>
  <si>
    <t>Person aggrieved by the order of the Central Agency wrt revokation of registartion under proviso to Regulation 6, clause (1) of  REC regulation may appeal before the Commission within ______  from the date of such order.</t>
  </si>
  <si>
    <t>Each RE Certificate issued to a captive power plant using RE sources shall represent one Megawatt hour of electricity generated from renewable energy source</t>
  </si>
  <si>
    <t>injected ito the grid</t>
  </si>
  <si>
    <t>deemed to be injected into the grid</t>
  </si>
  <si>
    <t>includes energy utilised for self consumption by the captive generator</t>
  </si>
  <si>
    <t>All of the above</t>
  </si>
  <si>
    <t>Captive Generating Plant (CGP) based on RE sources shall be eligible for the entire energy generated from such plant for self consumption for participating in the REC scheme only after a period of three years has elapsed subject to the condition</t>
  </si>
  <si>
    <t>CGP has not availed or does not propose to avail any benefit in the form of concessional/promotional transmission or wheeling charges and/or banking facility benefit</t>
  </si>
  <si>
    <t>CGP has foregone the benefits in the form of concessional/promotional transmission or wheeling charges and/or banking facility benefit</t>
  </si>
  <si>
    <t>The benefits given to the CGP in the form of concessional transmission or wheeling charges and/or banking facility benefit are withdrawn by the concerned SERC and/or the State Government:</t>
  </si>
  <si>
    <t xml:space="preserve">RE generator including captive generating plant shall be permitted to retain RECs for offsetting </t>
  </si>
  <si>
    <t>its RPO as a consumer.</t>
  </si>
  <si>
    <t>RPO of its group companies as consumer</t>
  </si>
  <si>
    <t xml:space="preserve">Even if accreditation of eligible entity is revoked at a later date, RECs issued for the electricity generated at a time when such entity fulfilled the eligibility criteria for accreditation, shall remain valid for </t>
  </si>
  <si>
    <t>730 days</t>
  </si>
  <si>
    <t>365 days</t>
  </si>
  <si>
    <t>1095 days</t>
  </si>
  <si>
    <t xml:space="preserve">Floor price and forbearance price of RECs shall be guided based on </t>
  </si>
  <si>
    <t>Variation in cost of generation of different renewable energy technologies</t>
  </si>
  <si>
    <t>Variation in the Pooled Cost of Purchase</t>
  </si>
  <si>
    <t>Expected electricity generation from renewable energy sources&amp;Renewable purchase obligation targets</t>
  </si>
  <si>
    <t>Solar REC Floor price for the Solar projects commissioned on and after 1.4.2014</t>
  </si>
  <si>
    <t>3800 INR/MWh</t>
  </si>
  <si>
    <t>3500 INR/MWh</t>
  </si>
  <si>
    <t>2500 INR/MWh</t>
  </si>
  <si>
    <t>Solar REC Forbearance price for the Solar projects commissioned on and after 1.4.2014</t>
  </si>
  <si>
    <t>4500 INR/MWh</t>
  </si>
  <si>
    <t>5500 INR/MWh</t>
  </si>
  <si>
    <t>5800 INR/MWh</t>
  </si>
  <si>
    <t xml:space="preserve">Highest difference between the Commission determined Solar PV tariff (FIT) and the APPC across states for the year 2014-15 is the basis for </t>
  </si>
  <si>
    <t>Solar REC Floor price</t>
  </si>
  <si>
    <t>Solar REC Forbearance price</t>
  </si>
  <si>
    <t>Highest difference between the minimum requirement for project viability of solar PV and respective states APPC of previous year (2014-15) has been considered to derive</t>
  </si>
  <si>
    <t>What factors has been considered by CERC to arrive at the quantum of RECs to be issued to Solar projects registered under REC framework prior to 01.01.2015, for the period upto 31st March, 2017</t>
  </si>
  <si>
    <t>Solar REC Floor price for 2012-13</t>
  </si>
  <si>
    <t>Vintage Multiplier</t>
  </si>
  <si>
    <t>Solar REC Floor price for Current Year</t>
  </si>
  <si>
    <t xml:space="preserve">Post 31.03.2017, RECs issued to Solar projects registered under REC framework prior to 01.01.2015 is on the basis of </t>
  </si>
  <si>
    <t xml:space="preserve">1.33 times REC issued for every MWh generated </t>
  </si>
  <si>
    <t>One REC issued for every MWh generated</t>
  </si>
  <si>
    <t xml:space="preserve">2.66 times REC issued for every MWh generated </t>
  </si>
  <si>
    <t xml:space="preserve">Entity who can participate in REC Mechanism </t>
  </si>
  <si>
    <t>Eligible Generating Companies</t>
  </si>
  <si>
    <t>Eligible Distribution Licensees</t>
  </si>
  <si>
    <t>Eligible Generating Companies and Eligible Distribution Licensees</t>
  </si>
  <si>
    <t>Distribution licensees shall apply to the Central Agency for Certificates within ______  from the date of obtaining the certification from the concerned Appropriate Commission.</t>
  </si>
  <si>
    <t>The eligible entity other than distribution licensee shall apply to the Central Agency for certificates within _______ from the corresponding generation from eligible renewable energy projects</t>
  </si>
  <si>
    <t xml:space="preserve">Application for issuance of certificates may be made on </t>
  </si>
  <si>
    <t>10th of a month</t>
  </si>
  <si>
    <t>20th of a month</t>
  </si>
  <si>
    <t>last day of a month</t>
  </si>
  <si>
    <t>Any of the above</t>
  </si>
  <si>
    <t xml:space="preserve">Captive generating Plant (CPP) based on renewable energy sources does not propose to avail any benefit in the form of concessional/promotional transmission or wheeling charges and banking facility shall be eligible for ---------------------------------. </t>
  </si>
  <si>
    <t xml:space="preserve"> participating in REC mechanism for only the energy generated for self consumption</t>
  </si>
  <si>
    <t>participating in REC mechanism for the entire energy generated from such plant
including self consumption</t>
  </si>
  <si>
    <t>participating in REC mechanism for  the energy sold through PPA only</t>
  </si>
  <si>
    <t xml:space="preserve">In case PPA entererd into by a RE Generator for sale of electricity at a preferential tariff is terminated pre-maturely, the generator is not eligible tp participate in REC scheme for </t>
  </si>
  <si>
    <t>3 years from the date of termination</t>
  </si>
  <si>
    <t>till scheduled date of expiry of the PPA</t>
  </si>
  <si>
    <t>A or B which ever is earlier</t>
  </si>
  <si>
    <t>Only A</t>
  </si>
  <si>
    <t>If an eligible entity has been accreditated and registered on the basis of false information/suppression of material information and the accreditation of such entity is revoked at a later date,</t>
  </si>
  <si>
    <t>RECs already issued to such entity but not redeemed shall stand revoked from the date of issue</t>
  </si>
  <si>
    <t>If RECs already redeemed, such entity shall deposit the amount realized from sale of RECs with Central Agency</t>
  </si>
  <si>
    <t>If RECs already redeemed, such entity shall deposit the amount realized from sale of RECs with Central Agency along with the interest @ 2% in excess of applicable SBI Base rate p.a</t>
  </si>
  <si>
    <t>Both A and C</t>
  </si>
  <si>
    <t>Terms and conditions for recognition and issuance of Renewable Energy Certificate for Renewable Enenrgy Generation-Regulations 2010 are also referred to as</t>
  </si>
  <si>
    <t>Terms and Conditions for Tariff determination from Renewable Energy Sources</t>
  </si>
  <si>
    <t>The REC Regulations</t>
  </si>
  <si>
    <t>Option 1 &amp; 2</t>
  </si>
  <si>
    <t>Registration of eligible netities for RECs is a function of</t>
  </si>
  <si>
    <t>Issuance of RECs is a function of</t>
  </si>
  <si>
    <t>Maintaining and settlement of accounts of RECs is a funstion of</t>
  </si>
  <si>
    <t>CGP based on renewable energy sources, including renewable energy generating plant not fulfilling the conditions of CGP as prescribed in the Electricity Rules, 2005 but having self-consumption,shall be eligible for the entire energy generated from such plant for participating in the REC scheme if they fulfill these conditions</t>
  </si>
  <si>
    <t>having date of commissioning between 29th September 2010 and 31st
March 2016</t>
  </si>
  <si>
    <t>registered with Central Agency under REC scheme on or before 30th June
2016</t>
  </si>
  <si>
    <t>Both of these</t>
  </si>
  <si>
    <t>RECs shall be dealt through</t>
  </si>
  <si>
    <t>Power Exchanges only</t>
  </si>
  <si>
    <t>In case of Eligible CGP, for offsetting their RPO as a consumer</t>
  </si>
  <si>
    <t>Procedure for the Implementation of the Mechanism of Renewable
Regulatory Fund is not applicable to</t>
  </si>
  <si>
    <t>plants selling power through collective
transactions</t>
  </si>
  <si>
    <t>plants selling power through bilateral
transactions</t>
  </si>
  <si>
    <t>plants selling power through LTA
transactions</t>
  </si>
  <si>
    <t>The wind generators shall be responsible for forecasting their generation upto
an accuracy of_____ as per RRF mechanism</t>
  </si>
  <si>
    <t>A renewable energy generator selling electricity component to third party through open access shall be eligible for entire energy generated from such plant for participating in the REC scheme subject to the condition that</t>
  </si>
  <si>
    <t>it has not availed or does not propose to avail any benefit in the form of concessional/promotional transmission or wheeling charges and/or banking facility benefit</t>
  </si>
  <si>
    <t>it has foregone the benefits in the form of concessional/promotional transmission or wheeling charges and/or banking facility benefit</t>
  </si>
  <si>
    <t>A CGP including renewable energy generating plant not fulfilling the condtions of CGP prescribed in the Electricity Act 2005 but having self-consumption and having date of commissioning between  29 September 2010 and 31st March 2016 or registered with Central Agency on or before 30th june 2016 shall be eleigible for participating in REC scheme subject to the condition that</t>
  </si>
  <si>
    <t>it is eligible only after 3 years has elapsed from the date of forgoing the benefits in the form of concessional/promotional transmission or wheeling charges and/or banking facility benefit</t>
  </si>
  <si>
    <t>Bulk consumer is a consumer who avails supply at a voltage of ______</t>
  </si>
  <si>
    <t>11 kV or above</t>
  </si>
  <si>
    <t>33 kV or above</t>
  </si>
  <si>
    <t>66 kV or above</t>
  </si>
  <si>
    <t>132 kV or above</t>
  </si>
  <si>
    <t>Grid disturbance means tripping of one or more power system elements results in ______at 220 kV and above(132 kV above in case of NER)</t>
  </si>
  <si>
    <t>Total failure of supply at a S/S</t>
  </si>
  <si>
    <t>Loss of integrity of the Grid</t>
  </si>
  <si>
    <t>Both a &amp; b</t>
  </si>
  <si>
    <t>Either a or b</t>
  </si>
  <si>
    <t>The steady state operating voltage limits in case of 220 kV and below transmission</t>
  </si>
  <si>
    <t>0.95 to 1.05 pu</t>
  </si>
  <si>
    <t>0.9 to 1.1 pu</t>
  </si>
  <si>
    <t>0.95 to 1.1 pu</t>
  </si>
  <si>
    <t>0.9 to 1.05 pu</t>
  </si>
  <si>
    <t>The steady state operating voltage limits in case of 400 kV transmission</t>
  </si>
  <si>
    <t>The steady state operating voltage limits in case of 765 kV  transmission</t>
  </si>
  <si>
    <t>728 to 800 kV</t>
  </si>
  <si>
    <t>700 to 800 kV</t>
  </si>
  <si>
    <t>688 to 841 kV</t>
  </si>
  <si>
    <t>726 to 803 kV</t>
  </si>
  <si>
    <t>The temporary over voltage (kV peak/ph) due to sudden load rejection in case of 765 kV shall be with in a limit of</t>
  </si>
  <si>
    <t>927 kV</t>
  </si>
  <si>
    <t>932 kV</t>
  </si>
  <si>
    <t>914 kV</t>
  </si>
  <si>
    <t>948 kV</t>
  </si>
  <si>
    <t>what is voltage unbalance ?</t>
  </si>
  <si>
    <t>Unequal voltages in all 3 phases</t>
  </si>
  <si>
    <t>Variation of phase voltage from average to maximum</t>
  </si>
  <si>
    <t>Ratio of maximum voltage deviation of phase volatge from the average phase  to average phase voltage of 3 phases</t>
  </si>
  <si>
    <t xml:space="preserve">Variation of phase voltage from average to maximum of three phases </t>
  </si>
  <si>
    <t>The operating frequency band of Indian Power System is in the range of</t>
  </si>
  <si>
    <t>49.91 to 50.03 Hz</t>
  </si>
  <si>
    <t>49.09 to 50.03 Hz</t>
  </si>
  <si>
    <t>49.7 to 50.3 Hz</t>
  </si>
  <si>
    <t>49.9 to 50.05 Hz</t>
  </si>
  <si>
    <t>The maximum permissible voltage unbalance in 765 kV and 400 kV shall be</t>
  </si>
  <si>
    <t>2%</t>
  </si>
  <si>
    <t>`1%</t>
  </si>
  <si>
    <t>Maximum fault clearance time in 765 and 400 kV transmission system shall be</t>
  </si>
  <si>
    <t>150 ms</t>
  </si>
  <si>
    <t>180ms</t>
  </si>
  <si>
    <t>100ms</t>
  </si>
  <si>
    <t>160ms</t>
  </si>
  <si>
    <t>924 kV</t>
  </si>
  <si>
    <t>936 kV</t>
  </si>
  <si>
    <t>800 kV</t>
  </si>
  <si>
    <t>The temporary over voltage (kV peak/ph) due to sudden load rejection in case of 220 kV shall be with in a limit of</t>
  </si>
  <si>
    <t>293 kV</t>
  </si>
  <si>
    <t>275 kV</t>
  </si>
  <si>
    <t>283 kV</t>
  </si>
  <si>
    <t>290 kV</t>
  </si>
  <si>
    <t>The maximum permissible voltage unbalance for 765 kV &amp; 400 kV shall be</t>
  </si>
  <si>
    <t>The maximum permissible voltage unbalance in 220kV shall be</t>
  </si>
  <si>
    <t>Maximum fault clearance time in 220 kV transmission system shall be</t>
  </si>
  <si>
    <t>100 ms</t>
  </si>
  <si>
    <t>150ms</t>
  </si>
  <si>
    <t>In the event of non-clearance of fault with in max fault clearnce time by a breaker, the type of protection should act is</t>
  </si>
  <si>
    <t>Back up Relay Protection</t>
  </si>
  <si>
    <t>Back up breaker protection</t>
  </si>
  <si>
    <t>Breaker fail protection</t>
  </si>
  <si>
    <t>Secondary protection</t>
  </si>
  <si>
    <t>The temporary over voltage (kV peak/ph) due to sudden load rejection in case of 132 kV shall be with in a limit of</t>
  </si>
  <si>
    <t>165 kV</t>
  </si>
  <si>
    <t>177 kV</t>
  </si>
  <si>
    <t>170 kV</t>
  </si>
  <si>
    <t>181 kV</t>
  </si>
  <si>
    <t>Maximum fault clearance time of 100ms is allowed for _______transmission system</t>
  </si>
  <si>
    <t>400 kV</t>
  </si>
  <si>
    <t>220kV</t>
  </si>
  <si>
    <t>765kV</t>
  </si>
  <si>
    <t>Botha&amp;c</t>
  </si>
  <si>
    <t>which of the voltage level of transmission is allowed with a mximum of 3% voltage unbalance?</t>
  </si>
  <si>
    <t>66 kV</t>
  </si>
  <si>
    <t>132 kV</t>
  </si>
  <si>
    <t>33 kV</t>
  </si>
  <si>
    <t>Who shall ensure that the  the quality of voltage wave form at all points in the Grid is maintained ______</t>
  </si>
  <si>
    <t>Load Despatch Centres</t>
  </si>
  <si>
    <t>Transmission Licensees</t>
  </si>
  <si>
    <t>RPCs</t>
  </si>
  <si>
    <t>Generating Companies</t>
  </si>
  <si>
    <t>The temporary over voltage (kV peak/ph) due to sudden load rejection in case of 400 kV shall be with in a limit of</t>
  </si>
  <si>
    <t>498 kV</t>
  </si>
  <si>
    <t>523 kV</t>
  </si>
  <si>
    <t>536 kV</t>
  </si>
  <si>
    <t>514 kV</t>
  </si>
  <si>
    <t>In the event of non-clearance of fault with in max fault clearnce time by a breaker,tripping shall be initiated for all other breakers in the concerned bus-section within_____time</t>
  </si>
  <si>
    <t>next 150ms</t>
  </si>
  <si>
    <t>next 200ms</t>
  </si>
  <si>
    <t>nest 100ms</t>
  </si>
  <si>
    <t>next 180 ms</t>
  </si>
  <si>
    <t>The permissible limit of volatge fluctuations for repetitive step changes is</t>
  </si>
  <si>
    <t>The maximum permissible limit of occasional  volatge fluctuations other than  step changes is</t>
  </si>
  <si>
    <t>The total Harmonic distortion permissible as per the Grid standards for 765 kV and 400 kV system voltage are</t>
  </si>
  <si>
    <t>1%,1.5%</t>
  </si>
  <si>
    <t>1.5%, 2%</t>
  </si>
  <si>
    <t>2%,1.5%</t>
  </si>
  <si>
    <t>1.5%,2.5%</t>
  </si>
  <si>
    <t>For a system voltage of 220 kV, individual Harmonic of any particular frequency permissible is</t>
  </si>
  <si>
    <t>2%,2.5%</t>
  </si>
  <si>
    <t>a-1,b-4,c-2,d-3</t>
  </si>
  <si>
    <t>a-1,b-1,c-2,d-3</t>
  </si>
  <si>
    <t>a-2,b-4,c-3,d-4</t>
  </si>
  <si>
    <t>a-4,b-4,c-2,d-3</t>
  </si>
  <si>
    <t>The entity(s) responsible for operational planning of the Grid by reviewing voltage &amp; frequency profile, grid disturbances &amp; incidentss, line loading etc is/are _______</t>
  </si>
  <si>
    <t>The annual maintenance plan for inter-state transmission system shall be prepared by ________</t>
  </si>
  <si>
    <t>a-1,b-4,c-5,d-3,e-3</t>
  </si>
  <si>
    <t>a-2,b-2,c-1,d-4,e-4</t>
  </si>
  <si>
    <t>a-2,b-1,c-5,d-3,e-3</t>
  </si>
  <si>
    <t>a-2,b-1,c-5,d-4,e-4</t>
  </si>
  <si>
    <t>The annual maintenance plan of inter-state transmission system shall be prepared considering the following:</t>
  </si>
  <si>
    <t>Demand pattern of the regions</t>
  </si>
  <si>
    <t>Diversity in demand of the states</t>
  </si>
  <si>
    <t>Maintenance schedule of Generating stations</t>
  </si>
  <si>
    <t>All a,b&amp;c</t>
  </si>
  <si>
    <t>Annual maintenance plan of intra-state transmission system shall be prepared by</t>
  </si>
  <si>
    <t>The Generating station or Tranmsmission licensee before taking shutdown of a plant or line shall take approval of ______</t>
  </si>
  <si>
    <t>Appropriate LDC</t>
  </si>
  <si>
    <t>Both b&amp;c</t>
  </si>
  <si>
    <t>The record of operating instructions given by each RLDC &amp; SLDC shall be preserved for atleast ______</t>
  </si>
  <si>
    <t xml:space="preserve">8 months </t>
  </si>
  <si>
    <t>1 year</t>
  </si>
  <si>
    <t>Under Frequency Relay and df/dt relay settings shall be made by the entities as instructed by ______</t>
  </si>
  <si>
    <t>Detailed report on operation of UFR and df/dt relays shall be submitted by the constituents to _____</t>
  </si>
  <si>
    <t>Both a&amp;b</t>
  </si>
  <si>
    <t>Detailed report on operation of UFR and df/dt relays shall be submitted by the constituents on ________</t>
  </si>
  <si>
    <t>weekly basis</t>
  </si>
  <si>
    <t>Bi-weekly basis</t>
  </si>
  <si>
    <t>Islanding schemes for the seperation of the system in case of Grid disturbance shall be prepared by _______</t>
  </si>
  <si>
    <t>Grid incidents is categorized based on __________</t>
  </si>
  <si>
    <t>Voltage rating of lines</t>
  </si>
  <si>
    <t>Loss of Generation</t>
  </si>
  <si>
    <t>Loss of Load</t>
  </si>
  <si>
    <t>Grid disturbances are categorized based on _____________</t>
  </si>
  <si>
    <t>Either b or cwhichever is higher</t>
  </si>
  <si>
    <t>Grid incidents &amp; Grid disturbances are categorized into _______ no. of categories</t>
  </si>
  <si>
    <t>2, 5</t>
  </si>
  <si>
    <t>3, 4</t>
  </si>
  <si>
    <t>5, 5</t>
  </si>
  <si>
    <t>4, 4</t>
  </si>
  <si>
    <t>The category GI-1 incident means no loss of integrity at (Not applicable for NER)</t>
  </si>
  <si>
    <t>220 kV</t>
  </si>
  <si>
    <t>765 kV</t>
  </si>
  <si>
    <t>The category GI-2 incident means no loss of integrity at (Not applicable for NER)</t>
  </si>
  <si>
    <t>The category GD-1 disturbance means loss of  __ % generation or load in the region</t>
  </si>
  <si>
    <t>&lt;10</t>
  </si>
  <si>
    <t>10  to &lt;20</t>
  </si>
  <si>
    <t>20 to &lt;30</t>
  </si>
  <si>
    <t>30 to &lt;40</t>
  </si>
  <si>
    <t>The category GD-2 disturbance means loss of  __ % generation or load in the region</t>
  </si>
  <si>
    <t>The category GD-3 disturbance means loss of  __ % generation or load in the region</t>
  </si>
  <si>
    <t>The category GD-4 disturbance means loss of  __ % generation or load in the region</t>
  </si>
  <si>
    <t>The category GD-5 disturbance means loss of  __ % generation or load in the region</t>
  </si>
  <si>
    <t>&gt;=40</t>
  </si>
  <si>
    <t>One unit of Loktak generating station got tripped due to fault in Lube oil pump, but the integrity of the 132 kV system remains due to immediate counter actions. This is categorized as __________</t>
  </si>
  <si>
    <t>GD-1</t>
  </si>
  <si>
    <t>GI-1</t>
  </si>
  <si>
    <t>GD-2</t>
  </si>
  <si>
    <t>GI-2</t>
  </si>
  <si>
    <t>RLDC shall report the occurrence of a grid disturbance to _______ immediately after the occurrence.</t>
  </si>
  <si>
    <t>Respective Constituents</t>
  </si>
  <si>
    <t>Grid disturbance causing failure of supply to the large areas shall be reported to the Authority with in _______ of the occurrence of it.</t>
  </si>
  <si>
    <t>12 hrs</t>
  </si>
  <si>
    <t>Immediately</t>
  </si>
  <si>
    <t>24 hrs</t>
  </si>
  <si>
    <t>8 hrs</t>
  </si>
  <si>
    <t>The entity responsible for developing restoration procedures for inter-state transmission system is</t>
  </si>
  <si>
    <t>The entity responsible for developing restoration procedures for intra-state transmission system is</t>
  </si>
  <si>
    <t>Opeartional data including equipment and system parameters logged manually and electronically shall be preserved for atleast _____</t>
  </si>
  <si>
    <t>3 Yrs</t>
  </si>
  <si>
    <t>2 Yrs</t>
  </si>
  <si>
    <t>1 Yr</t>
  </si>
  <si>
    <t xml:space="preserve">The compendium of grid disturbances shall be maintained by </t>
  </si>
  <si>
    <t>Mock exercise in Fire fighting shall be carried out at least once in a ______ and record to be maintained at sub-station</t>
  </si>
  <si>
    <t>Hot-spots on over head transmission lines can be detected by___________</t>
  </si>
  <si>
    <t>Cluster Analysis</t>
  </si>
  <si>
    <t>Thermo Sensors</t>
  </si>
  <si>
    <t>Thermo-vision Scanners</t>
  </si>
  <si>
    <t>Infra-Dura Glasses</t>
  </si>
  <si>
    <t>Therrmo vision scanning shall be carried out once in _____ at voltage level 220 kV and above</t>
  </si>
  <si>
    <t xml:space="preserve">A 'Bulk consumer' avails supply at </t>
  </si>
  <si>
    <t xml:space="preserve"> 220 kV and above</t>
  </si>
  <si>
    <t>33 kV and above</t>
  </si>
  <si>
    <t>132 kV and above</t>
  </si>
  <si>
    <t>400 kV 
and above</t>
  </si>
  <si>
    <t xml:space="preserve">Entity of the grid is </t>
  </si>
  <si>
    <t>a generating company</t>
  </si>
  <si>
    <t>a transmission licensee</t>
  </si>
  <si>
    <t>a distribution licensee</t>
  </si>
  <si>
    <t>all of a, b,c</t>
  </si>
  <si>
    <t xml:space="preserve">The operating frequency band as per grid code is </t>
  </si>
  <si>
    <t>49.2 to 50.3</t>
  </si>
  <si>
    <t>49.0 to 50.5</t>
  </si>
  <si>
    <t>48.0 to 52.0</t>
  </si>
  <si>
    <t>49.9 to 50.05</t>
  </si>
  <si>
    <t>The steady state voltage limits in case of 220 kV and below</t>
  </si>
  <si>
    <t>0.95 to 1.1 p.u.</t>
  </si>
  <si>
    <t>0.9 to 1.05 p.u</t>
  </si>
  <si>
    <t>0.95 to 1.05 p.u</t>
  </si>
  <si>
    <t>0.9 to 1.1 p.u.</t>
  </si>
  <si>
    <t>The steady state voltage limits in case of 400 kV are</t>
  </si>
  <si>
    <t>The steady state voltage limits in case of 765 kV are</t>
  </si>
  <si>
    <t>687 to 841 kV</t>
  </si>
  <si>
    <t>687 to 800 kV</t>
  </si>
  <si>
    <t xml:space="preserve">The temporary over voltage in case of load rejection in 220 kV shall be </t>
  </si>
  <si>
    <t>245 kV</t>
  </si>
  <si>
    <t>265 kV</t>
  </si>
  <si>
    <t>300 kV</t>
  </si>
  <si>
    <t xml:space="preserve">The maximum possible voltage unbalance in 33 to 132 kV shall be </t>
  </si>
  <si>
    <t xml:space="preserve">The maximum possible voltage unbalance in 220 kV shall be </t>
  </si>
  <si>
    <t xml:space="preserve">The maximum possible voltage unbalance in 400 and 765 kV shall be </t>
  </si>
  <si>
    <t xml:space="preserve">The maximum fault clearence time in case of 132 and 220 kV shall be </t>
  </si>
  <si>
    <t>160 ms</t>
  </si>
  <si>
    <t>200 ms</t>
  </si>
  <si>
    <t>50 ms</t>
  </si>
  <si>
    <t xml:space="preserve">The maximum fault clearence time in case of 400 and 765 kV shall be </t>
  </si>
  <si>
    <t>The total harmonic distortion in 33 to 132 kV system shall not exceed</t>
  </si>
  <si>
    <t>The total harmonic distortion in 220 kV system shall not exceed</t>
  </si>
  <si>
    <t>The total harmonic distortion in 400 kV system shall not exceed</t>
  </si>
  <si>
    <t>The total harmonic distortion in 765 kV system shall not exceed</t>
  </si>
  <si>
    <t>The entity responsible for operation planning to maintain frequency, voltage profile, line loading,etc is</t>
  </si>
  <si>
    <t xml:space="preserve">The annual maintenance plan for inter-state tansmission system shall be prepared by </t>
  </si>
  <si>
    <t xml:space="preserve">The annual maintenance plan for intra-state tansmission system shall be prepared by </t>
  </si>
  <si>
    <t>The record of operating instructions shall be preserved for at least __ months.</t>
  </si>
  <si>
    <t xml:space="preserve">The category GI-1 incident means no loss of integrity at </t>
  </si>
  <si>
    <t xml:space="preserve">The category GI-2 incident means no loss of integrity at </t>
  </si>
  <si>
    <t>0 to 10</t>
  </si>
  <si>
    <t>10 to 20</t>
  </si>
  <si>
    <t>20 to 30</t>
  </si>
  <si>
    <t>30 to 40</t>
  </si>
  <si>
    <t xml:space="preserve">The entity responsible for developing restoration procedure for inter state  system after a grid disturbance is </t>
  </si>
  <si>
    <t>The regulations specifying the Philosophy and the responsibilities for planning and operation of Indian power system</t>
  </si>
  <si>
    <t>Electricity act 2003</t>
  </si>
  <si>
    <t>Ring fencing</t>
  </si>
  <si>
    <t>Grid conetivity standers</t>
  </si>
  <si>
    <t>IEGC</t>
  </si>
  <si>
    <t>An outage of a generating unit or a transmission element due to a fault or other reasons which has not been planned. This para talks in IEGC about:</t>
  </si>
  <si>
    <t>“force majeure”</t>
  </si>
  <si>
    <t>“forced outage”</t>
  </si>
  <si>
    <t>“pre-planned outage”</t>
  </si>
  <si>
    <t>none of these options</t>
  </si>
  <si>
    <t xml:space="preserve">Any event which is beyond the control of the person involved which they could not foresee or with a reasonable amount of  diligence could not have forseen </t>
  </si>
  <si>
    <t>A sahre of a beneficiary (in Mw /MWh in the installed capacity /output capability of an ISGS means</t>
  </si>
  <si>
    <t>Drawal schedule</t>
  </si>
  <si>
    <t>ISGS capability</t>
  </si>
  <si>
    <t>Entitlement</t>
  </si>
  <si>
    <t>A device provided at the end of a transmission line to measure/indicate the distance at which a line fault may have occureed</t>
  </si>
  <si>
    <t>under frequency relay</t>
  </si>
  <si>
    <t>SPS</t>
  </si>
  <si>
    <t>AVR</t>
  </si>
  <si>
    <t>Fault Locater</t>
  </si>
  <si>
    <t>Pool account incudes</t>
  </si>
  <si>
    <t xml:space="preserve"> Deviation charge account</t>
  </si>
  <si>
    <t xml:space="preserve">Reactive Energy account </t>
  </si>
  <si>
    <t>Congestion Charge Account</t>
  </si>
  <si>
    <t>The procedure necessary to recover from a partial or total black out in the region</t>
  </si>
  <si>
    <t>recovery procedure</t>
  </si>
  <si>
    <t>Black start procedure</t>
  </si>
  <si>
    <t>operational procedure</t>
  </si>
  <si>
    <t>The standards specified by the Authority under clause (d)of section 73 of the act</t>
  </si>
  <si>
    <t>Grid standards</t>
  </si>
  <si>
    <t>generating standards</t>
  </si>
  <si>
    <t>Power system specification</t>
  </si>
  <si>
    <t>Thesubstation where pooling of generation of individual wind generators or solar generators is done for inter facing with next higher level</t>
  </si>
  <si>
    <t>RE pooling station</t>
  </si>
  <si>
    <t>Wind pooling station</t>
  </si>
  <si>
    <t>Pooling station</t>
  </si>
  <si>
    <t>The IEGC bring together a single set of -------and --------------encompassing all the utilities connected to or using the inter -State transmission system(ISTS).</t>
  </si>
  <si>
    <t>technical</t>
  </si>
  <si>
    <t>commercial rules</t>
  </si>
  <si>
    <t>Objective of IEGC  include</t>
  </si>
  <si>
    <t>Optimal operation of the Grid</t>
  </si>
  <si>
    <t>Facilitation for Functioning Power markets  and Ancillary services</t>
  </si>
  <si>
    <t xml:space="preserve">Development of RE sources </t>
  </si>
  <si>
    <t xml:space="preserve">Allof these </t>
  </si>
  <si>
    <t xml:space="preserve">Any neighbouring country inter-connected with Indian (national ) grid shall be treated as </t>
  </si>
  <si>
    <t>Separate system</t>
  </si>
  <si>
    <t>Special conrtol area</t>
  </si>
  <si>
    <t>as a connected control area</t>
  </si>
  <si>
    <t>as a separate control area</t>
  </si>
  <si>
    <t>A central generating station or other generating station, in which two or more states have shares - is known as</t>
  </si>
  <si>
    <t>ISTS</t>
  </si>
  <si>
    <t>ISGS</t>
  </si>
  <si>
    <t>UMPP</t>
  </si>
  <si>
    <t>IPP/CPPS</t>
  </si>
  <si>
    <t>Available transfer capability (ATC), mathematically can be written as</t>
  </si>
  <si>
    <t>ATC=TTC –TRM</t>
  </si>
  <si>
    <t>ATC =TTC+ TRM</t>
  </si>
  <si>
    <t>ATC = TTC / TRM</t>
  </si>
  <si>
    <t>ATC=TTC*TRM</t>
  </si>
  <si>
    <t>In IEGC regulation-2010 part-5 deals with</t>
  </si>
  <si>
    <t>Planning code</t>
  </si>
  <si>
    <t>Connection code</t>
  </si>
  <si>
    <t>Scheduling code</t>
  </si>
  <si>
    <t>Operating code</t>
  </si>
  <si>
    <t xml:space="preserve">As per IEGC (latest amendment) “frequency band” in Hz is </t>
  </si>
  <si>
    <t>49.2 – 50.5</t>
  </si>
  <si>
    <t>49.5 – 50.3</t>
  </si>
  <si>
    <t>49.9 – 50.05</t>
  </si>
  <si>
    <t>49.5 – 50.2</t>
  </si>
  <si>
    <t>Most of the wind and solar generators are presently connected to -------------------network</t>
  </si>
  <si>
    <t>Intra State Power System</t>
  </si>
  <si>
    <t>Inter-state Power System</t>
  </si>
  <si>
    <t>SR -GRID</t>
  </si>
  <si>
    <t>In addition to the inter-State transmission system, the CTU shall plan, from time to time, -------- need of which may arise to overcome the constraints in power transfer and to improve the overall performance of the grid.</t>
  </si>
  <si>
    <t>extended transmission plan</t>
  </si>
  <si>
    <t>System protection scheme</t>
  </si>
  <si>
    <t>system strengthening scheme</t>
  </si>
  <si>
    <t xml:space="preserve">allof these </t>
  </si>
  <si>
    <t>As per IEGC clause no.5.2 (e), any prolonged outage of power system elements of any user/ CTU/STU, which are causing or likely to cause danger to the grid or sub-optimal operation of the grid shall regularly be monitored by…………..</t>
  </si>
  <si>
    <t>CTU/STU</t>
  </si>
  <si>
    <t>No user / SEB shall cause a sudden variation in its load by more than …………MW without prior intimation to and consent of the RLDC</t>
  </si>
  <si>
    <t xml:space="preserve">50 MW           </t>
  </si>
  <si>
    <t>As per IEGC, all SEBs, distribution licensees, CTU, STUs and SLDCs shall ensure that the -------------and-----------schemes are always functional. RLDC shall inform RPC secretariat about instances when the desired load relief is not obtained through relays in real time operation.</t>
  </si>
  <si>
    <t xml:space="preserve">Over flux and over load   </t>
  </si>
  <si>
    <t>Under frequency and df/dt</t>
  </si>
  <si>
    <t xml:space="preserve">Load shedding/ islanding </t>
  </si>
  <si>
    <t>Overcurrent and over voltage</t>
  </si>
  <si>
    <t xml:space="preserve">Non-Compliance of IEGC  for taking action against defaulting entity  is to be reported to </t>
  </si>
  <si>
    <t xml:space="preserve"> Regional Power Committee (RPC)</t>
  </si>
  <si>
    <t>Regional Load Despatch Centre (RLDC)</t>
  </si>
  <si>
    <t>Central Electricity Authority (CEA)</t>
  </si>
  <si>
    <t>Central Electricity Regulatory Commission (CERC)</t>
  </si>
  <si>
    <t>Action for non-compliance of IEGC  may be taken by</t>
  </si>
  <si>
    <t>Central Electricity Authority (CEA) on recommendation by RPC or RLDC</t>
  </si>
  <si>
    <t xml:space="preserve">Regional Power Committee  (RPC) on report by RLDC </t>
  </si>
  <si>
    <t>Central Electricity Regulatory Commission(CERC) on report by RPC and RLDC only</t>
  </si>
  <si>
    <t>Central Electricity Regulatory Commission(CERC) on petition by NLDC,RLDC,SLDC,RPC or any other person</t>
  </si>
  <si>
    <t xml:space="preserve">As per provisions of IEGC, CTU  can not engage  in  </t>
  </si>
  <si>
    <t>Planning and development of Inter-State Transmission System</t>
  </si>
  <si>
    <t>Power Generation</t>
  </si>
  <si>
    <t>Power Trading</t>
  </si>
  <si>
    <t xml:space="preserve">Power Trading and Generation both </t>
  </si>
  <si>
    <t xml:space="preserve">As per provisions of IEGC in case of Inter-State Transmission System, nodal agency for the connectivity, long-term access and medium –term open access is </t>
  </si>
  <si>
    <t xml:space="preserve"> Regional Load Despatch Centre (RLDC)</t>
  </si>
  <si>
    <t>As per IEGC, Suitable System Protection Schemes (SPS) for Inter-State Transmission System may be planned by</t>
  </si>
  <si>
    <t>Regional Load Despatch Centre (RLDC)/National Load Despatch Centre (NLDC)</t>
  </si>
  <si>
    <t>As per IEGC, Reliable and efficient speech and data communication systems are to be provided in their systems by</t>
  </si>
  <si>
    <t xml:space="preserve"> Central Transmission Utility (CTU)</t>
  </si>
  <si>
    <t>Users of Inter - State Transmission System</t>
  </si>
  <si>
    <t>State Transmission Utilities</t>
  </si>
  <si>
    <t xml:space="preserve"> A part of the grid can be deliberately isolated from the rest of the National/Regional grid, only</t>
  </si>
  <si>
    <t>under an emergency, or to prevent collapse of grid</t>
  </si>
  <si>
    <t xml:space="preserve"> for safety of human life</t>
  </si>
  <si>
    <t xml:space="preserve">when serious damage to a costly equipment is imminent and such isolation would prevent it, </t>
  </si>
  <si>
    <t xml:space="preserve"> All of these</t>
  </si>
  <si>
    <t xml:space="preserve">As per IEGC, Under Frequency Relays (UFRs) are to be provided for </t>
  </si>
  <si>
    <t>Day to Day Load shedding to mange Load by States/UTs</t>
  </si>
  <si>
    <t>Preventing the grid from cascade tripping and  Grid Disintegration/ Grid Collapse</t>
  </si>
  <si>
    <t xml:space="preserve">Protection of the Transmission Lines </t>
  </si>
  <si>
    <t>Protection of Transformers</t>
  </si>
  <si>
    <t>As per IEGC, who is responsible for keeping the record of expected vis-a vis. actual relief from Under Frequency Relays</t>
  </si>
  <si>
    <t xml:space="preserve"> National Load Despatch Centre (NLDC)</t>
  </si>
  <si>
    <t>Regional Power Committee (RPC)</t>
  </si>
  <si>
    <t>As per IEGC, all possible measures are to be taken to maintain  frequency in the range of</t>
  </si>
  <si>
    <t>49.7-50.3 Hz.</t>
  </si>
  <si>
    <t xml:space="preserve"> 49.9 - 50.05 Hz.</t>
  </si>
  <si>
    <t>49.5-50.2 Hz.</t>
  </si>
  <si>
    <t>49.5-50.3 Hz.</t>
  </si>
  <si>
    <t>As per IEGC, all possible measures are to be taken to maintain  400 kV voltage in the minimum and maximum range of</t>
  </si>
  <si>
    <t>390-420 kV</t>
  </si>
  <si>
    <t>380-410 kV</t>
  </si>
  <si>
    <t>370-430 kV</t>
  </si>
  <si>
    <t>380-420 kV.</t>
  </si>
  <si>
    <t>As per IEGC, all possible measures are to be taken to maintain  765kV voltage in the minimum and maximum range of</t>
  </si>
  <si>
    <t>790-750Kv</t>
  </si>
  <si>
    <t>815-730KV</t>
  </si>
  <si>
    <t>750-800Kv</t>
  </si>
  <si>
    <t>800-728 kV.</t>
  </si>
  <si>
    <t>As per IEGC, all possible measures are to be taken to maintain  220 kV voltage in the minimum and maximum range of</t>
  </si>
  <si>
    <t>245-198KV</t>
  </si>
  <si>
    <t>250-190Kv</t>
  </si>
  <si>
    <t>245-190KV</t>
  </si>
  <si>
    <t>As per IEGC, who is responsible for installation of  special energy meters on all inter connections between the regional entities and other identified points for recording of actual net MWh interchanges and MVArh drawals</t>
  </si>
  <si>
    <t>State Transmission Utility (STU)</t>
  </si>
  <si>
    <t>Distribution Company</t>
  </si>
  <si>
    <t>Regional Load Despatch Centre (NLDC)</t>
  </si>
  <si>
    <t>As per IEGC, restricted governor mode of operation is to be implemented for generating stations synchronized with grid  ( with exceptions mentioned in IEGC)  of the following category.</t>
  </si>
  <si>
    <t>Coal/lignite basedThermal units &gt;=200MW and Hydro units,Open Cycle Gas Turbine/Combined Cycle generating stations having
gas turbines of capacity more than 50 MW each  &gt;=25MW irrespective of owneship.</t>
  </si>
  <si>
    <t>Coal/lignite basedThermal units &gt;=200MW and Hydro units,Open Cycle Gas Turbine/Combined Cycle generating stations having
gas turbines of capacity more than 25 MW each  &gt;=10MW irrespective of owneship.</t>
  </si>
  <si>
    <t>Thermal units &gt;=200MW and Hydro units &gt;=10MW owned by central sector Generating companys</t>
  </si>
  <si>
    <t>Thermal units &gt;=200MW and Hydro units &gt;=10MW irrespective of owneship.</t>
  </si>
  <si>
    <t xml:space="preserve">Any prolonged outage of power system  element of any User/CTU/STU, which is causing or likely to cause danger to the grid or sub-optimal operation of the grid shall regularly be monitored by </t>
  </si>
  <si>
    <t xml:space="preserve">As per IEGC, All Users, CTU and STUs shall endeavor to operate their respective power systems and power stations in an integrated manner </t>
  </si>
  <si>
    <t>When instructed by RLDC</t>
  </si>
  <si>
    <t>When instructed by NLDC</t>
  </si>
  <si>
    <t>When Frequency is within stipulated Range</t>
  </si>
  <si>
    <t>All the times</t>
  </si>
  <si>
    <t>As per IEGC5, following type ( types) of trippings  of important elements specified by Regional grid shall be precisely intimated by the concerned SLDC/CTU/User to RLDC as soon as possible,</t>
  </si>
  <si>
    <t>Any tripping, whether manual or automatic</t>
  </si>
  <si>
    <t>Manual trippling only</t>
  </si>
  <si>
    <t>Automatic Tripping only</t>
  </si>
  <si>
    <t xml:space="preserve">As per IEGC 5.2 (f), amended time to time, There should not be any reduction in generation in case of improvement in grid frequency below ---- Hz </t>
  </si>
  <si>
    <t>50.0Hz</t>
  </si>
  <si>
    <t>49.7 Hz</t>
  </si>
  <si>
    <t>49.5 Hz</t>
  </si>
  <si>
    <t>50.05Hz</t>
  </si>
  <si>
    <t xml:space="preserve">As per IEGC5.4.2(b), amended time to time, the  SLDC/ SEB/Distribution licensee/Bulk consumer  shall ensure that requisite load shedding is carried out in its control area  so that </t>
  </si>
  <si>
    <t xml:space="preserve">there is no over drawal </t>
  </si>
  <si>
    <t xml:space="preserve">There is no under drawal </t>
  </si>
  <si>
    <t>Overdrawal is reduced to 150 MW when  frequency  is 49.9 Hz. or below</t>
  </si>
  <si>
    <t xml:space="preserve">There is no overdrawl when  frequency  is 49.8 Hz. or below.  </t>
  </si>
  <si>
    <t xml:space="preserve">As per IEGC, Annual outage plan is to be prepared by </t>
  </si>
  <si>
    <r>
      <t xml:space="preserve"> </t>
    </r>
    <r>
      <rPr>
        <sz val="10"/>
        <color indexed="8"/>
        <rFont val="Arial"/>
        <family val="2"/>
      </rPr>
      <t xml:space="preserve">RPC Secretariat in consultation with NLDC and RLDC </t>
    </r>
  </si>
  <si>
    <t xml:space="preserve">RPC Secretariat in consultation with CEA </t>
  </si>
  <si>
    <r>
      <t xml:space="preserve"> </t>
    </r>
    <r>
      <rPr>
        <sz val="10"/>
        <color indexed="8"/>
        <rFont val="Arial"/>
        <family val="2"/>
      </rPr>
      <t xml:space="preserve">CTU  in consultation with NLDC and RLDC </t>
    </r>
  </si>
  <si>
    <t>CTU  in consultation with CEA</t>
  </si>
  <si>
    <t>As per provisions of IEGC, if any deviation is required from annual outage plan prepared in advance  it shall be with prior permission from</t>
  </si>
  <si>
    <t xml:space="preserve">RPC and RLDC. </t>
  </si>
  <si>
    <t>RPC only</t>
  </si>
  <si>
    <t>RLDC only</t>
  </si>
  <si>
    <t xml:space="preserve">The control Area jurisdiction of any generating station is normally, decided on the basis of </t>
  </si>
  <si>
    <t>Ownership , UMPP Status  and capacity under commercial operation of Generating Station</t>
  </si>
  <si>
    <t>Share of host State</t>
  </si>
  <si>
    <t xml:space="preserve">Connection of Generating Station with ISTS and/or State Transmission System </t>
  </si>
  <si>
    <t xml:space="preserve">As per stipulations in IEGC, the control Area jurisdiction of any generating station </t>
  </si>
  <si>
    <t>Can not change once decided</t>
  </si>
  <si>
    <t>May be in one control area (i.e. SLDC) at one point of time and another control area (i.e. RLDC) at another point of time</t>
  </si>
  <si>
    <t>As decided by RPC</t>
  </si>
  <si>
    <t>As decided by RLDC</t>
  </si>
  <si>
    <t xml:space="preserve">As per IEGC, Regional grids are to  be operated as  power pools </t>
  </si>
  <si>
    <t>With centralised scheduling by RLDCs</t>
  </si>
  <si>
    <t>With centralized scheduling by RLDC and NLDC</t>
  </si>
  <si>
    <t>with decentralized scheduling and despatch,</t>
  </si>
  <si>
    <t>As per IEGC, which of the following is not  total responsibility of  SLDCs with respect to its control area</t>
  </si>
  <si>
    <t>Scheduling/ despatching their own generation (including generation of their embedded licensees)</t>
  </si>
  <si>
    <t xml:space="preserve">Regulating the demand of its control area and permitting long term access, medium term and short term open access transactions for embedded generators/consumers, in accordance with the contracts </t>
  </si>
  <si>
    <t>Scheduling their drawal from the ISGS (within their share in the respective plant’s expected capability)</t>
  </si>
  <si>
    <t xml:space="preserve">Ensuring adequate availability of  power </t>
  </si>
  <si>
    <t xml:space="preserve">As per provisions of IEGC, Drawal Schedule of control areas are decided on </t>
  </si>
  <si>
    <t>Hourly basis</t>
  </si>
  <si>
    <t>Day-ahead basis</t>
  </si>
  <si>
    <t>As per IEGC, which is  the apex body to ensure integrated operation of the power system in the concerned region.</t>
  </si>
  <si>
    <t xml:space="preserve">The Regional Load Despatch Centre is responsible for optimum scheduling and despatch of electricity within the region in accordance with </t>
  </si>
  <si>
    <t>The contracts entered into with the  licensees or the generating companies operating in the region</t>
  </si>
  <si>
    <t>Direction by CEA</t>
  </si>
  <si>
    <t>Direction by CTU</t>
  </si>
  <si>
    <t>Direction by NLDC</t>
  </si>
  <si>
    <t>As per IEGC, who is responsible to  ensure development of an efficient, co-ordinated and economical system of inter-State transmission lines for smooth flow of electricity from generating stations to the load centers</t>
  </si>
  <si>
    <t xml:space="preserve">As per IEGC, at present, scheduling is </t>
  </si>
  <si>
    <t>Mandatory for regional entity  wind generators</t>
  </si>
  <si>
    <t>Mandatory for  all wind generators</t>
  </si>
  <si>
    <t>Not mandatory for any wind generator</t>
  </si>
  <si>
    <r>
      <t xml:space="preserve"> </t>
    </r>
    <r>
      <rPr>
        <sz val="10"/>
        <color indexed="8"/>
        <rFont val="Arial"/>
        <family val="2"/>
      </rPr>
      <t>To be decided by Wind Generator</t>
    </r>
  </si>
  <si>
    <t xml:space="preserve">As per IEGC Var charges are applicable when </t>
  </si>
  <si>
    <r>
      <t xml:space="preserve"> </t>
    </r>
    <r>
      <rPr>
        <sz val="10"/>
        <color indexed="8"/>
        <rFont val="Arial"/>
        <family val="2"/>
      </rPr>
      <t>voltage at the metering point is below 97%</t>
    </r>
  </si>
  <si>
    <t xml:space="preserve">voltage is above103%. </t>
  </si>
  <si>
    <r>
      <t xml:space="preserve"> </t>
    </r>
    <r>
      <rPr>
        <sz val="10"/>
        <color indexed="8"/>
        <rFont val="Arial"/>
        <family val="2"/>
      </rPr>
      <t>In case of voltage below 97% or greater than 103% at the metering point.</t>
    </r>
  </si>
  <si>
    <r>
      <t xml:space="preserve">  </t>
    </r>
    <r>
      <rPr>
        <sz val="10"/>
        <color indexed="8"/>
        <rFont val="Arial"/>
        <family val="2"/>
      </rPr>
      <t>Voltage at metering point is below 95 % or above 105 %</t>
    </r>
  </si>
  <si>
    <t xml:space="preserve">Switching in/out of all 400 kV bus or line Reactors throughout the grid and  Tap changing on all 400/220 kV ICTs shall be done </t>
  </si>
  <si>
    <t>As per RLDCs instructions only.</t>
  </si>
  <si>
    <t>As per decision by respective transmission Utility</t>
  </si>
  <si>
    <t>As per decision by CTU</t>
  </si>
  <si>
    <t>Any time as per decision by CPCC</t>
  </si>
  <si>
    <r>
      <t>First IEGC, which became effective from 1</t>
    </r>
    <r>
      <rPr>
        <vertAlign val="superscript"/>
        <sz val="10"/>
        <color indexed="8"/>
        <rFont val="Arial"/>
        <family val="2"/>
      </rPr>
      <t>st</t>
    </r>
    <r>
      <rPr>
        <sz val="10"/>
        <color indexed="8"/>
        <rFont val="Arial"/>
        <family val="2"/>
      </rPr>
      <t xml:space="preserve"> Feb, 2000 was </t>
    </r>
  </si>
  <si>
    <r>
      <t xml:space="preserve"> </t>
    </r>
    <r>
      <rPr>
        <sz val="10"/>
        <color indexed="8"/>
        <rFont val="Arial"/>
        <family val="2"/>
      </rPr>
      <t>A Regulation made by Central Electricity Authority (CEA)</t>
    </r>
  </si>
  <si>
    <t>A Regulation made by Central Electricity Regulatory Commission(CERC)</t>
  </si>
  <si>
    <t>A Document of CTU Approved by CERC</t>
  </si>
  <si>
    <t>A Document of CTU Approved by Central Electricity Authority (CEA)</t>
  </si>
  <si>
    <t>For the purpose of the IEGC, the Damodar Valley Corporation (DVC) is treated</t>
  </si>
  <si>
    <t>similar to a Stae Electricity Board (SEB)</t>
  </si>
  <si>
    <t>Similar to a generator</t>
  </si>
  <si>
    <t>Similar to a transmission Licensee</t>
  </si>
  <si>
    <t>Similar to a distribution licensee</t>
  </si>
  <si>
    <t>Which of the following would act as the Central control room in case of natural &amp; man made emergency/disaster where it affects the power system operation.</t>
  </si>
  <si>
    <t>Control Room set up by CEA for this purpose</t>
  </si>
  <si>
    <t>Control Room in Ministry of Power for this purpose</t>
  </si>
  <si>
    <r>
      <t xml:space="preserve"> </t>
    </r>
    <r>
      <rPr>
        <sz val="10"/>
        <color indexed="8"/>
        <rFont val="Arial"/>
        <family val="2"/>
      </rPr>
      <t>National Load Despatch Centre (NLDC)</t>
    </r>
  </si>
  <si>
    <t>As per IEGC who is responsible for keeping accounts of quantity of electricity transmitted through the regional grid</t>
  </si>
  <si>
    <t xml:space="preserve">As per IEGC who is responsible for discharging all functions of planning and co-ordination relating to inter-State transmission system in co-ordination with various agencies </t>
  </si>
  <si>
    <r>
      <t xml:space="preserve"> </t>
    </r>
    <r>
      <rPr>
        <sz val="10"/>
        <color indexed="8"/>
        <rFont val="Arial"/>
        <family val="2"/>
      </rPr>
      <t>Regional Load Despatch Centre (RLDC)</t>
    </r>
  </si>
  <si>
    <r>
      <t xml:space="preserve"> </t>
    </r>
    <r>
      <rPr>
        <sz val="10"/>
        <color indexed="8"/>
        <rFont val="Arial"/>
        <family val="2"/>
      </rPr>
      <t>Central Electricity Authority (CEA)</t>
    </r>
  </si>
  <si>
    <t xml:space="preserve">As per IEGC who is responsible for issuing of Transmission Planning Criteria and guidelines </t>
  </si>
  <si>
    <t>Ministry of Power, Government of India</t>
  </si>
  <si>
    <t>As per IEGC, in all substations of 132 kV and above, how many transformers are to be provided.</t>
  </si>
  <si>
    <t>At least One</t>
  </si>
  <si>
    <t>At least Two</t>
  </si>
  <si>
    <t>At least Three</t>
  </si>
  <si>
    <t xml:space="preserve">Number as decided by Transmission Licensee </t>
  </si>
  <si>
    <t xml:space="preserve">As per IEGC, the primary objective of integrated operation of the National / Regional grids is </t>
  </si>
  <si>
    <t>to enhance the overall operational reliability and economy of the entire electric power network spread over the geographical area of the interconnected system</t>
  </si>
  <si>
    <r>
      <t xml:space="preserve"> </t>
    </r>
    <r>
      <rPr>
        <sz val="10"/>
        <color indexed="8"/>
        <rFont val="Arial"/>
        <family val="2"/>
      </rPr>
      <t>to enhance the overall operational reliability and economy of the Inter-State electric power network only</t>
    </r>
  </si>
  <si>
    <r>
      <t xml:space="preserve"> </t>
    </r>
    <r>
      <rPr>
        <sz val="10"/>
        <color indexed="8"/>
        <rFont val="Arial"/>
        <family val="2"/>
      </rPr>
      <t>to enhance the overall operational reliability of the entire electric power network spread over the geographical area of the interconnected system</t>
    </r>
  </si>
  <si>
    <r>
      <t xml:space="preserve"> </t>
    </r>
    <r>
      <rPr>
        <sz val="10"/>
        <color indexed="8"/>
        <rFont val="Arial"/>
        <family val="2"/>
      </rPr>
      <t>to enhance the overall operational economy of the entire electric power network spread over the geographical area of the interconnected system</t>
    </r>
  </si>
  <si>
    <t xml:space="preserve">As per IEGC under Restricted Governor Mode Operation (RGMO), </t>
  </si>
  <si>
    <t>There should not be any increase in generation in case of  decrease  in grid frequency below 49.7 Hz.</t>
  </si>
  <si>
    <t>There should not be any reduction in generation in case of  improvement in grid frequency above 50.2 Hz.</t>
  </si>
  <si>
    <t>There should not be any reduction in generation in case of  improvement in grid frequency below 50.0 Hz.</t>
  </si>
  <si>
    <t>There should not be any increase in generation in case of  decrease  in grid frequency below 50.05 Hz.</t>
  </si>
  <si>
    <t xml:space="preserve">As per IEGC provision of protections and relay settings are to  be coordinated periodically throughout the Regional grid, </t>
  </si>
  <si>
    <t>As per a plan finalized by the Protection sub-Committee of the RPC.</t>
  </si>
  <si>
    <t>As per direction of RLDC</t>
  </si>
  <si>
    <t>As per direction of CTU</t>
  </si>
  <si>
    <t>As per a plan finalized by the Operation Coordination  sub-Committee (OCC) of the RPC.</t>
  </si>
  <si>
    <t>As per IEGC, Who is/are allowed to carry out checking of Power System Stabilizers (PSS) in Automatic Voltage Regulators (AVRs) of generating units (wherever provided) and further tuning it, wherever considered necessary</t>
  </si>
  <si>
    <t>CTU/RPC</t>
  </si>
  <si>
    <t>As per IEGC, Automatic Under-Frequency and df/dt Relays for load shedding in their respective systems are to be provided by</t>
  </si>
  <si>
    <t>All SEBs, Distribution licensees and STUs</t>
  </si>
  <si>
    <t>CTU and all STUs</t>
  </si>
  <si>
    <t>Distribution licensees and STUs</t>
  </si>
  <si>
    <t>CTU and all SEBs</t>
  </si>
  <si>
    <t>As per IEGC, state-of-the-art Automatic Demand Management Schemes are to be formulated and implemented by</t>
  </si>
  <si>
    <t>LDC through respective State Electricity Boards/Distribution Licensees</t>
  </si>
  <si>
    <r>
      <t xml:space="preserve"> </t>
    </r>
    <r>
      <rPr>
        <sz val="10"/>
        <color indexed="8"/>
        <rFont val="Arial"/>
        <family val="2"/>
      </rPr>
      <t>SLDC through respective State Transmission Utility</t>
    </r>
  </si>
  <si>
    <t>RLDC through respective State Electricity Boards/Distribution Licensees</t>
  </si>
  <si>
    <r>
      <t xml:space="preserve"> </t>
    </r>
    <r>
      <rPr>
        <sz val="10"/>
        <color indexed="8"/>
        <rFont val="Arial"/>
        <family val="2"/>
      </rPr>
      <t>RPC through respective State Electricity Boards/Distribution Licensees</t>
    </r>
  </si>
  <si>
    <t xml:space="preserve">Detailed plans and procedures for restoration after partial/total blackout of each User/STU/CTU system within a Region, are to be  finalized by the </t>
  </si>
  <si>
    <t>RLDC in consultation with NLDC all Users,STU,CTU,SLDC &amp; RPC</t>
  </si>
  <si>
    <t>concerned User/STU/CTU in coordination with the RLDC</t>
  </si>
  <si>
    <t>RPC  in coordination with concerned User/STU/CTU .</t>
  </si>
  <si>
    <t>NLDC in coordination with concerned User/STU/CTU .</t>
  </si>
  <si>
    <t xml:space="preserve">Mock trial runs of the procedure for restoration after partial/total blackout for different sub-systems are to  be carried out by the Users/CTU/STU at least </t>
  </si>
  <si>
    <t>once in every year.</t>
  </si>
  <si>
    <t>once in every three months.</t>
  </si>
  <si>
    <t>once every six months.</t>
  </si>
  <si>
    <t>once in every two year.</t>
  </si>
  <si>
    <t xml:space="preserve">IEGC,2010 ( read with other relevant CERC Regulations) contains provisions related to scheduling of </t>
  </si>
  <si>
    <t>Long-term, Medium –term and short-term transactions</t>
  </si>
  <si>
    <t>Only Long-term and  Medium –term transactions</t>
  </si>
  <si>
    <t>Only Long-term and  short-term transactions</t>
  </si>
  <si>
    <t>Only Long-term transactions</t>
  </si>
  <si>
    <r>
      <t>As per IEGC,</t>
    </r>
    <r>
      <rPr>
        <u/>
        <sz val="10"/>
        <color indexed="8"/>
        <rFont val="Arial"/>
        <family val="2"/>
      </rPr>
      <t xml:space="preserve"> </t>
    </r>
    <r>
      <rPr>
        <sz val="10"/>
        <color indexed="8"/>
        <rFont val="Arial"/>
        <family val="2"/>
      </rPr>
      <t xml:space="preserve">The Inter-State Generating Stations ( ISGS) </t>
    </r>
  </si>
  <si>
    <t xml:space="preserve">may deviate from the given schedules within the limits specified in the CERC UI Regulations </t>
  </si>
  <si>
    <t xml:space="preserve">can not  deviate from the given schedules </t>
  </si>
  <si>
    <t>may deviate from the given schedules  depending on the plant and system conditions</t>
  </si>
  <si>
    <t>may deviate from the given schedules within the limits specified in the DSM Regulations of CERC and  depending on the plant &amp; system conditions</t>
  </si>
  <si>
    <t>Which of the following is correct regarding scheduling of Hydro Generating Stations</t>
  </si>
  <si>
    <t xml:space="preserve">These are expected to respond to grid frequency changes </t>
  </si>
  <si>
    <t xml:space="preserve">These are expected to respond to inflow fluctuations. </t>
  </si>
  <si>
    <t>These are  free to deviate from the given schedule without causing grid constraint</t>
  </si>
  <si>
    <t>As per IEGC, In the event of bottleneck in evacuation of power due to any constraint, in the transmission system necessitating reduction in generation, which statement is true</t>
  </si>
  <si>
    <t xml:space="preserve">RLDC certifies the event and RLDC can revise the schedule which is  effective from the 4th time block, counting the time block in which the bottleneck in evacuation of power has taken place to be the first one. </t>
  </si>
  <si>
    <t xml:space="preserve">RLDC certifies the event and RLDC can revise the schedule which is  effective from the 6th time block, counting the time block in which the bottleneck in evacuation of power has taken place to be the first one. </t>
  </si>
  <si>
    <t xml:space="preserve">RPC certifies the event and RLDC can revise the schedule which is  effective from the 4th time block, counting the time block in which the bottleneck in evacuation of power has taken place to be the first one. </t>
  </si>
  <si>
    <t xml:space="preserve">RPC certifies the event and RLDC can revise the schedule which is  effective from the 6th time block, counting the time block in which the bottleneck in evacuation of power has taken place to be the first one. </t>
  </si>
  <si>
    <t xml:space="preserve">Certification of grid disturbance in respect of revising the schedule of generating stations and beneficiaries is to be done by </t>
  </si>
  <si>
    <t>As per IEGC, In the interest of better operation of Grid,  RLDC can revise the schedule</t>
  </si>
  <si>
    <t>RLDC can revise the schedule at any point of time</t>
  </si>
  <si>
    <t>RLDC can revise the schedule on its own</t>
  </si>
  <si>
    <t>RLDC can revise the schedule on its own &amp; revised schedule shall become effective from 4th TMBLK</t>
  </si>
  <si>
    <t>RLDC can not revise the schedule on its own at any point of time</t>
  </si>
  <si>
    <t xml:space="preserve">Under IEGC, the regional entities are mandated to first regulate their generation and/or consumers’ load so as to maintain their actual drawal from the regional grid </t>
  </si>
  <si>
    <t xml:space="preserve">close to their schedule. </t>
  </si>
  <si>
    <t>Exactly same as schedule</t>
  </si>
  <si>
    <t>More than schedule</t>
  </si>
  <si>
    <t>Less than scheule</t>
  </si>
  <si>
    <r>
      <t xml:space="preserve">As per provisions of IEGC, If a generating station is connected both to ISTS and the State network, scheduling and other functions performed by the system operator of a control area will be done by SLDC, </t>
    </r>
    <r>
      <rPr>
        <b/>
        <sz val="10"/>
        <color indexed="8"/>
        <rFont val="Arial"/>
        <family val="2"/>
      </rPr>
      <t>only if</t>
    </r>
    <r>
      <rPr>
        <sz val="10"/>
        <color indexed="8"/>
        <rFont val="Arial"/>
        <family val="2"/>
      </rPr>
      <t xml:space="preserve"> state has</t>
    </r>
  </si>
  <si>
    <t>more than 50% Share of power</t>
  </si>
  <si>
    <t>less than 50% Share of power</t>
  </si>
  <si>
    <t>100% share of power</t>
  </si>
  <si>
    <t>more than 40% Share of power</t>
  </si>
  <si>
    <t xml:space="preserve">As per IEGC, who has to ensure immediate compliance of the directions by RLDCs  in case of contingencies and /or threat to the system security </t>
  </si>
  <si>
    <t>State Transmission Utility</t>
  </si>
  <si>
    <t>State Electricity Board</t>
  </si>
  <si>
    <t>As per IEGC, amended time to time, all the Users, STU/SLDC and CTU  have to  send information/data including disturbance recorder/sequential event recorder output   to RLDC for purpose of analysis of any grid disturbance/event</t>
  </si>
  <si>
    <t xml:space="preserve">Within 24 Hours </t>
  </si>
  <si>
    <t xml:space="preserve">Within 7 days </t>
  </si>
  <si>
    <t xml:space="preserve">Within 15 days </t>
  </si>
  <si>
    <t xml:space="preserve">Within 30 days </t>
  </si>
  <si>
    <t>As per IEGC, who  has to carry out planning studies for Reactive Power compensation of ISTS including reactive power compensation requirement at the generator’s /bulk consumer’s switchyard and for connectivity of new generator/ bulk consumer to the ISTS</t>
  </si>
  <si>
    <t xml:space="preserve">CTU </t>
  </si>
  <si>
    <t>Who can implement the curtailment in Inter State open access transaction?</t>
  </si>
  <si>
    <t xml:space="preserve"> Seller</t>
  </si>
  <si>
    <t>Buyer</t>
  </si>
  <si>
    <t>If for any reason curtailment is required,as per IEGC what is the procedure for the curtailment to be followed?</t>
  </si>
  <si>
    <r>
      <t>1</t>
    </r>
    <r>
      <rPr>
        <vertAlign val="superscript"/>
        <sz val="10"/>
        <color indexed="8"/>
        <rFont val="Arial"/>
        <family val="2"/>
      </rPr>
      <t>st</t>
    </r>
    <r>
      <rPr>
        <sz val="10"/>
        <color indexed="8"/>
        <rFont val="Arial"/>
        <family val="2"/>
      </rPr>
      <t xml:space="preserve"> short-term, 2</t>
    </r>
    <r>
      <rPr>
        <vertAlign val="superscript"/>
        <sz val="10"/>
        <color indexed="8"/>
        <rFont val="Arial"/>
        <family val="2"/>
      </rPr>
      <t>nd</t>
    </r>
    <r>
      <rPr>
        <sz val="10"/>
        <color indexed="8"/>
        <rFont val="Arial"/>
        <family val="2"/>
      </rPr>
      <t xml:space="preserve">  medium-term and then long-term customers.</t>
    </r>
  </si>
  <si>
    <r>
      <t>1</t>
    </r>
    <r>
      <rPr>
        <vertAlign val="superscript"/>
        <sz val="10"/>
        <color indexed="8"/>
        <rFont val="Arial"/>
        <family val="2"/>
      </rPr>
      <t>st</t>
    </r>
    <r>
      <rPr>
        <sz val="10"/>
        <color indexed="8"/>
        <rFont val="Arial"/>
        <family val="2"/>
      </rPr>
      <t xml:space="preserve"> long-term and then short-term customers.</t>
    </r>
  </si>
  <si>
    <r>
      <t>1</t>
    </r>
    <r>
      <rPr>
        <vertAlign val="superscript"/>
        <sz val="10"/>
        <color indexed="8"/>
        <rFont val="Arial"/>
        <family val="2"/>
      </rPr>
      <t>st</t>
    </r>
    <r>
      <rPr>
        <sz val="10"/>
        <color indexed="8"/>
        <rFont val="Arial"/>
        <family val="2"/>
      </rPr>
      <t xml:space="preserve"> medium-term, and then long-term customers.</t>
    </r>
  </si>
  <si>
    <t>Collective transaction through px and then STOA</t>
  </si>
  <si>
    <t>Any tripping, whether manual or automatic of any of the important elements of regional grid shall be intimated by the concerened SLDC/CTU/User to RLDC with in -------</t>
  </si>
  <si>
    <t>One hour</t>
  </si>
  <si>
    <t>24 Hrs</t>
  </si>
  <si>
    <t xml:space="preserve">10 minutes </t>
  </si>
  <si>
    <t xml:space="preserve"> 4 Hrs</t>
  </si>
  <si>
    <t>If the state has a share of more than 50% in an IPP, then the scheduling and other functions shall be performed by-----</t>
  </si>
  <si>
    <t>Neither SLDC nor RLDC</t>
  </si>
  <si>
    <t>Either SLDC or RLDC</t>
  </si>
  <si>
    <t>As perIEGC 5.2(e) which period will be considered as prolonged outage?</t>
  </si>
  <si>
    <t>More than 5 days</t>
  </si>
  <si>
    <t>Each USER, CTU and STU shall obtain the final approval from RLDC prior to availing an outage: Is it mandatory?</t>
  </si>
  <si>
    <t>Optional</t>
  </si>
  <si>
    <t>Not required</t>
  </si>
  <si>
    <t xml:space="preserve">Scheduling and Despatch code has been described in IEGC part----- </t>
  </si>
  <si>
    <t>If a generating station is connected only to the ISTS, ------ shall co-ordinate the scheduling except for central generating satations where full shares is allocated to one state as per IEGC 6.4.2(c-i).</t>
  </si>
  <si>
    <t>SLDC/RLDC</t>
  </si>
  <si>
    <t>As per gridcode 6.4.26, who is responsible for scheduling and despatch of electricity over inter-regional links in accordance with the grid code specified by central commission in co- ordination with RLDCs?</t>
  </si>
  <si>
    <t>If a generating station connected both to ISTS and the state network, scheduling and other functions performed by the system operator of a control area will be done by SLDC only-----</t>
  </si>
  <si>
    <t>If the stae has 50% share of power</t>
  </si>
  <si>
    <t>If the sate has more than 50% share of power</t>
  </si>
  <si>
    <t>If the sate has less than 50% share of power</t>
  </si>
  <si>
    <t>If the stae has 100% share of power</t>
  </si>
  <si>
    <t>Scheduling of collective transaction through power exchange shall be done by</t>
  </si>
  <si>
    <t>PX</t>
  </si>
  <si>
    <t>If the state has a share of 50% or less in an IPP(Regional Entity), then the scheduling and other functions shall be performed by-----</t>
  </si>
  <si>
    <t>The individual transactions for state utilities/ intra state entitities shall be scheduled by the respective------</t>
  </si>
  <si>
    <t>As per grid code 6.5.14 which ramping rate is generally acceptable for an ISGS?</t>
  </si>
  <si>
    <t>50MW/hr</t>
  </si>
  <si>
    <t>150MW/hr</t>
  </si>
  <si>
    <t>200MW/hr</t>
  </si>
  <si>
    <t>100MW/hr</t>
  </si>
  <si>
    <t>As per IEGC clause 6.5.18, revision of declared cabability by the ISGS having two part tariff with capacity charge and energy charge(except hydro stations) and requisition by beneficiary for the remaining period of the day shall also be permitted with advance notice. Revised schedules shall be effective from-----</t>
  </si>
  <si>
    <t>4th time block</t>
  </si>
  <si>
    <t>6 th time block</t>
  </si>
  <si>
    <t>2 time block</t>
  </si>
  <si>
    <t>One and half hour</t>
  </si>
  <si>
    <t>After sheduling of forced outage of a unit under STOA, RLDC shall inform about the revised schedule to --------</t>
  </si>
  <si>
    <t>Seller</t>
  </si>
  <si>
    <t>Seller and Buyer</t>
  </si>
  <si>
    <t>the STOA applicant</t>
  </si>
  <si>
    <t>After getting report about prolonged outage of any grid element who will finalise the action plan?</t>
  </si>
  <si>
    <t>Collective transaction through power exchanges would normally be curtailed subsequent to the(--------------) bilateral transactions.</t>
  </si>
  <si>
    <t>Medium - term</t>
  </si>
  <si>
    <t>Short - term</t>
  </si>
  <si>
    <t>Long - term</t>
  </si>
  <si>
    <t>Medium &amp; Long - term</t>
  </si>
  <si>
    <t xml:space="preserve">In case of associated transmission system where ------------- , and where agreement could not be reached in respect of system strengthening schemes, the CTU may approach the Commission for the regulatory approval in accordance with Central Electricity </t>
  </si>
  <si>
    <t>All PPAs have not been signed</t>
  </si>
  <si>
    <t>All PPAs have  signed</t>
  </si>
  <si>
    <t>construction agreenent have not been signed</t>
  </si>
  <si>
    <t>construction agreenent have been signed</t>
  </si>
  <si>
    <t>As per IEGC 3.4 (e) (e) As ------------------------ plays an important role in inter-state transmission of energy, special attention shall be accorded, by 
CTU,  for planning of capacitors, reactors, SVC and Flexible 
Alternating Current Transmission Systems (FACTS), etc</t>
  </si>
  <si>
    <t>energy management</t>
  </si>
  <si>
    <t>frequency management</t>
  </si>
  <si>
    <t>Voltage management</t>
  </si>
  <si>
    <t>All utilities shall have in place, a------------------ to identify the critical cyber assets and protect them so as to support reliable operation of the grid.</t>
  </si>
  <si>
    <t>regulatory frame work</t>
  </si>
  <si>
    <t xml:space="preserve"> cyber security framework</t>
  </si>
  <si>
    <t xml:space="preserve"> Anti virous  scheme</t>
  </si>
  <si>
    <t>cyber protection</t>
  </si>
  <si>
    <t>CTU and other transmission licensees granted license by CERC shall submit annually to CERC by --------------- each year a schedule of transmission assets, which constitute the Regional Grid as on 31st March of that year indicating owner ship on which RLDC has operational control responsibility</t>
  </si>
  <si>
    <t>30th September</t>
  </si>
  <si>
    <t>As per IEGC 5.1.(f) A set of detailed operating procedures for each regional grid shall be developed and maintained by the ---------------</t>
  </si>
  <si>
    <t>As per IEGC 5.1.(g) A set of detailed operating procedures for each state grid shall be developed and maintained by the ---------------</t>
  </si>
  <si>
    <t>Maintenance of their respective power system elements shall be carried out by users, STUs and CTU in accordance with the provisions in --------------------</t>
  </si>
  <si>
    <t>Central Electricity Authority (Grid standerds )Regulation, 2010</t>
  </si>
  <si>
    <t>A Regulation made by SERC Electricity Regulatory Commission(SERC)</t>
  </si>
  <si>
    <t>In the restricted  governer mode of operation,There should not be any reduction in generation in case of improvement in grid frequency below --------------</t>
  </si>
  <si>
    <t>RGMO,  Ripple filter of +/- 0.03 Hz. shall be provided so that small changes in frequency are ignored for load correction, in order to ---------------</t>
  </si>
  <si>
    <t xml:space="preserve">prevent governor hunting. </t>
  </si>
  <si>
    <t xml:space="preserve">prevent load  hunting. </t>
  </si>
  <si>
    <t>power swing</t>
  </si>
  <si>
    <t>if a generating unit cannot be operated under restricted governor mode operation, then it shall be operated in ------------------ to operate in the manner required under restricted governor mode operation</t>
  </si>
  <si>
    <t>free governor mode operation without  manual intervention</t>
  </si>
  <si>
    <t>free governor mode operation with manual intervention</t>
  </si>
  <si>
    <t>free governor mode operation</t>
  </si>
  <si>
    <t xml:space="preserve">any of these </t>
  </si>
  <si>
    <t>Voltage fluctuation limits and voltage wave-form quality shall be maintained as specified in ---------------------------</t>
  </si>
  <si>
    <t>As per system reqirement</t>
  </si>
  <si>
    <t>Central Electricity Authority (Grid Standards) Regulations, 2010</t>
  </si>
  <si>
    <t xml:space="preserve">Who shall also prepare islanding schemes and ensure its implementation in accordance with Central Electricity Authority (Grid Standards) Regulations, 2010. </t>
  </si>
  <si>
    <t xml:space="preserve"> SLDC shall furnish monthly report of--------- and ------- operation in their respective system to the respective RPC. </t>
  </si>
  <si>
    <t>UFR</t>
  </si>
  <si>
    <t>df/dt relay</t>
  </si>
  <si>
    <t>System operator (SLDC/ RLDC) shall make all efforts to evacuate the available solar and wind power and treat as----------------</t>
  </si>
  <si>
    <t xml:space="preserve"> a must-run station</t>
  </si>
  <si>
    <t>RE station</t>
  </si>
  <si>
    <t>low preority station</t>
  </si>
  <si>
    <t xml:space="preserve">System operator may instruct  the solar /wind generator to -----------on consideration of grid security or safety of any equipment or personnel is endangered and Solar/ wind generator shall comply with the same. </t>
  </si>
  <si>
    <t xml:space="preserve">not to back down generation </t>
  </si>
  <si>
    <t xml:space="preserve">back down generation </t>
  </si>
  <si>
    <t>Must run</t>
  </si>
  <si>
    <t>During the wind generator start-up, the wind generator shall ensure that--------------------------- (inrush currents incase of induction generators) shall not affect the grid performanc</t>
  </si>
  <si>
    <t xml:space="preserve">the reactive power drawl </t>
  </si>
  <si>
    <t>the active power drawal</t>
  </si>
  <si>
    <t>the voltage limits</t>
  </si>
  <si>
    <t>current limits.</t>
  </si>
  <si>
    <t xml:space="preserve">As per IEGC 5.3.(g)           The SLDC shall take into account the Wind Energy ------------------------to meet the active and reactive power requirement. </t>
  </si>
  <si>
    <t>solar energy forcasting</t>
  </si>
  <si>
    <t>wing energy forcasting</t>
  </si>
  <si>
    <t>As per IEGC 5.6.1(b)   The------------------- is a mandatory built-in hierarchical function of the NLDC, RLDC, SLDC and Users, to facilitate quick transfer of information to operational staff.</t>
  </si>
  <si>
    <t xml:space="preserve"> Operational cordination function</t>
  </si>
  <si>
    <t xml:space="preserve">Operational liaison function </t>
  </si>
  <si>
    <t>communication function</t>
  </si>
  <si>
    <t>frequency control</t>
  </si>
  <si>
    <t xml:space="preserve">The LGBR shall be prepared by the respective ---------------- for peak as well as off-peak scenarios. </t>
  </si>
  <si>
    <t xml:space="preserve">RPC secretariat </t>
  </si>
  <si>
    <t xml:space="preserve">  NLDC/RLDC are authorized to defer the planned outage in case of any of the following, taking into account the statutory requirements: </t>
  </si>
  <si>
    <t xml:space="preserve"> grid disturbances </t>
  </si>
  <si>
    <t>System isolation &amp;Prtial Blac out in the State</t>
  </si>
  <si>
    <t xml:space="preserve"> Any other event in the system that may have an adverse impact on the system security by the proposed outage. </t>
  </si>
  <si>
    <t>Scheduling and Despatch code also provides the methodology for re-scheduling of wind and solar energy generators which are regional entities, on --------------------</t>
  </si>
  <si>
    <t>half hourly</t>
  </si>
  <si>
    <t>15 minutes</t>
  </si>
  <si>
    <t xml:space="preserve">three hourly basis </t>
  </si>
  <si>
    <t xml:space="preserve">one and half hourly basis </t>
  </si>
  <si>
    <t>The concerned SEB/distribution licensee/User, SLDC shall ensure that their ------------------------- mentioned in clause 5.4.2 acts to ensure that there is no over-drawal.</t>
  </si>
  <si>
    <t>Energy management system</t>
  </si>
  <si>
    <t>automatic demand management scheme</t>
  </si>
  <si>
    <t>Installation of under frequency reay</t>
  </si>
  <si>
    <t>all of these</t>
  </si>
  <si>
    <t>For hydro generating station,     It is also expected that ---------------actually supplied by the generating station on that day would equal the declared total energy, in order that the water release requirement is met</t>
  </si>
  <si>
    <t>the total net energy</t>
  </si>
  <si>
    <t>scheduled  energy</t>
  </si>
  <si>
    <t>injection</t>
  </si>
  <si>
    <t>The procedure for scheduling and the final schedules issued by RLDC, shall be open to all regional entities and other regional open access customers entities for any checking/verification, for a period of ------days</t>
  </si>
  <si>
    <t>In general, the Regional Entities except -------------------- shall endeavor to minimize the VAr drawal at an interchange point when the voltage at that point is below 95% of rated, and shall not return VAr when the voltage is above 105%</t>
  </si>
  <si>
    <t>Discoms</t>
  </si>
  <si>
    <t>generating stations</t>
  </si>
  <si>
    <t>bothA&amp;B</t>
  </si>
  <si>
    <t>any drawal utility</t>
  </si>
  <si>
    <t>The computation and payments for such VAr exchanges shall be effected as -------------  the two Beneficiaries</t>
  </si>
  <si>
    <t>mutually agreed between</t>
  </si>
  <si>
    <t>as written in the regulation</t>
  </si>
  <si>
    <t>as per seller</t>
  </si>
  <si>
    <t>as per drawee</t>
  </si>
  <si>
    <t>i)Day ahead forecast: Wind and solar energy generation forecast with an interval of 15 minutes for the next 24 hours for the aggregate generation capacity of -------------</t>
  </si>
  <si>
    <t>100&amp;above</t>
  </si>
  <si>
    <t xml:space="preserve">50 MW and above. </t>
  </si>
  <si>
    <t>40 and above</t>
  </si>
  <si>
    <t>20 and above</t>
  </si>
  <si>
    <t xml:space="preserve">The charges payable for deviation from schedule by the wind and solar generators which are regional entities, shall be ---------------- frequency </t>
  </si>
  <si>
    <t>The total net energy</t>
  </si>
  <si>
    <t>linked with</t>
  </si>
  <si>
    <t>de linked from</t>
  </si>
  <si>
    <t>IEGC Regulation -2010 Came Into Force On</t>
  </si>
  <si>
    <t>-</t>
  </si>
  <si>
    <t>A central generating station or other generating station , in which two or more states have shares ; is/are known as</t>
  </si>
  <si>
    <t>Available transfer capability (atc), mathematically can be written as</t>
  </si>
  <si>
    <t>ATC = TRM+ATC</t>
  </si>
  <si>
    <t>UI stands for</t>
  </si>
  <si>
    <t>Unscheduled Exchange</t>
  </si>
  <si>
    <t>Unscheduled  Interchange</t>
  </si>
  <si>
    <t>Uniform Interchange</t>
  </si>
  <si>
    <t>Unscheduled Inter Exchange</t>
  </si>
  <si>
    <t>General code</t>
  </si>
  <si>
    <t>As per iegc “frequency band” in hz. Is</t>
  </si>
  <si>
    <t>49.90 – 50.05</t>
  </si>
  <si>
    <t>As per iegc, the operating voltage range for 400 kv system is</t>
  </si>
  <si>
    <t>MAX        MIN
440kv          360kv</t>
  </si>
  <si>
    <t>MAX        MIN
420kv        380kv</t>
  </si>
  <si>
    <t>MAX        MIN
416kv         386kv</t>
  </si>
  <si>
    <t>Constituents draw   more than their scheduled drawal then they are violating grid code clause no.</t>
  </si>
  <si>
    <t>5.4.2 (d)</t>
  </si>
  <si>
    <t>5.4.2 (x)</t>
  </si>
  <si>
    <t>5.4.2 (a)</t>
  </si>
  <si>
    <t>5.4.2 (b)</t>
  </si>
  <si>
    <r>
      <t xml:space="preserve">Grid code  5.4.2 (b) says “ the SLDC/ SEB/SEB/Distribution licencee  and bulk consumer shall ensure that requisite load shedding  is carried out in its control area  so that there is no overdrawl </t>
    </r>
    <r>
      <rPr>
        <b/>
        <i/>
        <u/>
        <sz val="10"/>
        <color indexed="10"/>
        <rFont val="Arial"/>
        <family val="2"/>
      </rPr>
      <t/>
    </r>
  </si>
  <si>
    <t>At all times</t>
  </si>
  <si>
    <t>49.5 HZ</t>
  </si>
  <si>
    <t>49.7 HZ</t>
  </si>
  <si>
    <t>49.8 HZ</t>
  </si>
  <si>
    <t>No part of the grid shall be deliberately isolated from the rest of the national / regional grid , except under an emergency, and conditions in which such isolation would prevent  a  total grid collapse and / or would enable early restoration of power supply,…………….</t>
  </si>
  <si>
    <t xml:space="preserve">6.8 ( a) </t>
  </si>
  <si>
    <t>5.2 (b)</t>
  </si>
  <si>
    <t>5.2  (c)</t>
  </si>
  <si>
    <t>5.2 (d)</t>
  </si>
  <si>
    <t>Which clause of grid code allows the users, ctu, and stu for isolation of the part of the grid ?</t>
  </si>
  <si>
    <t>if concerned SLDC/CTU/User is not intimating RLDC about important element tripping manual or automatic then they are violating grid code clause no</t>
  </si>
  <si>
    <t>5.2(b)</t>
  </si>
  <si>
    <t>6.2(d)</t>
  </si>
  <si>
    <t>5.2(d)</t>
  </si>
  <si>
    <t>4.2(b)</t>
  </si>
  <si>
    <t>As per iegc clause no.5.2 (e), any prolonged outage of power system elements of any user/ ctu/stu, which causing or likely to cause danger to the grid or sub-optimal operation of the grid shall regularly be monitored by…………..</t>
  </si>
  <si>
    <t>If any user reduces generation of a unit of 210mw capacity down to 90mw without any case of emergency or any act to prevent imminent damage to costly equipment then that user violates grid code clause no. …….</t>
  </si>
  <si>
    <t xml:space="preserve">6.2 (l)                        </t>
  </si>
  <si>
    <t xml:space="preserve">5.2 (j )                    </t>
  </si>
  <si>
    <t xml:space="preserve">4.9 (d)     </t>
  </si>
  <si>
    <t>5.6.2(b)</t>
  </si>
  <si>
    <t>No user / SEB shall cause a sudden variation in its load by more than …………mw without prior intimation to and consent of the RLDC</t>
  </si>
  <si>
    <t>As per IEGC, all SEBs, distribution licensees, ctu stus and sldcs shall ensure that the -------------and-----------schemes are always functional. RLDC shall inform RPC secretariat about instances when the desired load relief is not obtained through relays in real time operation.</t>
  </si>
  <si>
    <t>“NLDC / RLDC are authorized to defer the planned outage” under which grid code clause, should they can exercise this power?</t>
  </si>
  <si>
    <t xml:space="preserve">5.7.4 (g)     </t>
  </si>
  <si>
    <t xml:space="preserve">5.9.2 (a)     </t>
  </si>
  <si>
    <t>5.2.3(c)</t>
  </si>
  <si>
    <t>4.8(d)</t>
  </si>
  <si>
    <t>The power system utilities are made to operate closer to their design capabilities and security margins due to</t>
  </si>
  <si>
    <t>Constraints in Economic, environmental and regulatory aspects.</t>
  </si>
  <si>
    <t>Complexity in the operation of huge power system network</t>
  </si>
  <si>
    <t>Continuously escalating fuel costs and depeleting resources</t>
  </si>
  <si>
    <t>  All of the above.</t>
  </si>
  <si>
    <t xml:space="preserve">The developing countries are facing the challenges during system operation and control due to </t>
  </si>
  <si>
    <t>Large gap between the generation and demand</t>
  </si>
  <si>
    <t>Small gap between the generation and demand</t>
  </si>
  <si>
    <t>Doesn’t depend upon the gap.</t>
  </si>
  <si>
    <r>
      <t>None of 
the above.</t>
    </r>
    <r>
      <rPr>
        <b/>
        <sz val="12"/>
        <color indexed="8"/>
        <rFont val="Arial"/>
        <family val="2"/>
      </rPr>
      <t xml:space="preserve"> </t>
    </r>
  </si>
  <si>
    <t>Which of the following statement is true regarding the power system secure state?</t>
  </si>
  <si>
    <t>Only Voltage is within the acceptable limits</t>
  </si>
  <si>
    <t xml:space="preserve"> Only Voltage &amp; frequency are within the acceptable limits</t>
  </si>
  <si>
    <t xml:space="preserve"> Voltage, frequency are within the acceptable limits but the system is unstable for the credible contingency conditions.</t>
  </si>
  <si>
    <t>  Voltage, frequency, equipment loadings are within the acceptable limits and system is stable for the credible contingency conditions.</t>
  </si>
  <si>
    <t xml:space="preserve"> A power system is said to be in Alert State when,</t>
  </si>
  <si>
    <t xml:space="preserve"> Frequency ,Voltage, equipment loadings are within acceptable limits, n-1 , n-2 outage acceptable, all loads met</t>
  </si>
  <si>
    <t xml:space="preserve"> Frequency ,Voltage, equipment loadings are within acceptable limits, n-1, n-2 outage not acceptable, all loads met</t>
  </si>
  <si>
    <t xml:space="preserve"> Frequency ,Voltage, equipment loadings are not within acceptable limits, all loads not met</t>
  </si>
  <si>
    <t>  None of the above</t>
  </si>
  <si>
    <t>Series compensators are devices which _______the apparent impedance of a circuit thus ___________ the transfer capability where it is limited by system stability.</t>
  </si>
  <si>
    <t>Reduce, increasing</t>
  </si>
  <si>
    <t>  Increase, decreasing</t>
  </si>
  <si>
    <t xml:space="preserve"> Reduce, decreasing</t>
  </si>
  <si>
    <t xml:space="preserve"> Increase, 
increasing </t>
  </si>
  <si>
    <t>As per IEGC clause no.5.2 (e), any prolonged outage of power system elements shall regularly be monitored by…………..and shall be reported to…………….</t>
  </si>
  <si>
    <t>NLDC,CEA</t>
  </si>
  <si>
    <t>RPC,RLDC</t>
  </si>
  <si>
    <t>RLDC,RPC</t>
  </si>
  <si>
    <t>No generator shall cause a sudden decrease in its generation by more than …………MW without prior intimation to and consent of the RLDC as per IEGC clause no. 5.2(j)</t>
  </si>
  <si>
    <r>
      <rPr>
        <b/>
        <sz val="10"/>
        <color indexed="8"/>
        <rFont val="Arial"/>
        <family val="2"/>
      </rPr>
      <t>…………</t>
    </r>
    <r>
      <rPr>
        <sz val="10"/>
        <color indexed="8"/>
        <rFont val="Arial"/>
        <family val="2"/>
      </rPr>
      <t xml:space="preserve">.has to observe instances when the desired load relief is not obtained from df/dt and under frequency load shedding/islanding schemes and report the same to </t>
    </r>
    <r>
      <rPr>
        <b/>
        <sz val="10"/>
        <color indexed="8"/>
        <rFont val="Arial"/>
        <family val="2"/>
      </rPr>
      <t>……..</t>
    </r>
  </si>
  <si>
    <t>Coal/lignite based thermal generating units &gt;=200MW , Open Cycle Gas Turbine/Combined Cycle generating stations &gt;= 50 MW and Hydro units &gt;=25MW irrespective of ownership.</t>
  </si>
  <si>
    <t xml:space="preserve">All hydro units (except those with upto three hours pondage) of 10 MW and above, </t>
  </si>
  <si>
    <t>Grid code  5.4.2 (b) says “ the SLDC/ SEB/SEB/Distribution licencee  and bulk consumer shall ensure that requisite load shedding  is carried out in its control area  so that there is no overdrawl when frequency is ----------hz or below.</t>
  </si>
  <si>
    <t>so that there is no overdrawal</t>
  </si>
  <si>
    <r>
      <t>When system frequency is below 50.05 hz but above 49.90 hz and constituents can overdraw up to</t>
    </r>
    <r>
      <rPr>
        <b/>
        <sz val="10"/>
        <color indexed="8"/>
        <rFont val="Arial"/>
        <family val="2"/>
      </rPr>
      <t xml:space="preserve"> ………….</t>
    </r>
    <r>
      <rPr>
        <sz val="10"/>
        <color indexed="8"/>
        <rFont val="Arial"/>
        <family val="2"/>
      </rPr>
      <t xml:space="preserve"> % of schedule subject to grid conditions</t>
    </r>
  </si>
  <si>
    <t>12% or 150MW whichever is less</t>
  </si>
  <si>
    <t xml:space="preserve">What is the resolution while availability declaration by ISGS </t>
  </si>
  <si>
    <t>Not less than 100MW</t>
  </si>
  <si>
    <t>0.1 MW</t>
  </si>
  <si>
    <t>50MW</t>
  </si>
  <si>
    <t>Not more than 100MW</t>
  </si>
  <si>
    <t>What is the resolution for entitlements, requisitions and schedules at each control area boundary and for each of the transaction</t>
  </si>
  <si>
    <t>0.01 MW</t>
  </si>
  <si>
    <t>For how much time weekly report on performance of national grid be available on NLDC website</t>
  </si>
  <si>
    <t>5 weeks</t>
  </si>
  <si>
    <t>12 weeks</t>
  </si>
  <si>
    <t>10 weeks</t>
  </si>
  <si>
    <t xml:space="preserve">Partial loading of generators during trial run </t>
  </si>
  <si>
    <t>is not to be allowed</t>
  </si>
  <si>
    <t>can be allowed if average load during trial run duration is not less than MCR</t>
  </si>
  <si>
    <t>not in purview of RLDC</t>
  </si>
  <si>
    <t>Unclear</t>
  </si>
  <si>
    <t xml:space="preserve">If a generator is unable to demonstrate full load capacity/MCR during trial run, it </t>
  </si>
  <si>
    <t>can declare new derated capacity, then new demonstrated capacity will be 100 % of derated capacity</t>
  </si>
  <si>
    <t>can go for re-trial run</t>
  </si>
  <si>
    <t>can declare new derated capacity, then new demonstrated capacity will be 105 % of derated capacity</t>
  </si>
  <si>
    <t>Short interruptions in load of generators during trial run</t>
  </si>
  <si>
    <t>not to be permitted</t>
  </si>
  <si>
    <t>short interruptions for cumulative duration of 4 hrs is permissible</t>
  </si>
  <si>
    <t>short interruptions for cumulative duration of 6 hrs is permissible</t>
  </si>
  <si>
    <t>can be permitted</t>
  </si>
  <si>
    <t>RLDC may not entertain frivolous schedule revision requests involving ----</t>
  </si>
  <si>
    <t>schedule/DC changes of less than 5 % of previous value</t>
  </si>
  <si>
    <t>schedule/DC changes of less than 3 % of previous value</t>
  </si>
  <si>
    <t>schedule/DC changes of less than 2 % of previous value</t>
  </si>
  <si>
    <r>
      <t xml:space="preserve">Wind/Solar plants can request upto </t>
    </r>
    <r>
      <rPr>
        <b/>
        <sz val="10"/>
        <color indexed="8"/>
        <rFont val="Arial"/>
        <family val="2"/>
      </rPr>
      <t>……</t>
    </r>
    <r>
      <rPr>
        <sz val="10"/>
        <color indexed="8"/>
        <rFont val="Arial"/>
        <family val="2"/>
      </rPr>
      <t xml:space="preserve"> revisions in a day</t>
    </r>
  </si>
  <si>
    <r>
      <t>As per 4th amendment of IEGC derated capacity of a generator for COD or trial run should not be less than</t>
    </r>
    <r>
      <rPr>
        <b/>
        <sz val="10"/>
        <color indexed="8"/>
        <rFont val="Arial"/>
        <family val="2"/>
      </rPr>
      <t>……..</t>
    </r>
  </si>
  <si>
    <t>95 % of name plate rating or contracted capacity</t>
  </si>
  <si>
    <t>90 % of name plate rating or contracted capacity</t>
  </si>
  <si>
    <t>97 % of name plate rating or contracted capacity</t>
  </si>
  <si>
    <t>VWO(Valve Wide Open) operation of generating units whether running at part load or full load is not permitted as per clause …….. Of IEGC</t>
  </si>
  <si>
    <t>5.2 (e)</t>
  </si>
  <si>
    <t>5.2 (h)</t>
  </si>
  <si>
    <t>6.2 (e)</t>
  </si>
  <si>
    <t>Which one is true regarding gain/loss during sale of power by ISGS in market after standing consent by beneficiary</t>
  </si>
  <si>
    <t>Gain to be shared in 50:50 ratio or as mutually agreed by ISGS and beneficiary</t>
  </si>
  <si>
    <t>Gain to be shared in 70:30 ratio  by ISGS and beneficiary</t>
  </si>
  <si>
    <t>No sharing of loss between ISGS and beneficiary</t>
  </si>
  <si>
    <t>In spinning reserve definition 'devices' include</t>
  </si>
  <si>
    <t>BESS</t>
  </si>
  <si>
    <t>generator</t>
  </si>
  <si>
    <t>Only B</t>
  </si>
  <si>
    <r>
      <t>Islanding schemes are to be prepared by</t>
    </r>
    <r>
      <rPr>
        <b/>
        <sz val="10"/>
        <color indexed="8"/>
        <rFont val="Arial"/>
        <family val="2"/>
      </rPr>
      <t xml:space="preserve"> ……</t>
    </r>
  </si>
  <si>
    <t xml:space="preserve"> The Capacities which are provided by devices including generating station or units thereof synchronized to the grid and which can be activated on the direction of the System Operator and effect the change in active power is called</t>
  </si>
  <si>
    <t>Spinning Reserve</t>
  </si>
  <si>
    <t>URS</t>
  </si>
  <si>
    <t xml:space="preserve">NLDC shall be the nodal agency for </t>
  </si>
  <si>
    <t xml:space="preserve">collective transactions </t>
  </si>
  <si>
    <t xml:space="preserve">collective transactions and Ancillary Services </t>
  </si>
  <si>
    <t>collective transactions and Ancillary Services including Spinning Reserves</t>
  </si>
  <si>
    <t>RGMO on Open Cycle Gas Turbine/Combined Cycle generating stations having gas turbines of capacity more than 50 MW each came into  effect from "</t>
  </si>
  <si>
    <t>01.10.2017</t>
  </si>
  <si>
    <t>01.08.2010</t>
  </si>
  <si>
    <t>01.04.2018</t>
  </si>
  <si>
    <t>For any fall in grid frequency, generation from the unit should increase as per generator droop upto a maximum of ----- of the generation subject to ceiling limit of ----- of the MCR of the unit having regard to machine capability”</t>
  </si>
  <si>
    <t>5%,105%</t>
  </si>
  <si>
    <t>3%,110%</t>
  </si>
  <si>
    <t>10%, 105%</t>
  </si>
  <si>
    <t>"All eligible generating coal/lignite, gas, hydro units under IEGC 5.2(f), (h) shall have the capability of (and shall not in any way be prevented from) instantaneously picking up to -----,-----,-----,of their MCR, respectively, when the frequency falls suddenly.”</t>
  </si>
  <si>
    <t xml:space="preserve">105%, 110% and 110% </t>
  </si>
  <si>
    <t xml:space="preserve">110%, 105% and 110% </t>
  </si>
  <si>
    <t xml:space="preserve">105%, 105% and 110% </t>
  </si>
  <si>
    <t>"For the purpose of ensuring primary response, RLDCs/SLDCs shall not schedule the generating station or unit(s) thereof beyond -------- corresponding to 100% of the Installed capacity of the generating station or unit(s) thereof</t>
  </si>
  <si>
    <t>IC</t>
  </si>
  <si>
    <t>exbus generation</t>
  </si>
  <si>
    <t>once in a day,4th time block</t>
  </si>
  <si>
    <t>only once immedietly after tripping, 4th TMBK</t>
  </si>
  <si>
    <t>only once immedietly after tripping, 6th TMBK</t>
  </si>
  <si>
    <t>in case of the generating station as a whole, COD is the date of commercial operation of the -------  of the generating station:</t>
  </si>
  <si>
    <t>first Unit</t>
  </si>
  <si>
    <t>last unit</t>
  </si>
  <si>
    <t>COD of the station need to done seperately</t>
  </si>
  <si>
    <t>the beneficiaries / buyers have been tied up for purchasing power from the generating station, the trial run or each repeat of trial run shall commence after a notice of -------- by the generating company to the beneficiaries/buyers and concerned RLDC or SLDC</t>
  </si>
  <si>
    <t>not less than 3days</t>
  </si>
  <si>
    <t>not less than10 days</t>
  </si>
  <si>
    <t>not less than seven days</t>
  </si>
  <si>
    <t>not less than 30 days</t>
  </si>
  <si>
    <t>company has the option to de-rate the capacity or to go for repeat trial run. Where the generating company decides to de-rate the unit capacity, the demonstrated capacity in such cases shall be more or equal to ------of de-rated capacity for thermal stations.</t>
  </si>
  <si>
    <t>The concerned RLDC or SLDC, as the case may be, shall convey clearance to the generating company for declaration of COD within -------days of receiving the generation data based on the trial run.</t>
  </si>
  <si>
    <t>Scheduling of power from the generating station or unit thereof shall commence from-------  after declaration of COD</t>
  </si>
  <si>
    <t>any time</t>
  </si>
  <si>
    <t>0000hrs</t>
  </si>
  <si>
    <t>company has the option to de-rate the capacity or to go for repeat trial run. Where the generating company decides to de-rate the unit capacity, the demonstrated capacity in such cases shall be more or equal to ------of de-rated capacity for hydro stations.</t>
  </si>
  <si>
    <t>Trial Run or Trial Operation in relation to a thermal Central Generating Station or inter-State Generating Station or a unit thereof shall mean successful running on designated fuel at Maximum Continuous Rating or Installed Capacity or Name Plate Rating for a continuous period of -- hours and in case of a hydro Central Generating Station or inter-state Generating Station or a unit thereof for a continuous period of -- hours</t>
  </si>
  <si>
    <t>72,12</t>
  </si>
  <si>
    <t>72,72</t>
  </si>
  <si>
    <t>72,36</t>
  </si>
  <si>
    <t>48,12</t>
  </si>
  <si>
    <t>The short interruptions, for a cumulative duration of -- hours, shall be permissible, with corresponding increase in the duration of the test.</t>
  </si>
  <si>
    <t>Trial run and Trial operation in relation to a transmission system or an element thereof shall mean successful charging of the transmission system or an element thereof for -- hours at continuous flow of power, and communication signal from the sending end to the receiving end and with requisite metering system, telemetry and protection system in</t>
  </si>
  <si>
    <t>Date of commercial operation in relation to a communication system or an element thereof shall mean the date declared by the transmission licensee from 0000 hour of which a communication system or element thereof shall be put into service after completion of site acceptance test including transfer of voice and data to respective control centre as certified by the respective Regional Load Dispatch Centre.</t>
  </si>
  <si>
    <t>In case of coal / lignite based generating stations,if unit loading is 65-74.99 percentage of IC,  station heat rate degradation or actual heat rate, whichever is lower, shall be considered for the purpose of compensationfor super critical and sub-critical  are….,-----, respectively.</t>
  </si>
  <si>
    <t>2%&amp;4%</t>
  </si>
  <si>
    <t>1.25%&amp; 2.25%</t>
  </si>
  <si>
    <t>3%&amp; 6%</t>
  </si>
  <si>
    <t>No cpmpensation</t>
  </si>
  <si>
    <t>In case of coal / lignite based generating stations,if unit loading is 75-84.99 percentage of IC  station heat rate degradation or actual heat rate, whichever is lower, shall be considered for the purpose of compensationfor super critical and sub-critical  are….,-----, respectively.</t>
  </si>
  <si>
    <t>In case of coal / lignite based generating stations,if unit loading is 55-64.99 percentage of IC  station heat rate degradation or actual heat rate, whichever is lower, shall be considered for the purpose of compensationfor super critical and sub-critical  are….,-----, respectively.</t>
  </si>
  <si>
    <t>In case of coal / lignite based generating stations,if unit loading is 85-100 percentage of IC  station heat rate degradation or actual heat rate, whichever is lower, shall be considered for the purpose of compensationfor super critical and sub-critical  are….,-----, respectively.</t>
  </si>
  <si>
    <t>nil</t>
  </si>
  <si>
    <t>What is the max. numbers of start-stops are permissible for CERC regulated ISGS thermal stations beyond which they are eligible for compensation under RSD procedure</t>
  </si>
  <si>
    <t>Trial Run for Hydro station requires continuous operation at MCR for ____ hours</t>
  </si>
  <si>
    <t>As per grid code after COD declaration a Generating Company is mandated to submit approval of BOD within ------months</t>
  </si>
  <si>
    <t>A station completed trial run on 13.03.2019 13:00 hours. COD declaration &amp; scheduling can commence at -------hrs of ------------;</t>
  </si>
  <si>
    <t>13:00 13.03.2019</t>
  </si>
  <si>
    <t>14:00 / 13.03.2019</t>
  </si>
  <si>
    <t>00:00 14.03.2019</t>
  </si>
  <si>
    <t xml:space="preserve">None of 
the above. </t>
  </si>
  <si>
    <t>COD of the following elements requires a certificate from RLDC</t>
  </si>
  <si>
    <t>ISTS line</t>
  </si>
  <si>
    <t>Communication system</t>
  </si>
  <si>
    <t>both 1 &amp; 2</t>
  </si>
  <si>
    <t>Technical Minimum level refers to _____% of MCR for an ISGS station</t>
  </si>
  <si>
    <t>For a coal / lignite based super critical generating unit of an ISGS operating at 80% of MCR the increase in Station Heat Rate allowed is_____%</t>
  </si>
  <si>
    <t>For a coal / lignite based sub-critical generating unit of an ISGS operating at 55% of MCR the increase in Station Heat Rate allowed is_____%</t>
  </si>
  <si>
    <t>For a coal / lignite based super critical generating unit of an ISGS operating at 80% of MCR the degradation in aux. consumption allowed is_____%</t>
  </si>
  <si>
    <t xml:space="preserve">A 500 MW unit has undergone 8 start/stops in a year. For every additional hot start-up it will be entitled to compensation w.r.t. secondary fuel oil of ---- kl </t>
  </si>
  <si>
    <t>The generating company shall keep the record of the emission levels from the plant due to part load operation and submit a report for each year to the Commission by --------- of the year</t>
  </si>
  <si>
    <t>“Cold Start” in relation to steam turbine means start up after a shutdown period exceeding-------hours</t>
  </si>
  <si>
    <t xml:space="preserve">“Hot Start” in relation to steam turbine, means start up after a shutdown period of less than ------ hours </t>
  </si>
  <si>
    <t xml:space="preserve">Warm Start” in relation to steam turbine means start up after a shutdown period between 10 hours and 72 hours </t>
  </si>
  <si>
    <t>10-24</t>
  </si>
  <si>
    <t>12-24</t>
  </si>
  <si>
    <t>10-72 hrs</t>
  </si>
  <si>
    <t>Once a unit is taken out under RSD, the generating station shall notify the period for which the unit will remain under RSD and the unit can be recalled anytime after ------ hours</t>
  </si>
  <si>
    <t>One or more beneficiaries of the generating station as well as the generating station may decide for revival of unit(s) under RSD with commitment for technical minimum schedule with minimum run time of 8 hrs for Coal based generating stations and 3 hrs for Gas based generating stations post revival</t>
  </si>
  <si>
    <t>72/10</t>
  </si>
  <si>
    <t>8/3</t>
  </si>
  <si>
    <t>10/8</t>
  </si>
  <si>
    <t>72/12</t>
  </si>
  <si>
    <t>_____________ shall identify the projects included in the transmission plan to be developed under the guidelines for competitive bidding</t>
  </si>
  <si>
    <t>Empowered committee</t>
  </si>
  <si>
    <t>No person shall be eligible for grant of licence unless it is</t>
  </si>
  <si>
    <t>selected through the process under the guidelines for competitive bidding</t>
  </si>
  <si>
    <t>a state owned/controlled company identified as a project developer on or before 5.1.2011</t>
  </si>
  <si>
    <t>a generating company which has established the dedicated 
transmission line, and intends to use such dedicated transmission line as 
the main transmission line and part of the inter-State transmission system</t>
  </si>
  <si>
    <t>In case the licensee has been selected for implementation of the project in accordance with the guidelines for competitive bidding, the transmission charges shall be adopted by the Commission in accordance with ___________ of the The Electricity Act</t>
  </si>
  <si>
    <t>Section 60</t>
  </si>
  <si>
    <t>Section 63</t>
  </si>
  <si>
    <t>Section 68</t>
  </si>
  <si>
    <t>The prohibited activity/activities for transmission licencee is</t>
  </si>
  <si>
    <t>trading electricity</t>
  </si>
  <si>
    <t>operation of transmission assets</t>
  </si>
  <si>
    <t>maintenance of transmission assets</t>
  </si>
  <si>
    <t>The transmission licence shall, unless revoked earlier, continue to be valid for a period of ________years from issue date.</t>
  </si>
  <si>
    <t>The Commission may revoke the licence</t>
  </si>
  <si>
    <t>Where the licensee breaches any of the terms and conditions of its licence</t>
  </si>
  <si>
    <t>Where licensee has failed or neglected to undertake transmission in 
electricity</t>
  </si>
  <si>
    <t>Where the licensee breaches any of the terms and conditions of 
Transmission Service Agreement during the construction or operations 
phase</t>
  </si>
  <si>
    <t xml:space="preserve">The projects included in the transmission plan and not identified by the Empowered Committee to be developed under the guidelines for competitive bidding may be developed by </t>
  </si>
  <si>
    <t>Deemed licensee</t>
  </si>
  <si>
    <t>a state owned or controlled company identified as project developer on 
or before 5.1.2011</t>
  </si>
  <si>
    <t>_______________shall send its recommendations, if any, to 
the Commission on the proposal made in the application within a period of ___ days from the date of receipt of application</t>
  </si>
  <si>
    <t>CTU / 30</t>
  </si>
  <si>
    <t>STU / 30</t>
  </si>
  <si>
    <t>NLDC / 15</t>
  </si>
  <si>
    <t>For all future projects to be developed through competitive bidding, the bidders shall be required to quote the tariff upto ___th year from date of commercial operation which shall be considered for bid evaluation</t>
  </si>
  <si>
    <t>Form II mentioned in  CERC (Procedure, Terms and Conditions for grant of Transmission Licence and other related matters) Regulations, 2009 is</t>
  </si>
  <si>
    <t>Application Form for Grant of Transmission licence</t>
  </si>
  <si>
    <t>Form of Public Notice</t>
  </si>
  <si>
    <t>TRANSMISSION LICENCE</t>
  </si>
  <si>
    <t>“Bid process coordinator” means an agency notified by the ____________ for coordinating the process of inviting bids for procurement of services for inter-State transmission of electricity in accordance with the guidelines for competitive bidding</t>
  </si>
  <si>
    <t>Central government</t>
  </si>
  <si>
    <t>Deemed licence is obtained under sec-____of the Act</t>
  </si>
  <si>
    <t>Who issues the guidelines for competitive bidding</t>
  </si>
  <si>
    <t>A Project identified under transmission plan but not identified by empowercomittee shall be buit by</t>
  </si>
  <si>
    <t>Tr. licensee</t>
  </si>
  <si>
    <t>CTU/deemed licensee/state owned controlled company identified as project developer on or before 5/1/2011</t>
  </si>
  <si>
    <t>As per "Technical Details by the Generating Companies Regulation, 2009" what is the freqency of submission of technical details by generating stations to Commission in prescribed formats.</t>
  </si>
  <si>
    <t>Status as on 1st April of every year to be submitted by 15th April of same year.</t>
  </si>
  <si>
    <t>Status as on 1st April of every year to be submitted by 30th April of same year.</t>
  </si>
  <si>
    <t>Status as on 15th April of every year to be submitted by 30th April of same year.</t>
  </si>
  <si>
    <t>Status as on 15th April of every year to be submitted by 30th April of next year.</t>
  </si>
  <si>
    <t>As per "Technical Details by the Generating Companies Regulation, 2009" Generating company setting up the plant after Oct'2009, the details may be submitted by</t>
  </si>
  <si>
    <t>3 Years prior to COD</t>
  </si>
  <si>
    <t>5 Years prior to COD</t>
  </si>
  <si>
    <t>2 Years prior to COD</t>
  </si>
  <si>
    <t>10 Days prior to COD</t>
  </si>
  <si>
    <t>The Form A of the "Technical Details by the Generating Companies Regulation, 2009" the technical details to be filed by the generating companies in compliance of Sub-section (3) of Section 10 of the Electricity Act,2003 to commission shall consist the information related to</t>
  </si>
  <si>
    <t>Coal/Lignite Fired Thermal Generating Stations</t>
  </si>
  <si>
    <t>Gas/Liquid/Diesel Generating Stations</t>
  </si>
  <si>
    <t>Hydro Electric Generating Stations</t>
  </si>
  <si>
    <t>Option A &amp; B</t>
  </si>
  <si>
    <t>The Form B of the "Technical Details by the Generating Companies Regulation, 2009" the technical details to be filed by the generating companies in compliance of Sub-section (3) of Section 10 of the Electricity Act,2003  to commission shall consist the information related to</t>
  </si>
  <si>
    <t>None of the Above</t>
  </si>
  <si>
    <t>The Form C of the "Technical Details by the Generating Companies Regulation, 2009" the technical details to be filed by the generating companies in compliance of Sub-section (3) of Section 10 of the Electricity Act,2003  to commission shall consist the information related to</t>
  </si>
  <si>
    <t>Option A &amp; C</t>
  </si>
  <si>
    <t>The Form A, B &amp; C in "Technical Details by the Generating Companies Regulation, 2009" contains the technical details of respective..</t>
  </si>
  <si>
    <t>Types of Generating Station</t>
  </si>
  <si>
    <t>Generator Design parameters</t>
  </si>
  <si>
    <t>Generator-Turbine technical details</t>
  </si>
  <si>
    <t>"Technical Details by the Generating Companies Regulation, 2009" Applicable to-</t>
  </si>
  <si>
    <t>New Generating Stations</t>
  </si>
  <si>
    <t>Exsisting Generating Stations</t>
  </si>
  <si>
    <t>Control Period or Review Period under Central Electricity Regulatory Commission (Terms and Conditions for Tariff determination from Renewable Energy Sources) Regulations, 2017 is</t>
  </si>
  <si>
    <t>Combustible gases consisting of a mixture of Carbon monoxide (CO), Hydrogen (H2) and traces of Methane (CH4) is _________ .</t>
  </si>
  <si>
    <t>Biogas</t>
  </si>
  <si>
    <t>Producer gas</t>
  </si>
  <si>
    <t>Biogas is created when organic matter like crop residues, sewage and manure breaks down in an ____________ environment.</t>
  </si>
  <si>
    <r>
      <t>O</t>
    </r>
    <r>
      <rPr>
        <vertAlign val="subscript"/>
        <sz val="12"/>
        <color indexed="8"/>
        <rFont val="Calibri"/>
        <family val="2"/>
      </rPr>
      <t>2</t>
    </r>
    <r>
      <rPr>
        <sz val="12"/>
        <rFont val="Arial"/>
        <family val="2"/>
      </rPr>
      <t xml:space="preserve"> free</t>
    </r>
  </si>
  <si>
    <r>
      <t>O</t>
    </r>
    <r>
      <rPr>
        <vertAlign val="subscript"/>
        <sz val="12"/>
        <color indexed="8"/>
        <rFont val="Calibri"/>
        <family val="2"/>
      </rPr>
      <t xml:space="preserve">2 </t>
    </r>
    <r>
      <rPr>
        <sz val="12"/>
        <rFont val="Arial"/>
        <family val="2"/>
      </rPr>
      <t>rich</t>
    </r>
  </si>
  <si>
    <r>
      <t>CO</t>
    </r>
    <r>
      <rPr>
        <vertAlign val="subscript"/>
        <sz val="12"/>
        <color indexed="8"/>
        <rFont val="Calibri"/>
        <family val="2"/>
      </rPr>
      <t xml:space="preserve">2 </t>
    </r>
    <r>
      <rPr>
        <sz val="12"/>
        <rFont val="Arial"/>
        <family val="2"/>
      </rPr>
      <t>rich</t>
    </r>
  </si>
  <si>
    <r>
      <t>CO</t>
    </r>
    <r>
      <rPr>
        <vertAlign val="subscript"/>
        <sz val="12"/>
        <color indexed="8"/>
        <rFont val="Calibri"/>
        <family val="2"/>
      </rPr>
      <t>2</t>
    </r>
    <r>
      <rPr>
        <sz val="12"/>
        <rFont val="Arial"/>
        <family val="2"/>
      </rPr>
      <t xml:space="preserve"> free</t>
    </r>
  </si>
  <si>
    <t>Gross calorific value of a fuel used in generating station means the heat produced in kCal by complete combustion of one _______ of solid fuel or one ______ of liquid fuel or one standard cubic ________ of gaseous fuel as the case may be.</t>
  </si>
  <si>
    <t>kg, kl, cm</t>
  </si>
  <si>
    <t>g, l, cm</t>
  </si>
  <si>
    <t>kg, kl, m</t>
  </si>
  <si>
    <t>kg, l, m</t>
  </si>
  <si>
    <t>Gross station heat rate or ‘GHR’ is the heat energy input in _______ required to generate one ______ of electrical energy at generator terminals of a thermal generating station</t>
  </si>
  <si>
    <t>kCal, kWh</t>
  </si>
  <si>
    <t>kCal, MWh</t>
  </si>
  <si>
    <t>Cal, Wh</t>
  </si>
  <si>
    <t>kCal, Wh</t>
  </si>
  <si>
    <t xml:space="preserve">Solar energy component in Hybrid Solar Thermal Power Plant is </t>
  </si>
  <si>
    <t>Inter-connection point shall be line isolator on outgoing feeder on HV side of the pooling sub-station for</t>
  </si>
  <si>
    <t>wind energy projects</t>
  </si>
  <si>
    <t>Solar PV Projects</t>
  </si>
  <si>
    <t>Only a</t>
  </si>
  <si>
    <t>Inter-connection point shall be line isolator on outgoing feeder on HV side of generator transformer for</t>
  </si>
  <si>
    <t>Solar
Thermal Power Projects</t>
  </si>
  <si>
    <t>small hydro power</t>
  </si>
  <si>
    <t>biomass power and non fossil fuel based cogeneration power projects</t>
  </si>
  <si>
    <t>All</t>
  </si>
  <si>
    <t xml:space="preserve">Non firm power </t>
  </si>
  <si>
    <t>Generated from RE sources</t>
  </si>
  <si>
    <t>Can be accuratelyPredicted</t>
  </si>
  <si>
    <t>cannot be accurately predicted</t>
  </si>
  <si>
    <t>Both a &amp; c</t>
  </si>
  <si>
    <t xml:space="preserve">Non fossil fuel based co-generation’ means the process in which more than one form of energy are produced in a sequential manner by use of </t>
  </si>
  <si>
    <t>Biomass</t>
  </si>
  <si>
    <t>Solar power</t>
  </si>
  <si>
    <t>Wind energy</t>
  </si>
  <si>
    <t>Small Hydro means Hydro Power projects with station capacity</t>
  </si>
  <si>
    <t>less 25 MW at single location</t>
  </si>
  <si>
    <t>less than equal to 5 MW</t>
  </si>
  <si>
    <t>less than equal to 25 MW at single location</t>
  </si>
  <si>
    <t>5 MW to 25 MW</t>
  </si>
  <si>
    <t>Concentrated Solar Power technology based on either line focus or point focus principle is associated with</t>
  </si>
  <si>
    <t>Useful Life of Non-fossil fuel cogeneration project</t>
  </si>
  <si>
    <t>Useful Life of Biomass Power Project with Rankine cycle technology</t>
  </si>
  <si>
    <t>Useful Life of Biomass Gasifier based power project</t>
  </si>
  <si>
    <t>Useful Life of Biogas based power project</t>
  </si>
  <si>
    <t>Useful Life of a Wind Energy Power Project</t>
  </si>
  <si>
    <t>Useful Life of Solar PV/Solar thermal power project</t>
  </si>
  <si>
    <t>Useful Life of Small Hydro Plant</t>
  </si>
  <si>
    <t>Fossil fuel usage limit as %age interms of calorific value on annual basis for the biomass power projects commissioned on or before
31.03.2017</t>
  </si>
  <si>
    <t xml:space="preserve">Tariff determined as per these Regulations for the RE projects commissioned during the Control Period, shall be applicable for </t>
  </si>
  <si>
    <t>entire duration of the Tariff Period</t>
  </si>
  <si>
    <t>entire duration of the Control Period</t>
  </si>
  <si>
    <t>entire duration of the useful life of  the project</t>
  </si>
  <si>
    <t>Tariff period of Wind Energy Power Project, Small Hydro Plant above 5 MW, Non-fossil fuel cogeneration project and Biomass Power Project with Rankine cycle technology</t>
  </si>
  <si>
    <t>Min 13 years</t>
  </si>
  <si>
    <t>Tariff period of Biomass Gasifier based power project</t>
  </si>
  <si>
    <t>Tariff period of Biogas based power project</t>
  </si>
  <si>
    <t>Tariff period of Solar PV/Solar thermal power project</t>
  </si>
  <si>
    <t>Tariff period of Small Hydro Plant below 5 MW</t>
  </si>
  <si>
    <t xml:space="preserve">Tariff for renewable energy technologies with fuel cost component, like biomass power projects and non-fossil fuel based cogeneration,shall be </t>
  </si>
  <si>
    <t>two part tariff</t>
  </si>
  <si>
    <t>single part tariff with two components</t>
  </si>
  <si>
    <t>For renewable energy technologies having single part tariff with two components, fixed cost component of tariff shall be determined on levellised basis considering</t>
  </si>
  <si>
    <t>Year of Commissioning</t>
  </si>
  <si>
    <t>Year of Operation</t>
  </si>
  <si>
    <t>For renewable energy technologies having single part tariff with two components, fuel cost component of tariff shall be determined on levellised basis considering</t>
  </si>
  <si>
    <t>Levellisation shall be carried out for</t>
  </si>
  <si>
    <t>Useful life</t>
  </si>
  <si>
    <t>Tariff period</t>
  </si>
  <si>
    <t>Control Period</t>
  </si>
  <si>
    <t>13 years</t>
  </si>
  <si>
    <t>Tariff shall be specified for the period equivalent to</t>
  </si>
  <si>
    <t>Energy Despatch in case of all renewable energy power plants, except for biomass power plants with installed capacity of 10 MW and above and non-fossil fuel based cogeneration plants is</t>
  </si>
  <si>
    <t>Must Run plants not subjected to Merit Order despatch</t>
  </si>
  <si>
    <t xml:space="preserve">Subjected to scheduling and despatch code specified in IEGC </t>
  </si>
  <si>
    <t>CERC (Deviation Settlement
Mechanism and Related Matters) Regulations, 2014 including amendments
thereto</t>
  </si>
  <si>
    <t>Both b &amp; c</t>
  </si>
  <si>
    <t xml:space="preserve">Energy Despatch in case of biomass power plants with installed capacity of 10 MW and above and non-fossil fuel based cogeneration plants is subjected to </t>
  </si>
  <si>
    <t>Merit Order Despatch</t>
  </si>
  <si>
    <t>Wind power generation plants where the sum of generation capacity of such plants connected at the connection point to the transmission or distribution system is 10 MW and above and connection point is 33 KV and above shall</t>
  </si>
  <si>
    <t xml:space="preserve">Not Subjected to scheduling and despatch code specified in IEGC </t>
  </si>
  <si>
    <t xml:space="preserve">Scheduling and despatch code as specified under Indian Electricity Grid Code (IEGC) -2010 applies to </t>
  </si>
  <si>
    <t>Wind projects (&gt;=10MW) connected to 33kV or above</t>
  </si>
  <si>
    <t>Solar projects (&gt;=5MW) connected to 33kV or above</t>
  </si>
  <si>
    <t>Biomass projects (&gt;=10MW) and non fossil fuel based cogeneration power projects</t>
  </si>
  <si>
    <t xml:space="preserve">Debt - Equity ratio for generic tariff of RE projects is </t>
  </si>
  <si>
    <t xml:space="preserve">In case equity deployed is less than 30% </t>
  </si>
  <si>
    <t>30% equity considered</t>
  </si>
  <si>
    <t>actual equity considered</t>
  </si>
  <si>
    <t>actual equity with shortfall as normative loan considered</t>
  </si>
  <si>
    <t xml:space="preserve">In case equity deployed is more than 30% </t>
  </si>
  <si>
    <t>30% equity with excess as normative loan considered</t>
  </si>
  <si>
    <t>Equity invested in foreign currency shall be designated in Indian rupees</t>
  </si>
  <si>
    <t xml:space="preserve"> on the date of each investment</t>
  </si>
  <si>
    <t xml:space="preserve"> at the end of each quarter in which investments made</t>
  </si>
  <si>
    <t xml:space="preserve"> at the end of each FY in which investments made</t>
  </si>
  <si>
    <t xml:space="preserve"> at the end of control period in which investments made</t>
  </si>
  <si>
    <t>What loan tenure is considered for the purpose of determination of tariff for RE projects</t>
  </si>
  <si>
    <t>12 years</t>
  </si>
  <si>
    <t>tarrif period</t>
  </si>
  <si>
    <t xml:space="preserve">Normative interest rate for computation of tariff for RE projects </t>
  </si>
  <si>
    <t>average (last available six months of previous year) SBI MCLR + 200 basis points</t>
  </si>
  <si>
    <t>average (2nd 6 months of previous year) SBI MCLR + 300 basis points</t>
  </si>
  <si>
    <t>average (1st 6 months of previous year) SBI MCLR + 350 basis points</t>
  </si>
  <si>
    <t>average (2nd 6 months of previous year) SBI MCLR + 200 basis points</t>
  </si>
  <si>
    <t>Depreciation shall be allowed up to maximum of ______  of the Capital Cost of the asset</t>
  </si>
  <si>
    <t xml:space="preserve">Depreciation rate of RE Projects for first 13 years shall be </t>
  </si>
  <si>
    <t>Salvage value of the RE projects interms of project cost shall be</t>
  </si>
  <si>
    <t xml:space="preserve">Depreciation shall be chargeable from </t>
  </si>
  <si>
    <t>1st year of commercial operation</t>
  </si>
  <si>
    <t>3rd year of commercial operation</t>
  </si>
  <si>
    <t>After moratorium period</t>
  </si>
  <si>
    <t xml:space="preserve">For RE projects normative Return on Equity is 14% p.a for </t>
  </si>
  <si>
    <t>1st 10 years</t>
  </si>
  <si>
    <t>Tarrif period</t>
  </si>
  <si>
    <t>1st Control period</t>
  </si>
  <si>
    <t>useful life of project</t>
  </si>
  <si>
    <t>Capacity Utilisation Factor (CUF) is associated with</t>
  </si>
  <si>
    <t>Solar PV/Solar Thermal</t>
  </si>
  <si>
    <t>small hydro</t>
  </si>
  <si>
    <t xml:space="preserve">Plant Load Factor (PLF) is associated with is </t>
  </si>
  <si>
    <t>Biomass/Biogas</t>
  </si>
  <si>
    <t>Non fossil fuel based co-generation</t>
  </si>
  <si>
    <t>For RE projects interest on Working Capital shall be</t>
  </si>
  <si>
    <t>average (last available six months of previous year) SBI MCLR + 300 basis points</t>
  </si>
  <si>
    <t>average (1st 6 months of previous year) SBI MCLR + 300 basis points</t>
  </si>
  <si>
    <t>Normative O&amp;M expenses allowed during first year of the Control Period (i.e. FY 2017-18) shall be escalated at the rate of</t>
  </si>
  <si>
    <t>5.72% p.a over the Control period</t>
  </si>
  <si>
    <t>5.83% p.a over the Tariff period</t>
  </si>
  <si>
    <t>5.72% p.a over the Tariff period</t>
  </si>
  <si>
    <t>Surcharge levied for delayed payment of any bill for charges beyond a period of 60 days from the date of billing.</t>
  </si>
  <si>
    <t>1.5% per month</t>
  </si>
  <si>
    <t>2.0% per month</t>
  </si>
  <si>
    <t xml:space="preserve"> 1.25% per month</t>
  </si>
  <si>
    <t>Sharing arrangement between project developer and beneficiaries regarding gross proceeds on account of CDM benefit in the first year after the date of commercial operation of the generating station requires</t>
  </si>
  <si>
    <t>100% CDM benefits retained by developer</t>
  </si>
  <si>
    <t>Shared 50:50</t>
  </si>
  <si>
    <t>Shared 75:25</t>
  </si>
  <si>
    <t>90% CDM benefits retained by developer</t>
  </si>
  <si>
    <t>Beneficiaries share in CDM benefit to the project developer is ______ % in 2nd year</t>
  </si>
  <si>
    <t xml:space="preserve">Beneficiaries share of CDM benefit to a RE project developer increases progressively by ____ % every year starting from ______ % in the 1st year till a limit of _____ % share is reached </t>
  </si>
  <si>
    <t>10,10,50</t>
  </si>
  <si>
    <t>10,0,50</t>
  </si>
  <si>
    <t>20,10,50</t>
  </si>
  <si>
    <t>10,20,50</t>
  </si>
  <si>
    <t>The normative capital cost(FY 2017-18 during first
year of Control Period) for the biomass gasifier power projects based
on Rankine cycle shall be</t>
  </si>
  <si>
    <t>Rs. 592.88 Lakh/MW</t>
  </si>
  <si>
    <t>Rs. 545.88 Lakh/MW</t>
  </si>
  <si>
    <t>Rs. 692.88 Lakh/MW</t>
  </si>
  <si>
    <t>Rs. 792.88 Lakh/MW</t>
  </si>
  <si>
    <t>Hub-height at which annual mean wind power density specified shall be measured</t>
  </si>
  <si>
    <t>100m</t>
  </si>
  <si>
    <t>90m</t>
  </si>
  <si>
    <t>80m</t>
  </si>
  <si>
    <t>60m</t>
  </si>
  <si>
    <t>Wind measurement to classify wind energy project into particular wind zone class requires extending the wind mast put-up by C-WET upto a distance of _______ in all direction for uniform terrain.</t>
  </si>
  <si>
    <t>5 km</t>
  </si>
  <si>
    <t>10 km</t>
  </si>
  <si>
    <t>15 km</t>
  </si>
  <si>
    <t>20 km</t>
  </si>
  <si>
    <t>CUF norms for Annual Mean Wind Power Density of &gt; 440W/sq. m</t>
  </si>
  <si>
    <t>CUF norms for Annual Mean Wind Power Density of &lt; 220W/sq. m</t>
  </si>
  <si>
    <t>CUF norms for Annual Mean Wind Power Density of 331-440W/sq. m</t>
  </si>
  <si>
    <t xml:space="preserve">Normative Auxiliary Consumption for the small hydro projects shall be </t>
  </si>
  <si>
    <t>1.0%.</t>
  </si>
  <si>
    <t xml:space="preserve">Normative Auxiliary Consumption for Non-fossil fuel based
Cogeneration Projects shall be </t>
  </si>
  <si>
    <t>For Biomass Power Projects based on Rankine cycle, PLF after stabilisation during 1st year is _________ .</t>
  </si>
  <si>
    <t>For Biomass Power Projects based on Rankine cycle, PLF during stabilisation is _________ .</t>
  </si>
  <si>
    <t>For Biomass Power Projects based on Rankine cycle, PLF from 2nd year onwards is _________ .</t>
  </si>
  <si>
    <t xml:space="preserve">Normative Auxiliary Consumption for the biomass with water cooled condencer projects during first year shall be </t>
  </si>
  <si>
    <t>11%.</t>
  </si>
  <si>
    <t>Normative Auxiliary Consumption for the biomass with water cooled condencer projects from 2nd year onwards</t>
  </si>
  <si>
    <t>10%.</t>
  </si>
  <si>
    <t xml:space="preserve">Normative Auxiliary Consumption for the biomass with air cooled condencer projects during first year shall be </t>
  </si>
  <si>
    <t>13%.</t>
  </si>
  <si>
    <t>Normative Auxiliary Consumption for the biomass with air cooled condencer projects from 2nd year onwards</t>
  </si>
  <si>
    <t xml:space="preserve">Station Heat Rate for biomass power projects using travelling grate boilers shall be </t>
  </si>
  <si>
    <t>4200 kCal/ kWh</t>
  </si>
  <si>
    <t>3500 kCal/ kWh</t>
  </si>
  <si>
    <t>4500 kCal/ kWh</t>
  </si>
  <si>
    <t>3850 kCal/ kWh</t>
  </si>
  <si>
    <t xml:space="preserve">Station Heat Rate for biomass power projectsusing AFBC boilers shall be </t>
  </si>
  <si>
    <t>4125 kCal/ kWh</t>
  </si>
  <si>
    <t xml:space="preserve">Calorific Value of the biomass fuel used for the purpose of determination of tariff shall be at </t>
  </si>
  <si>
    <t>3350 kCal/kg</t>
  </si>
  <si>
    <t>3100 kCal/kg</t>
  </si>
  <si>
    <t>3500 kCal/kg</t>
  </si>
  <si>
    <t>3850 kCal/kg</t>
  </si>
  <si>
    <t>For each subsequent year of the Tariff Period, the normative escalation factor of __________ shall be applicable at the option of the biomass project developer</t>
  </si>
  <si>
    <t>5.72% per annum</t>
  </si>
  <si>
    <t>5.83% per annum</t>
  </si>
  <si>
    <t>5% per annum</t>
  </si>
  <si>
    <t xml:space="preserve">Gross Calorific Value for bagasse shall be </t>
  </si>
  <si>
    <t>2850 kCal/kg</t>
  </si>
  <si>
    <t>3300 kCal/kg</t>
  </si>
  <si>
    <t>2250 kCal/kg</t>
  </si>
  <si>
    <t>2500 kCal/kg</t>
  </si>
  <si>
    <t xml:space="preserve">Station Heat Rate for non fossil fuel based co-generation projects shall be </t>
  </si>
  <si>
    <t>3600 kCal/kWh</t>
  </si>
  <si>
    <t>3000 kCal/kWh</t>
  </si>
  <si>
    <t>4000 kCal/kWh</t>
  </si>
  <si>
    <t>3500 kCal/kWh</t>
  </si>
  <si>
    <t xml:space="preserve">The auxiliary consumption factor for Solar Thermal Power project shall be </t>
  </si>
  <si>
    <t xml:space="preserve">Normative specific fuel consumption for biomass gasifier Power Projects based on Rankine cycle shall be </t>
  </si>
  <si>
    <t>1.25 kg per kWh</t>
  </si>
  <si>
    <t>1.50 kg per kWh</t>
  </si>
  <si>
    <t>1.75 kg per kWh</t>
  </si>
  <si>
    <t>2.00 kg per kWh</t>
  </si>
  <si>
    <t>Threshold Plant Load Factor for biogas based power project to determine fixed charge component of Tariff shall be</t>
  </si>
  <si>
    <t xml:space="preserve">The auxiliary consumption factor for biogas Gasifier based power project shall be </t>
  </si>
  <si>
    <t xml:space="preserve">Normative specific fuel consumption for biogas based power project shall be </t>
  </si>
  <si>
    <t>3.00 kg per kWh</t>
  </si>
  <si>
    <t>2.50 kg per kWh</t>
  </si>
  <si>
    <t>2.75 kg per kWh</t>
  </si>
  <si>
    <t xml:space="preserve">The auxiliary consumption factor for biogas based power project shall be </t>
  </si>
  <si>
    <t>Threshold PLF for determining fixed charge component of Tariff for Biogas based Power Projects shall be</t>
  </si>
  <si>
    <t>As per tariff policy, spinning reserve should be available ------ % of the system</t>
  </si>
  <si>
    <t>As specified by CERC</t>
  </si>
  <si>
    <t>As specified by CEA</t>
  </si>
  <si>
    <t xml:space="preserve">"Facilitate supply of adequate and uninterrupted power to all categories of consumers" is an objective of </t>
  </si>
  <si>
    <t>Tariff policy 2016</t>
  </si>
  <si>
    <t>Tariff 2006</t>
  </si>
  <si>
    <t>NEP 2005</t>
  </si>
  <si>
    <t xml:space="preserve">"Promote Hydroelectric Power generation including Pumped Storage Projects (PSP) to provide adequate peaking reserves, reliable grid operation and integration of variable renewable energy sources" is an objective of </t>
  </si>
  <si>
    <t>As per Tariff Policy 2016,Renewable Purchase Obligations (RPOs) will be prescribed by the
Ministry of Power in consultation with …..</t>
  </si>
  <si>
    <t xml:space="preserve">In order to encourage renewable sources of energy, no inter-State
transmission charges and losses may be levied till such period as may be
notified by the Central Government on transmission of the electricity generated
from .............. sources of energy through the inter-state transmission
system for sale. </t>
  </si>
  <si>
    <t>Solar</t>
  </si>
  <si>
    <t xml:space="preserve">For achieving the objective that the tariff progressively reflects the cost of supply of electricity, the Appropriate Commission would notify a roadmap such that tariffs are brought within….......... of the average cost of supply. </t>
  </si>
  <si>
    <t xml:space="preserve"> ±20%</t>
  </si>
  <si>
    <t xml:space="preserve"> ±5%</t>
  </si>
  <si>
    <t xml:space="preserve"> ±10%</t>
  </si>
  <si>
    <t xml:space="preserve"> ±15%</t>
  </si>
  <si>
    <t>As per 2016 Tariff policy, Two-part tariffs featuring separate fixed and variable charges and Time differentiated tariff shall be introduced on priority for large consumers (say, consumers with demand exceeding 1 MW)</t>
  </si>
  <si>
    <t xml:space="preserve"> within one
year </t>
  </si>
  <si>
    <t xml:space="preserve"> within two
years</t>
  </si>
  <si>
    <t xml:space="preserve"> within three
years</t>
  </si>
  <si>
    <t xml:space="preserve">As per Tariff policy 2016, smart meters are mandated for Consumers with monthly consumption of ------ units and more at the earliest but not later than 31.12.2017; Consumers with monthly consumption above ----------- units by 31.12.2019. </t>
  </si>
  <si>
    <t>500 &amp; 200</t>
  </si>
  <si>
    <t>1000 &amp; 500</t>
  </si>
  <si>
    <t>250 &amp; 100</t>
  </si>
  <si>
    <t>750 &amp; 500</t>
  </si>
  <si>
    <t xml:space="preserve">If the Central Government allocates power out of the unallocated share of the Central Generating Stations or otherwise, such allocation of power will have priority over short-term, medium-term and long-term access </t>
  </si>
  <si>
    <t xml:space="preserve">The thermal power plant(s) including the existing plants located within 50 km radius of sewage treatment plant of Municipality/local bodies/similar organization are mandated to use treated sewage water produced by these bodies </t>
  </si>
  <si>
    <t>As per proposed amendments to Tariff policy 2016, License would be required for setting up any charging stations for Electric Vehicles.</t>
  </si>
  <si>
    <t xml:space="preserve">"Ensure financial viability of the sector and attract investments" is an objective of the </t>
  </si>
  <si>
    <t>National Electricity Policy 2005</t>
  </si>
  <si>
    <t>Tariff Policy 2016</t>
  </si>
  <si>
    <t>(A) and (B)</t>
  </si>
  <si>
    <t xml:space="preserve">"Promote Competition, efficiency in operations and improvement in quality of supply" is a stated objective of the </t>
  </si>
  <si>
    <t xml:space="preserve">"Ensure availability of electricity to consumers at reasonable and competitive rates" is an objective of </t>
  </si>
  <si>
    <t xml:space="preserve">"Promote transparency, consistency and predictability in regulatory approaches across jurisdictions and minimise perceptions of regulatory risks" is an objective of the </t>
  </si>
  <si>
    <t>National Electricity Policy and Tariff Policy are notified under  Section ….. Of the Electricity Act 2003</t>
  </si>
  <si>
    <t>3 (1)</t>
  </si>
  <si>
    <t xml:space="preserve">The National Electricity Plan in accordance with the National Electricity Policy is prepared and notified once in 5 years by </t>
  </si>
  <si>
    <t>The responsibility of preparing the National Electricity Plan lies with</t>
  </si>
  <si>
    <t>Power Grid</t>
  </si>
  <si>
    <t>Ministry of 
Power</t>
  </si>
  <si>
    <t>None of 
the above</t>
  </si>
  <si>
    <t>Energy Conservation Act 2001 focuses on</t>
  </si>
  <si>
    <t>Energy 
efficiency</t>
  </si>
  <si>
    <t>Energy conservation</t>
  </si>
  <si>
    <t>Demand Side Management</t>
  </si>
  <si>
    <t xml:space="preserve">NEP is key instrument for providing </t>
  </si>
  <si>
    <t>policy guidence to ERC for discharging functions</t>
  </si>
  <si>
    <t>Guidence to GOI</t>
  </si>
  <si>
    <t>Both (a) &amp; (b)</t>
  </si>
  <si>
    <t xml:space="preserve">Objective of NEP is </t>
  </si>
  <si>
    <t>Access of electricity to all household &amp; availability of power all by 2013</t>
  </si>
  <si>
    <t>Providing reliable &amp; quality power supply &amp; protection of consumer interest</t>
  </si>
  <si>
    <t>Per capita electricity increases to 1000 units &amp; minimum lifline consumption is I unit /household/day</t>
  </si>
  <si>
    <t xml:space="preserve">Village and household electrifications envisaged in </t>
  </si>
  <si>
    <t>National comman minimum programe (NCMP)</t>
  </si>
  <si>
    <t>NEP</t>
  </si>
  <si>
    <t>Tariff Policy 2006</t>
  </si>
  <si>
    <t>Main thrust area of NEP is</t>
  </si>
  <si>
    <t>Rural electrification</t>
  </si>
  <si>
    <t>village and household electrification</t>
  </si>
  <si>
    <t>NEP emphasis on</t>
  </si>
  <si>
    <t>Development of National grid</t>
  </si>
  <si>
    <t>Augmention of R &amp; D</t>
  </si>
  <si>
    <t>Measures against theft of electricity</t>
  </si>
  <si>
    <t>As per NEP, spinning reserve should be available ------ % of the system</t>
  </si>
  <si>
    <t>Section ------- of EA 2003 allows central govt to review and revise the Tariff policy</t>
  </si>
  <si>
    <t>3(2)</t>
  </si>
  <si>
    <t>3(3)</t>
  </si>
  <si>
    <t>3(4)</t>
  </si>
  <si>
    <t>3(5)</t>
  </si>
  <si>
    <t>Which section of EA 2006, guided ERC for tariff determination</t>
  </si>
  <si>
    <t>Objective of Tariff policy is</t>
  </si>
  <si>
    <t>availability of electricity to consumer at reasonable and competitive rates</t>
  </si>
  <si>
    <t>Ensure fincial viability</t>
  </si>
  <si>
    <t>promote transperancy &amp; competition</t>
  </si>
  <si>
    <t>The highest transmission voltage (AC) in the country is</t>
  </si>
  <si>
    <t>1200 kV</t>
  </si>
  <si>
    <t xml:space="preserve">If the transmission voltage  is increased from 33 kV to 
66 kV, the losses would </t>
  </si>
  <si>
    <t>Reduce by
 ¼ times</t>
  </si>
  <si>
    <t>Increase by ¼ times</t>
  </si>
  <si>
    <t>Reduce by 
½ times</t>
  </si>
  <si>
    <t>Increase by 
½ times</t>
  </si>
  <si>
    <t>CDM encourages the use of</t>
  </si>
  <si>
    <t>Energy 
efficient 
technologies</t>
  </si>
  <si>
    <t>Renewable
 energy</t>
  </si>
  <si>
    <t>Energy 
conservation</t>
  </si>
  <si>
    <t>All of the 
above</t>
  </si>
  <si>
    <t>Jawaharlal Nehru National Solar  Mission aims at solar generation  capacity of ------- by 2020.</t>
  </si>
  <si>
    <t>10,000 MW</t>
  </si>
  <si>
    <t>20,000 MW</t>
  </si>
  <si>
    <t>25,000 MW</t>
  </si>
  <si>
    <t>40,000 MW</t>
  </si>
  <si>
    <t>Most of the country’s coal reserves are situated in</t>
  </si>
  <si>
    <t>Western 
region</t>
  </si>
  <si>
    <t>Eastern 
region</t>
  </si>
  <si>
    <t>North 
eastern 
Region</t>
  </si>
  <si>
    <t>Southern 
Region</t>
  </si>
  <si>
    <t>The CEA was constituted under the</t>
  </si>
  <si>
    <t>Indian 
Electricity 
Act, 1910</t>
  </si>
  <si>
    <t>Electricity 
(Supply) Act, 
1948</t>
  </si>
  <si>
    <t>1975 
Amendment of 
the Electricity 
(Supply Act)</t>
  </si>
  <si>
    <t>None of the 
above</t>
  </si>
  <si>
    <t>Which act has been set up for rationalisation of bulk and 
retail tariff for generation and transmission utilities involved in inter-state operations.</t>
  </si>
  <si>
    <t>The Electricity 
Act, 2003</t>
  </si>
  <si>
    <t>The Electricity 
Regulatory Commission 
Act, 1998</t>
  </si>
  <si>
    <t>None of the
 above</t>
  </si>
  <si>
    <t>Power generation on the nuclear side is handled by</t>
  </si>
  <si>
    <t>Ministry of 
Power, GoI</t>
  </si>
  <si>
    <t>Ministry of  
Nuclear Energy, 
GoI</t>
  </si>
  <si>
    <t>Ministry of 
Atomic Energy, 
GoI</t>
  </si>
  <si>
    <t>Minstry of 
Renewable
 Energy</t>
  </si>
  <si>
    <t>The Act which made it mandatory to create SEBs</t>
  </si>
  <si>
    <t>The Indian 
Electricity Act, 
1910</t>
  </si>
  <si>
    <t>The Electricity 
(Supply) Act, 
1948</t>
  </si>
  <si>
    <r>
      <t>Amendment in 1998 of this Act</t>
    </r>
    <r>
      <rPr>
        <sz val="12"/>
        <color indexed="8"/>
        <rFont val="Arial"/>
        <family val="2"/>
      </rPr>
      <t xml:space="preserve"> provided for private sector
 participation in transmission</t>
    </r>
  </si>
  <si>
    <t xml:space="preserve">One of the most powerful initiatives taken to distance 
the govt. from tariff determination is </t>
  </si>
  <si>
    <t>The Indian 
Electricity 
Act, 1910</t>
  </si>
  <si>
    <t>Ultra Mega Power Projects are the projects</t>
  </si>
  <si>
    <t>Above 
1000 MW</t>
  </si>
  <si>
    <t>Above 
2000 MW</t>
  </si>
  <si>
    <t>Above 
4000 MW</t>
  </si>
  <si>
    <t xml:space="preserve">The objective with which APDRP was set up is </t>
  </si>
  <si>
    <t>reduce AT&amp;C 
loss</t>
  </si>
  <si>
    <t>improve quality
of supply</t>
  </si>
  <si>
    <t>improve reliability of supply.</t>
  </si>
  <si>
    <t xml:space="preserve">      All of the
above</t>
  </si>
  <si>
    <t>Nodal agency which identifies projects to be developed 
through competitive bidding route</t>
  </si>
  <si>
    <t>PFC</t>
  </si>
  <si>
    <t>Both of the 
above</t>
  </si>
  <si>
    <t>Nodal agency for RGGVY programmes</t>
  </si>
  <si>
    <t>Both of the
 above</t>
  </si>
  <si>
    <t>The highest transmission voltage at the time of independence was</t>
  </si>
  <si>
    <t>The Central sector got involved  in generation of power in</t>
  </si>
  <si>
    <t>none of 
the above</t>
  </si>
  <si>
    <t>Monitoring of operations and grid security of the National Grid is done by</t>
  </si>
  <si>
    <t xml:space="preserve"> The apex body to ensure integrated operation of the 
power system in the concerned region is</t>
  </si>
  <si>
    <t>Who is responsible for long term planning of ISTS (for network expansion) in an integrated manner</t>
  </si>
  <si>
    <t>All of 
the above</t>
  </si>
  <si>
    <t xml:space="preserve">The Planning Code applies to </t>
  </si>
  <si>
    <t>ISGSs</t>
  </si>
  <si>
    <t>Transmission 
Licensees</t>
  </si>
  <si>
    <t>Who would formulate perspective transmission plan for inter-State transmission system as well as intra-State transmission system</t>
  </si>
  <si>
    <t>All of
 the above</t>
  </si>
  <si>
    <t xml:space="preserve">Who shall carry out planning process from time to time as per the requirement for identification of major inter-State  transmission system including  inter-regional schemes. </t>
  </si>
  <si>
    <t>Which of the following are instruments for promoting Renewable Energy</t>
  </si>
  <si>
    <t>GBI</t>
  </si>
  <si>
    <t>Accelerated Depreciation/Tax Benefits</t>
  </si>
  <si>
    <t>In terms of the wind power installed capacity, India is ranked as …..</t>
  </si>
  <si>
    <t xml:space="preserve">The gestation period is the shortest for commissioning …… based generation </t>
  </si>
  <si>
    <t>Hydro</t>
  </si>
  <si>
    <t>Thermal</t>
  </si>
  <si>
    <t>Nuclear</t>
  </si>
  <si>
    <t>Gas</t>
  </si>
  <si>
    <t>Peaking Power Plants are normally …. Based</t>
  </si>
  <si>
    <t>Gas / Liquid</t>
  </si>
  <si>
    <t>Break even distance when HVDC transmission can be considered is of the order of …. Kms</t>
  </si>
  <si>
    <t xml:space="preserve">Coal reserves in the country are mostly located in the </t>
  </si>
  <si>
    <t>Northern Region</t>
  </si>
  <si>
    <t>Western Region</t>
  </si>
  <si>
    <t>Eastern Region</t>
  </si>
  <si>
    <t xml:space="preserve">The All India average Plant Load Factor (PLF) (including central, state and private sector stations) is of the order of </t>
  </si>
  <si>
    <t>As per the Constitution of India, Electricity is a ….. Subject</t>
  </si>
  <si>
    <t>Central</t>
  </si>
  <si>
    <t>State</t>
  </si>
  <si>
    <t>Concurrent</t>
  </si>
  <si>
    <t>Not defined</t>
  </si>
  <si>
    <t>Generation is a …… activity as per the Electricity Act 2003</t>
  </si>
  <si>
    <t>Licensed</t>
  </si>
  <si>
    <t>Delicensed</t>
  </si>
  <si>
    <t>Restricted</t>
  </si>
  <si>
    <t>Transmission is a …… activity as per the Electricity Act 2003</t>
  </si>
  <si>
    <t>Distribution is a …… activity as per the Electricity Act 2003</t>
  </si>
  <si>
    <t>Trading is a …… activity as per the Electricity Act 2003</t>
  </si>
  <si>
    <t xml:space="preserve">Significant Lignite resources of the country are located in the State(s) of  1. Rajasthan  2. Chattisgarh  3. Bihar  4. Jharkhand  5. Tamil Nadu </t>
  </si>
  <si>
    <t>2, 3 &amp; 4</t>
  </si>
  <si>
    <t>2 &amp; 5</t>
  </si>
  <si>
    <t>1 &amp; 5</t>
  </si>
  <si>
    <t xml:space="preserve">The creation of SEBs was mandated by the </t>
  </si>
  <si>
    <t>Electricity Act 2003</t>
  </si>
  <si>
    <t xml:space="preserve">Distancing of the Government from Tariff Determination was facilitated by </t>
  </si>
  <si>
    <t>Electricity Regulatory Commission Act 1998</t>
  </si>
  <si>
    <t xml:space="preserve">Trading has been recognized as a distinct activity for the first time in the ……. </t>
  </si>
  <si>
    <t>Guidelines for procurement of power by DISCOMS through Competitive Bidding are notified by the Central Government in compliance to Section ….. Of the Electricity Act 2003</t>
  </si>
  <si>
    <t>Out of the 5 Regional Grids, the number of synchronously connected grids are</t>
  </si>
  <si>
    <t>The no. of "Electrical Regions" into which the Country can be demarcated are:</t>
  </si>
  <si>
    <t xml:space="preserve">Southern Region is Connected the NEW Grid </t>
  </si>
  <si>
    <t>Synchronously</t>
  </si>
  <si>
    <t>Asynchronously</t>
  </si>
  <si>
    <t>They are not connected</t>
  </si>
  <si>
    <t>Do not know</t>
  </si>
  <si>
    <t xml:space="preserve">The structure of Load Despatch Centers in India is </t>
  </si>
  <si>
    <t>Vertically integrated</t>
  </si>
  <si>
    <t>Hierarchical</t>
  </si>
  <si>
    <t>Totally unrelated</t>
  </si>
  <si>
    <t xml:space="preserve">Supervision and Control over the inter-regional links is a function of the </t>
  </si>
  <si>
    <t>ALDC</t>
  </si>
  <si>
    <t xml:space="preserve">Coordination of trans National exchange of Power is function of </t>
  </si>
  <si>
    <t xml:space="preserve">Providing Operational Feedback to facilitate planning to the CTU &amp; the Authority is a function assigned to </t>
  </si>
  <si>
    <t xml:space="preserve">The apex body to ensure integrated operation of the power system in the concerned Region is the </t>
  </si>
  <si>
    <t xml:space="preserve">The apex body to ensure integrated operation of the power system in the concerned State is the </t>
  </si>
  <si>
    <t>Keeping accounts of the quantity of electricity transmitted through the Regional Grid is a function of</t>
  </si>
  <si>
    <t>Keeping accounts of the quantity of electricity transmitted through the State Grid is a function of</t>
  </si>
  <si>
    <t xml:space="preserve">Exercising supervision and control over the intra-state transmission system is a function of the </t>
  </si>
  <si>
    <t xml:space="preserve">Planning and coordination relating to inter-state transmission system in coordination with the STU, Central Government, State Government, Generating Companies, RPCs, CEA, transmission licensees is carried out by </t>
  </si>
  <si>
    <t>Providing non-discriminatory open access to its transmission system is mandated under the Electricity Act 2003 for</t>
  </si>
  <si>
    <t>The agency responsible for formulation of long-term, medium-term, short-term and perspective plans is</t>
  </si>
  <si>
    <t xml:space="preserve">Perspective transmission plan is prepared by </t>
  </si>
  <si>
    <t>The following are to be considered during the transmission planning exercise:</t>
  </si>
  <si>
    <t>Perspective transmission plan</t>
  </si>
  <si>
    <t>Electric Power Survey of India</t>
  </si>
  <si>
    <t>Transmission Planning Criteria</t>
  </si>
  <si>
    <t xml:space="preserve">STUs plan their systems to further evacuate power from the ISTS based on plans prepared by </t>
  </si>
  <si>
    <t>Perspective Plan</t>
  </si>
  <si>
    <t>Operational Feedback by NLDC</t>
  </si>
  <si>
    <t>Standard Planning data, as mandated under the Planning Code covers</t>
  </si>
  <si>
    <t>Preliminary project planning data</t>
  </si>
  <si>
    <t>Committed Project Planning Data</t>
  </si>
  <si>
    <t>Connected Planning Data</t>
  </si>
  <si>
    <t>The Regional Outage Plan needs to be prepared in coordination with NLDC by</t>
  </si>
  <si>
    <t>Interconnection to Grid facilitates</t>
  </si>
  <si>
    <t>Reliability of supply</t>
  </si>
  <si>
    <t>Reduction in reserve capacity requirement</t>
  </si>
  <si>
    <t>The statutory body responsible for the coordinated development of the Indian power sector</t>
  </si>
  <si>
    <t>Planning Commission</t>
  </si>
  <si>
    <t>Which Indian Electrical region is having power evacuation problem through the chicken neck area</t>
  </si>
  <si>
    <t xml:space="preserve">Northern  </t>
  </si>
  <si>
    <t>Southern</t>
  </si>
  <si>
    <t>North-Eastern</t>
  </si>
  <si>
    <t>Which of the following country is synchronously connected to India</t>
  </si>
  <si>
    <t>Pakistan</t>
  </si>
  <si>
    <t>Nepal</t>
  </si>
  <si>
    <t>Bhutan</t>
  </si>
  <si>
    <t>Bangladesh</t>
  </si>
  <si>
    <t>Grid Standards are to be specified by</t>
  </si>
  <si>
    <t>Technical standards for construction of electrical plants, electric lines and connectivity to the grid are specified by</t>
  </si>
  <si>
    <t>Transmission High ways of high capacity need to be developed ___________</t>
  </si>
  <si>
    <t>To facilitate bulk power transfer</t>
  </si>
  <si>
    <t>To avoid future ROW problems in harnessing resources</t>
  </si>
  <si>
    <t>To transmit power to power deficit regions from rich power regions</t>
  </si>
  <si>
    <t>The capacity of small hydro power plants which comes under category of Renewable Energy is</t>
  </si>
  <si>
    <t>&lt; 1 MW</t>
  </si>
  <si>
    <t>&lt; 5 MW</t>
  </si>
  <si>
    <t>&lt; 10 MW</t>
  </si>
  <si>
    <t>&lt; 25 MW</t>
  </si>
  <si>
    <t>Which kind of the power generation comes under the category of Thermal generation ?
1. Coal   2.  Gas    3. Diesel   4. Nuclear 5. Lignite</t>
  </si>
  <si>
    <t>1 only</t>
  </si>
  <si>
    <t>1,2 &amp;5 only</t>
  </si>
  <si>
    <t>All five except 4</t>
  </si>
  <si>
    <t>All five</t>
  </si>
  <si>
    <t>For a nominal voltage of 765 kV, the maximum and the minimum voltage (kV rms) respectively, as specified in the IEGC is</t>
  </si>
  <si>
    <t>800 and 728</t>
  </si>
  <si>
    <t>780 and 750</t>
  </si>
  <si>
    <t>790 and 740</t>
  </si>
  <si>
    <t>815 and 715</t>
  </si>
  <si>
    <t>For a nominal voltage of 400 kV, the maximum and the minimum voltage (kV rms) respectively, as specified in the IEGC is</t>
  </si>
  <si>
    <t>410 and 390</t>
  </si>
  <si>
    <t>420 and 380</t>
  </si>
  <si>
    <t>430 and 370</t>
  </si>
  <si>
    <t>425 and 375</t>
  </si>
  <si>
    <t>For a nominal voltage of 220 kV, the maximum and the minimum voltage (kV rms) respectively, as specified in the IEGC is</t>
  </si>
  <si>
    <t>230 and 210</t>
  </si>
  <si>
    <t>235 and 205</t>
  </si>
  <si>
    <t>245 and 198</t>
  </si>
  <si>
    <t>245 and 190</t>
  </si>
  <si>
    <t>What are the activities that are licensed under the new Elecitiricty Act, 2003 ?</t>
  </si>
  <si>
    <t>Ttransmission</t>
  </si>
  <si>
    <t>Electricity Act, 2003  was promulgated after repealing which earlier enactment of Electricity Laws</t>
  </si>
  <si>
    <t>Electtricity Act, 1910</t>
  </si>
  <si>
    <t>Electricity Supply Act, 1948</t>
  </si>
  <si>
    <t>The Electricity Regulatory  Commssions Act, 1998</t>
  </si>
  <si>
    <t>Which entity is designated as CTU?</t>
  </si>
  <si>
    <t>NTPC</t>
  </si>
  <si>
    <t>NHPC</t>
  </si>
  <si>
    <t>The Electricity Act, 2003 extends to which part of India?</t>
  </si>
  <si>
    <t>Whole of India</t>
  </si>
  <si>
    <t>Whole of India exceptJ&amp;K</t>
  </si>
  <si>
    <t>Whole of India except southern Region</t>
  </si>
  <si>
    <t xml:space="preserve">CERC was established under the provisions of </t>
  </si>
  <si>
    <t>     Indian Electricity Act 1910</t>
  </si>
  <si>
    <t>      Electricity Supply Act 1948</t>
  </si>
  <si>
    <t>ERC Act 1998</t>
  </si>
  <si>
    <t xml:space="preserve"> Electricity  
Act 2003</t>
  </si>
  <si>
    <t>The International council on Large Electric Systems (CIGRE) Study Committee C2 deals with</t>
  </si>
  <si>
    <t>Electricity Markets</t>
  </si>
  <si>
    <t>Equipment Standardisation</t>
  </si>
  <si>
    <t>Environmental Concerns</t>
  </si>
  <si>
    <t>System Operation and Control</t>
  </si>
  <si>
    <t>The International council on Large Electric Systems (CIGRE) Study Committee C5 deals with</t>
  </si>
  <si>
    <t>Very large Power Grid Operators membership is open for utilities having Installed capacity &gt; ____</t>
  </si>
  <si>
    <t>20000 MW</t>
  </si>
  <si>
    <t>50000MW</t>
  </si>
  <si>
    <t>100000MW</t>
  </si>
  <si>
    <t>75000MW</t>
  </si>
  <si>
    <t>Who has been set up for rationalisation of bulk and 
retail tariff for generation and transmission utilities involved in inter-state operations.</t>
  </si>
  <si>
    <t>Monitoring of operations and grid security of the National 
Grid is done by</t>
  </si>
  <si>
    <t>STUs</t>
  </si>
  <si>
    <t>The State Electricity Regulatory Commissions work under the following:</t>
  </si>
  <si>
    <t>The Central Government</t>
  </si>
  <si>
    <t>The Governor of the State</t>
  </si>
  <si>
    <t>The Appellate Tribunal</t>
  </si>
  <si>
    <t> Independent 
entities</t>
  </si>
  <si>
    <t>The Electricity Act,2003 pays great attention to:</t>
  </si>
  <si>
    <t>Urban electrification</t>
  </si>
  <si>
    <t>Rural Electrification</t>
  </si>
  <si>
    <t>Consolidation of all private electricity companies</t>
  </si>
  <si>
    <t xml:space="preserve">Setting up of 
nuclear plants </t>
  </si>
  <si>
    <t>True or False: Transmission Companies are permitted to trade in electricity generated in the night.</t>
  </si>
  <si>
    <t xml:space="preserve">True </t>
  </si>
  <si>
    <t xml:space="preserve">True or False:  Nuclear Power Corporation ltd. works under the Ministry of Power. </t>
  </si>
  <si>
    <t>POSOCO is a fully owned subsidiary of:</t>
  </si>
  <si>
    <t xml:space="preserve"> Power Grid</t>
  </si>
  <si>
    <t>According to the Electricity Act, 2003  the Load Despatch Centers should work under the:</t>
  </si>
  <si>
    <t>None of the below</t>
  </si>
  <si>
    <t>State government</t>
  </si>
  <si>
    <t>Union Public Service Commission</t>
  </si>
  <si>
    <t>State Electricity Regulatory Commission</t>
  </si>
  <si>
    <t>Electricity Act 2003 replaces</t>
  </si>
  <si>
    <t>Electricity Act 1910</t>
  </si>
  <si>
    <t>Eletricity Act 1948</t>
  </si>
  <si>
    <t>Electricity Regulation Act 1998</t>
  </si>
  <si>
    <t xml:space="preserve">For generating Thermal electricity, clearance from Central Electricity Authority </t>
  </si>
  <si>
    <t xml:space="preserve">is required </t>
  </si>
  <si>
    <t>is not required</t>
  </si>
  <si>
    <t xml:space="preserve">Open Access refers to </t>
  </si>
  <si>
    <t>wheeling electricity using existing transmission</t>
  </si>
  <si>
    <t>Generation of Electricity</t>
  </si>
  <si>
    <t>Utilization of electricity</t>
  </si>
  <si>
    <t xml:space="preserve">Implementaiton of the Act </t>
  </si>
  <si>
    <t xml:space="preserve">Legalizes the State Electricity Board (SEB) </t>
  </si>
  <si>
    <t>Eliminates SEB</t>
  </si>
  <si>
    <t>Strengthens the SEB</t>
  </si>
  <si>
    <t>Transfer of SEB personnel can be contested under Industrial Dispute Act</t>
  </si>
  <si>
    <t>Judgment of the appellate tribunal can be appealed against in</t>
  </si>
  <si>
    <t>Sessions Court</t>
  </si>
  <si>
    <t>High Court</t>
  </si>
  <si>
    <t>Supreme Court</t>
  </si>
  <si>
    <t>Under offences and penalty clause, consumer is categorized as</t>
  </si>
  <si>
    <t>above/below 10KW</t>
  </si>
  <si>
    <t>LT/HT Consumer</t>
  </si>
  <si>
    <t>Private/Public Consumer</t>
  </si>
  <si>
    <t xml:space="preserve"> Captive generation refers to generation of electricity </t>
  </si>
  <si>
    <t>For Own use</t>
  </si>
  <si>
    <t>For Govt. Use</t>
  </si>
  <si>
    <t>For Public Use</t>
  </si>
  <si>
    <t>For Rural
 Use</t>
  </si>
  <si>
    <t>Cross subsidy is that part of electricity cost realized from</t>
  </si>
  <si>
    <t>High End Consumer</t>
  </si>
  <si>
    <t>Government</t>
  </si>
  <si>
    <t>Public</t>
  </si>
  <si>
    <t>Generation Company</t>
  </si>
  <si>
    <t>Grid Operator refers to</t>
  </si>
  <si>
    <t>National Operator</t>
  </si>
  <si>
    <t>Regional Operator</t>
  </si>
  <si>
    <t>State Operator</t>
  </si>
  <si>
    <t>All the 
above</t>
  </si>
  <si>
    <t xml:space="preserve">Which section of the Electricity Act, 2003 empowers the RLDCs to give directions to licensees,  Generating companies, generating stations, sub-station and any other person connected with the operation of power system for ensuring stability of grid operations. </t>
  </si>
  <si>
    <t>Section 16</t>
  </si>
  <si>
    <t>Section 29</t>
  </si>
  <si>
    <t xml:space="preserve"> none of
 the above</t>
  </si>
  <si>
    <t>Who can issue directions to RLDCs or SLDCs for mainting smooth and stable transmission and supply of Electricity to any Region or State.</t>
  </si>
  <si>
    <t>Appropriate Govt. as per Setion 37</t>
  </si>
  <si>
    <t>Section 30</t>
  </si>
  <si>
    <t>None of
 the above</t>
  </si>
  <si>
    <t>Name the forum for redressal of the consumers grievance within the area of distribution licensee.</t>
  </si>
  <si>
    <t>Section 39</t>
  </si>
  <si>
    <t>Section 45</t>
  </si>
  <si>
    <t>Section 42</t>
  </si>
  <si>
    <t>Section 41</t>
  </si>
  <si>
    <t xml:space="preserve">The terms and condition for determination of tariff by the apporopriate commission is specified under </t>
  </si>
  <si>
    <t>Section 52  of Electricity Act, 2003</t>
  </si>
  <si>
    <t>Section 62 of Electricity Act, 2003</t>
  </si>
  <si>
    <t>Section 42 of Electricity Act, 2003</t>
  </si>
  <si>
    <t>The constitution of the Central Commission is enshrined under which  Section of Electricity Act, 2003</t>
  </si>
  <si>
    <t>Section</t>
  </si>
  <si>
    <t>Section 46</t>
  </si>
  <si>
    <t>Section 76</t>
  </si>
  <si>
    <t>Which section of the Electricity Act, 2003 provides  for the functions of the Central Commission</t>
  </si>
  <si>
    <t>Section 49</t>
  </si>
  <si>
    <t>Section 64</t>
  </si>
  <si>
    <t>Function of the State Commission is provided in which section of the Electricity Act, 2003</t>
  </si>
  <si>
    <t>Section 43</t>
  </si>
  <si>
    <t>Section 56</t>
  </si>
  <si>
    <t>Section 86</t>
  </si>
  <si>
    <t>Section 83</t>
  </si>
  <si>
    <t>Appeal  form the order of the State Commission or the Central Commission can be preferred before which authority?</t>
  </si>
  <si>
    <t>Disctrict court</t>
  </si>
  <si>
    <t>Appellete Tribunal</t>
  </si>
  <si>
    <t>Supremie 
Court</t>
  </si>
  <si>
    <t>The limitation for filing  Appeal beofre the Appellate  Tribunal  is</t>
  </si>
  <si>
    <t>30 DAYS</t>
  </si>
  <si>
    <t>60 DAYS</t>
  </si>
  <si>
    <t>90 DAYS</t>
  </si>
  <si>
    <t>45 DAYS</t>
  </si>
  <si>
    <t>Revision against the order of the appropriate commission can be filed within how many days of the date of order</t>
  </si>
  <si>
    <t>90 days</t>
  </si>
  <si>
    <t>Under which provisions of the Act or the Regulation can review peition be filed   against the order of the Central Commission?</t>
  </si>
  <si>
    <t>Section 110 of Ecltricity Act, 2003</t>
  </si>
  <si>
    <t>Section 130 of the CERC of Conduct Business Regulations, 1999</t>
  </si>
  <si>
    <t xml:space="preserve">Section 108 of the Ecltricity Act. 2003 </t>
  </si>
  <si>
    <t xml:space="preserve">Section 103 of Condcut of Business Regulation </t>
  </si>
  <si>
    <t>Which setion of the Electricity Act, 2003 empowers the Central Commssion to make Regulation for carrying out the provision of the Electricity Act?</t>
  </si>
  <si>
    <t>What do you understand by UI?</t>
  </si>
  <si>
    <t>Unscheduled Institute</t>
  </si>
  <si>
    <t>Unscheduled Intercange</t>
  </si>
  <si>
    <t>Unscheduled Interest</t>
  </si>
  <si>
    <t>What is meant by Grid Code?</t>
  </si>
  <si>
    <t>Grid cade means a code specified by the cnetal government under Section 79 (1) of the Eletricity Act, 2003</t>
  </si>
  <si>
    <t>Grid means a Regulation that lays down the Rules guidelines and standards to be followed by various persons and particiants in the power system</t>
  </si>
  <si>
    <t xml:space="preserve">Both the above </t>
  </si>
  <si>
    <t>Open Access means</t>
  </si>
  <si>
    <t>Non-discreminatry provision for the use of transmission lines by any licensee or consumer or a person engaged in Generation in accordance with the Regulations</t>
  </si>
  <si>
    <t>Non-discremninatry provision for use of distribution system or associated facilities by any licensee or consumer or a person engaged in genration in accordance with the regulation</t>
  </si>
  <si>
    <t>Name the section that enables or transmission licensee to engage in other business with prior intimation to the appropriate commssion:</t>
  </si>
  <si>
    <t>Section 31</t>
  </si>
  <si>
    <t>Section 50</t>
  </si>
  <si>
    <t>Which part of the Electricity Act, 2003 deals with the offenses and penalities under the Act?</t>
  </si>
  <si>
    <t>Part XIV</t>
  </si>
  <si>
    <t>Part X</t>
  </si>
  <si>
    <t>Part V</t>
  </si>
  <si>
    <t>Part XV</t>
  </si>
  <si>
    <t xml:space="preserve">Which Section of Electiricty Act , 2003 provides for the punishment for non-compliance of directions by the appropriate commssion? </t>
  </si>
  <si>
    <t>Section 156</t>
  </si>
  <si>
    <t>Section 142</t>
  </si>
  <si>
    <t>Section 130</t>
  </si>
  <si>
    <t>Section 80</t>
  </si>
  <si>
    <t>El;ectricity Act, 2003  was promulgated after repealing which earlier enactment of Electricity Laws</t>
  </si>
  <si>
    <t>Under which section of the Electriicty Act the Central Government prepares the national electiricty policy and tarif policy?</t>
  </si>
  <si>
    <t>Section 8</t>
  </si>
  <si>
    <t>Section 3</t>
  </si>
  <si>
    <t xml:space="preserve">Which Section of the Electricity Act, 2003 empowers the appropriate commission to grant licencse? </t>
  </si>
  <si>
    <t>Section 23</t>
  </si>
  <si>
    <t>Section 40</t>
  </si>
  <si>
    <t>Section 12</t>
  </si>
  <si>
    <t xml:space="preserve">Which was the first State in the Country to establish Regulatory Commission </t>
  </si>
  <si>
    <t>Andhra</t>
  </si>
  <si>
    <t>Orissa</t>
  </si>
  <si>
    <t>Haryana</t>
  </si>
  <si>
    <t xml:space="preserve">ATE consists of </t>
  </si>
  <si>
    <t>  Three Members</t>
  </si>
  <si>
    <t>Five Members</t>
  </si>
  <si>
    <t>Four Members</t>
  </si>
  <si>
    <t>Six Members</t>
  </si>
  <si>
    <t xml:space="preserve">Generation Tariff  is determined by </t>
  </si>
  <si>
    <t>Both CERC &amp; SERC</t>
  </si>
  <si>
    <t>ATE</t>
  </si>
  <si>
    <t>As per CERC , Subsistence &amp; Validity of PPA to be looked into by LDC while granting Open Access</t>
  </si>
  <si>
    <t xml:space="preserve">False </t>
  </si>
  <si>
    <t xml:space="preserve">Standards for Grid operation are specified by </t>
  </si>
  <si>
    <t>Who is the Chairman of the committee constituted for preparation of National Electricity Plan, 2015</t>
  </si>
  <si>
    <t>Chairperson, CERC</t>
  </si>
  <si>
    <t>Secreatary (Power)</t>
  </si>
  <si>
    <t xml:space="preserve">Power Minister (IC) </t>
  </si>
  <si>
    <t>The average gross calorific value of the coal available for Indian power plant is the range of ……..kcal/Kg</t>
  </si>
  <si>
    <t>1500-2500</t>
  </si>
  <si>
    <t>3000-4500</t>
  </si>
  <si>
    <t>4000-6000</t>
  </si>
  <si>
    <t>6000-7000</t>
  </si>
  <si>
    <t>The software model used by CEA for carrying out generation expansion studies ..</t>
  </si>
  <si>
    <t>Electric Generation
Expansion Analysis System (EGEAS)</t>
  </si>
  <si>
    <t>PSSE</t>
  </si>
  <si>
    <t>ETAP</t>
  </si>
  <si>
    <t>MATLAB</t>
  </si>
  <si>
    <t>The LOLP (Loss of load probability) and ENS (Energy not served) adopted for planning purposes in India from 12th plan onwards is</t>
  </si>
  <si>
    <t>LOLP-1% and ENS- 0.15%</t>
  </si>
  <si>
    <t>LOLP-0.5% and ENS- 0.1%</t>
  </si>
  <si>
    <t>LOLP-0.75% and ENS- 0.07%</t>
  </si>
  <si>
    <t>LOLP-0.2% and ENS- 0.05%</t>
  </si>
  <si>
    <t>Which are the relaibility indices generated by the EGEAS software, used for expansion planning of an electric generation system are</t>
  </si>
  <si>
    <t>LOLP</t>
  </si>
  <si>
    <t>ENS</t>
  </si>
  <si>
    <t>Reserve margin</t>
  </si>
  <si>
    <t>The capacity addition  target during 12th plan (2012-17) was</t>
  </si>
  <si>
    <t>87100 MW</t>
  </si>
  <si>
    <t>83100 MW</t>
  </si>
  <si>
    <t>88537 MW</t>
  </si>
  <si>
    <t>The Peak Demand and Energy Requirement during 2021-22 as projected by 19th EPS (Electric Power Survey) report is</t>
  </si>
  <si>
    <t>2,25,571 MW and 1566 BU</t>
  </si>
  <si>
    <t>325571MW&amp; 1700BY</t>
  </si>
  <si>
    <t>400000MW&amp;2000BU</t>
  </si>
  <si>
    <t>India has the fourth largest installed wind power capacity in the world after (in respective order)</t>
  </si>
  <si>
    <t>China, USA and Germany</t>
  </si>
  <si>
    <t>Germany, China, France</t>
  </si>
  <si>
    <t>China, Germany, France</t>
  </si>
  <si>
    <t>Germany, China, USA</t>
  </si>
  <si>
    <t>The installed capacity of Wind power in India as on 31st March,2017</t>
  </si>
  <si>
    <t>32,280 MW (56% of total RE IC)</t>
  </si>
  <si>
    <t>The installed capacity of Solar power in India as on 31st March,2017</t>
  </si>
  <si>
    <t>12289 MW (21.5 % of total RE IC)</t>
  </si>
  <si>
    <t>The targeted contribution of the major renewable energy sources to reach the capacity of 175 GW by 2022 is</t>
  </si>
  <si>
    <t>Solar- 100 MW              Wind- 60 MW           Biomass - 10 MW        Small Hydro - 5 MW</t>
  </si>
  <si>
    <t>Solar- 100 MW              Wind- 50 MW           Biomass - 15 MW        Small Hydro - 10 MW</t>
  </si>
  <si>
    <t>Solar- 100 MW              Wind- 70 MW           Biomass - 5 MW          Small Hydro - 5 MW</t>
  </si>
  <si>
    <t>Solar- 100 MW              Wind- 60 MW           Biomass - 5 MW           Small Hydro - 10 MW</t>
  </si>
  <si>
    <t>GoI has formulated a policy, HELP, to bridge the gap between supply and demand for the domestic market. Exapnd "HELP"</t>
  </si>
  <si>
    <t>Hydrocarbon Exploration and Licensing Policy</t>
  </si>
  <si>
    <t xml:space="preserve">As per norms, the number of days stock for coal in a pit-head station shall be ….. </t>
  </si>
  <si>
    <t>15 Days</t>
  </si>
  <si>
    <t>25 days</t>
  </si>
  <si>
    <t>As per norms, the number of days stock for coal in a power plant located between 500 to 1000 km from coal mine shall be</t>
  </si>
  <si>
    <t xml:space="preserve">The critical &amp; super critical stock criterion in pit head power plant is </t>
  </si>
  <si>
    <t>5 days &amp; 3 days</t>
  </si>
  <si>
    <t>3 days &amp; 1 day</t>
  </si>
  <si>
    <t>7 days &amp; 3 days</t>
  </si>
  <si>
    <t>10 days &amp; 5 days</t>
  </si>
  <si>
    <t>MOEF&amp;CC has notified new Environment norms for Thermal power station including Emission and Effluent discharge
on 7th December,2015.For, TPPs (units) to be
installed from 1st January 2017, the Particulate matter (PM) limit is</t>
  </si>
  <si>
    <t>100 mg/Nm3</t>
  </si>
  <si>
    <t>50 mg/Nm3</t>
  </si>
  <si>
    <t>30 mg/Nm3</t>
  </si>
  <si>
    <t>20 mg/Nm3</t>
  </si>
  <si>
    <t>MOEF&amp;CC has notified new Environment norms for Thermal power station including Emission and Effluent discharge on 7th December,2015.For, TPPs (units) to be installed from 1st January 2017, the Sulpher dioxide (SO2) limit is</t>
  </si>
  <si>
    <t>600 mg/Nm3 for
units less than
500MW capacity</t>
  </si>
  <si>
    <t>200 mg/Nm3 for
units 500MW and
above capacity</t>
  </si>
  <si>
    <t>MOEF&amp;CC has notified new Environment norms for Thermal power station including Emission and Effluent discharge on 7th December,2015.For, TPPs (units) to be installed from 1st January 2017, the oxides of NItrogen (NOx) limit is</t>
  </si>
  <si>
    <t>300 mg/Nm3</t>
  </si>
  <si>
    <t>In the year 2015-16, the weighted average CO2 emission rate from grid connected power stations (excluding captive power stations and stations on islands and from Renewables) is</t>
  </si>
  <si>
    <t>0.82 kgCO2/kWhnet</t>
  </si>
  <si>
    <t>0.52 kgCO2/kWhnet</t>
  </si>
  <si>
    <t>0.72 kgCO2/kWhnet</t>
  </si>
  <si>
    <t>0.92 kgCO2/kWhnet</t>
  </si>
  <si>
    <t>Weighted average specific emissions (in tCO2/Mwhnet) for fossil fuel-fired stations are in the order</t>
  </si>
  <si>
    <t>Coal&gt;Lignite&gt;Diesel&gt;Gas</t>
  </si>
  <si>
    <t>Lignite&gt;Coal&gt;Gas&gt;Diesel</t>
  </si>
  <si>
    <t>Lignite&gt;Coal&gt;Diesel&gt; Gas</t>
  </si>
  <si>
    <t>Lignite&gt;Diesel&gt;Coal&gt; Gas</t>
  </si>
  <si>
    <t xml:space="preserve">Part III of the Electricity Act 2003 is related to </t>
  </si>
  <si>
    <t>National Electricity Policy and Plan</t>
  </si>
  <si>
    <t>Distribution of Electricity</t>
  </si>
  <si>
    <t>Transmission of Electricity</t>
  </si>
  <si>
    <t>Which section of the Electricity Act 2003 specifies the fuctions of RLDC?</t>
  </si>
  <si>
    <t>Section 20</t>
  </si>
  <si>
    <t>Section 28</t>
  </si>
  <si>
    <t>Section 34</t>
  </si>
  <si>
    <t>Section 32</t>
  </si>
  <si>
    <t>Which section of the Electricity Act 2003 specifies the fuctions of SLDC?</t>
  </si>
  <si>
    <t xml:space="preserve">Part IV of the Electricity Act 2003 is related to </t>
  </si>
  <si>
    <t>Licensing</t>
  </si>
  <si>
    <t xml:space="preserve">Part V of t he Electricity Act 2003 is related to </t>
  </si>
  <si>
    <t>Which recection of the Electricity Act 2003 talks about hydro-electric generation?</t>
  </si>
  <si>
    <t>Section 24</t>
  </si>
  <si>
    <t>Section 38</t>
  </si>
  <si>
    <t xml:space="preserve">Part XI of the Electricity Act 2003 is related to </t>
  </si>
  <si>
    <t>Central electricity authority</t>
  </si>
  <si>
    <t>Tariff</t>
  </si>
  <si>
    <t>Regulatory Commissions</t>
  </si>
  <si>
    <t>Which section of the Electricity Act 2003 talks about the composition of the ATE?</t>
  </si>
  <si>
    <t>Section 98</t>
  </si>
  <si>
    <t>Section 112</t>
  </si>
  <si>
    <t>Section 44</t>
  </si>
  <si>
    <t>Section 55</t>
  </si>
  <si>
    <t>CEA is described in which part of the Electricity Act 2003?</t>
  </si>
  <si>
    <t>Part IX</t>
  </si>
  <si>
    <t>Part II</t>
  </si>
  <si>
    <t>Part VII</t>
  </si>
  <si>
    <t>Part XI</t>
  </si>
  <si>
    <t>CTU and its functions are described in which section of the Eectricity Act 2003?</t>
  </si>
  <si>
    <t>Section 67</t>
  </si>
  <si>
    <t>Which is the latest Tariff Policy</t>
  </si>
  <si>
    <t>Tariff policy 2006</t>
  </si>
  <si>
    <t>Tariff policy 20108</t>
  </si>
  <si>
    <t>Tariff policy 2011</t>
  </si>
  <si>
    <t>As per Triff policy 2016,Tariff fixation for all electricity projects (generation, transmission and distribution) that result in lower Green House Gas (GHG) emissions than the relevant base line should take into account the --------- into consideration, in a manner so as to provide adequate incentive to the project developers.</t>
  </si>
  <si>
    <t>benefits obtained from the Clean Development Mechanism (CDM)</t>
  </si>
  <si>
    <t>carbon foot prints only</t>
  </si>
  <si>
    <t>CO2 emmissions only</t>
  </si>
  <si>
    <t>As per Triff policy 2016,In case of reduced quantity of domestic coal supplied by CIL, the cost of imported/market based e-auction coal procured for making up the shortfall, shall be considered for being made a pass through by Appropriate Commission on a case to case basis</t>
  </si>
  <si>
    <t>As per Triff policy 2016,In order to ensure better utilization of un-requisitioned generating capacity of generating stations, based on regulated tariff under Section 62 of the Electricity Act 2003, the procurer shall communicate, at least  -------------when the power and quantum thereof is not requisitioned by it enabling the generating stations to sell the same in the market</t>
  </si>
  <si>
    <t>twenty four hours before 00.00 hours of the day</t>
  </si>
  <si>
    <t>two days before 00.00 hours of the day</t>
  </si>
  <si>
    <t>7days before 00.00 hours of the day</t>
  </si>
  <si>
    <t>Noe of these</t>
  </si>
  <si>
    <t>As per Triff policy 2016,developer and the procurers signing the PPA would share the gains realized from sale, if any, of such un-requisitioned power in market in the ratio of --:--, if not already provided in the PPA.</t>
  </si>
  <si>
    <t>75,25</t>
  </si>
  <si>
    <t>80,20</t>
  </si>
  <si>
    <t>No sharing</t>
  </si>
  <si>
    <t>As per Triff policy 2016,In case of coal based generating stations, the cost of project will also include reasonable cost of setting up coal washeries, coal beneficiation system and dry ash handling &amp; disposal system.</t>
  </si>
  <si>
    <t>As per Triff policy 2016,Long term growth trajectory of Renewable Purchase Obligations (RPOs) will be prescribed by the Ministry of Power in consultation with MNRE.</t>
  </si>
  <si>
    <t>As per Triff policy 2016,SERCs shall also reserve a minimum percentage for purchase of solar energy from the date of notification of this policy which shall be such that it reaches --% of total consumption of energy, excluding Hydro Power, by March 2022</t>
  </si>
  <si>
    <t>As per Triff policy 2016,y, considering the change in prices of renewable energy technologies with passage of time, the Appropriate Commission may prescribe vintage based REC multiplier</t>
  </si>
  <si>
    <t>As per Triff policy 2016,In order to promote renewable energy sources, any generating company proposing to establish a coal/lignite based thermal generating station after a specified date shall be required to establish such renewable energy generating capacity or procure and supply renewable energy equivalent to such capacity</t>
  </si>
  <si>
    <t>As per Triff policy 2016,In view of the approach laid down by the NEP, prior agreement with the beneficiaries would not be a precondition for network expansion</t>
  </si>
  <si>
    <t>As per Triff policy 2016,Central Government may give exemption from competitive bidding for (a) specific category of projects of strategic importance, technical upgradation etc. or (b) works required to be done to cater to an urgent situation</t>
  </si>
  <si>
    <t>For both (a) &amp; (b)</t>
  </si>
  <si>
    <t>Only(A)</t>
  </si>
  <si>
    <t>Only(b)</t>
  </si>
  <si>
    <t>As per Triff policy 2016,Financial incentives and disincentives should be implemented for the CTU and the STU around the ------------- for these organisations</t>
  </si>
  <si>
    <t>Key Performance Indicators (KPI)</t>
  </si>
  <si>
    <t>Key Result Area(KRA)</t>
  </si>
  <si>
    <t>As per availability</t>
  </si>
  <si>
    <t>As per Triff policy 2016,In extraordinary circumstances including threat to security to the State, public order or natural calamity, if the Central Government allocates power out of the unallocated share of the Central Generating Stations or otherwise, such allocation of power will have priority over ----, -------, ------in this order</t>
  </si>
  <si>
    <t xml:space="preserve">short-term, medium-term and long-term access </t>
  </si>
  <si>
    <t xml:space="preserve">short-term, PX_medium-term </t>
  </si>
  <si>
    <t xml:space="preserve">long term, medium-term and short-term access </t>
  </si>
  <si>
    <t>No priority</t>
  </si>
  <si>
    <t>As per Triff policy 2016,Appropriate Commission shall, therefore, mandate smart meters for: (a) Consumers with monthly consumption of ---- units and more at the earliest but not later than 31.12.2017; (b) Consumers with monthly consumption above----  units by 31.12.2019.</t>
  </si>
  <si>
    <t>National Electricity Policy is notified under  Section ….. Of the Electricity Act 2003</t>
  </si>
  <si>
    <t xml:space="preserve">The responsibility of preparing the National Electricity Policy lies with  </t>
  </si>
  <si>
    <t>Central Electricty Authority</t>
  </si>
  <si>
    <t xml:space="preserve">National Power Committee </t>
  </si>
  <si>
    <t xml:space="preserve">Central Government </t>
  </si>
  <si>
    <t>Planning Commision</t>
  </si>
  <si>
    <t>National Electricity Policy has to be published  ….    By Central Government</t>
  </si>
  <si>
    <t xml:space="preserve">from time to time </t>
  </si>
  <si>
    <t>every 10 years</t>
  </si>
  <si>
    <t xml:space="preserve">every 5 years </t>
  </si>
  <si>
    <t>at least up to year  2047</t>
  </si>
  <si>
    <t xml:space="preserve">National Electricity Policy is the basis for preparing following </t>
  </si>
  <si>
    <t>Electricity Supply Code</t>
  </si>
  <si>
    <t>National Electricy Plan</t>
  </si>
  <si>
    <t>Eelctricty Act 2003</t>
  </si>
  <si>
    <t>The Central Government shall, from time to time, prepare the National Electricity Policy  policy, in consultation with the........... for development of the power system based on optimal utilization of resources such as coal, natural gas, nuclear substances or materials, hydro and renewable sources of energy</t>
  </si>
  <si>
    <t>State Governments</t>
  </si>
  <si>
    <t xml:space="preserve">Prime Minister Office </t>
  </si>
  <si>
    <t>The National Electricity Policy aims at achieving the following objectives:</t>
  </si>
  <si>
    <t xml:space="preserve">Access to Electricity </t>
  </si>
  <si>
    <t xml:space="preserve">Supply of Reliable and Quality Power </t>
  </si>
  <si>
    <t>Protection of consumers’ interests.</t>
  </si>
  <si>
    <t xml:space="preserve">All of the above </t>
  </si>
  <si>
    <t xml:space="preserve"> National Electricity policy seeks to address the following issues:</t>
  </si>
  <si>
    <t>subsidized buissess</t>
  </si>
  <si>
    <t xml:space="preserve">De commisioning of Nuclear plants </t>
  </si>
  <si>
    <t>As  per National Electricity Policy  Captive generating plants should be permitted to sell electricity to licensees and consumers when they are allowed open access by  under section 42 of the Act .</t>
  </si>
  <si>
    <t xml:space="preserve">Ministry of Power </t>
  </si>
  <si>
    <t>As per National Electricity Policy, For grant of second and subsequent distribution licence within the area of an incumbent distribution licensee.........................  as defined in the Article 243(Q) of Constitution of India (74th Amendment) may be considered as the minimum area</t>
  </si>
  <si>
    <t>a revenue district</t>
  </si>
  <si>
    <t>a Municipal Council for a smaller urban area</t>
  </si>
  <si>
    <t>a Municipal Corporation for a larger urban area</t>
  </si>
  <si>
    <t xml:space="preserve">As per National Electricity Policy,  Reliability Index (RI) of supply of power to consumers should be indicated by . </t>
  </si>
  <si>
    <t>the distribution licensee</t>
  </si>
  <si>
    <t xml:space="preserve">Power Ministry of State </t>
  </si>
  <si>
    <t>As per National Electricity Policy,………. would prepare a Five Year Plan with annual milestones to bring down Transmission &amp; Distrubution losses expeditiously.</t>
  </si>
  <si>
    <t xml:space="preserve">State Governments </t>
  </si>
  <si>
    <t xml:space="preserve">As per National Electricity Policy,The State Regulatory Commissions who have not yet notified the grid code under the Electricity Act 2003 should notify the same not later than </t>
  </si>
  <si>
    <t>March, 2005</t>
  </si>
  <si>
    <t>September 2005.</t>
  </si>
  <si>
    <t>March, 2006</t>
  </si>
  <si>
    <t>June 2005</t>
  </si>
  <si>
    <t>As per National Electricity Policy,Appropriate Commission should regulate utilities based on pre-determined indices on quality of power supply. Power Quality Parameters should include, amongst others, , ,  ,</t>
  </si>
  <si>
    <t>frequency and duration of interruption</t>
  </si>
  <si>
    <t>harmonics, transformer failure rates,</t>
  </si>
  <si>
    <t xml:space="preserve">waiting time for restoration of supply, percentage defective meters and waiting list of new connections. </t>
  </si>
  <si>
    <t>The National Electricity Plan envisages a per capita 
consumption of ------ units  by 2012.</t>
  </si>
  <si>
    <t>As per National Electrical Poicy estimated investment in rapid economic growth and househole electrification is Rs ------------- by 2012</t>
  </si>
  <si>
    <t xml:space="preserve"> 600000 crores</t>
  </si>
  <si>
    <t xml:space="preserve"> 900000 crores</t>
  </si>
  <si>
    <t>1100000 crores</t>
  </si>
  <si>
    <t>Functional autonomy for LDCs can be ensured through</t>
  </si>
  <si>
    <t>Independent governance structure</t>
  </si>
  <si>
    <t>Separate accounting</t>
  </si>
  <si>
    <t>Adequate manpower, logistics and infrastructure</t>
  </si>
  <si>
    <t xml:space="preserve">Traditionally, prior to the 1998 ammendment of the Electricity Supply Act 1948, the funding requirements of LDCs at the Regional Level were met through </t>
  </si>
  <si>
    <t>Recovery of charges from transmission licensees</t>
  </si>
  <si>
    <t>Recovery of charges from generating stations</t>
  </si>
  <si>
    <t>Payments by RPCs</t>
  </si>
  <si>
    <t>Budgetary allocations from Central Government</t>
  </si>
  <si>
    <t>Committee Setup by Ministry of Power, Government of India to look into various aspects associated with ring fencing of LDCs and funcitonal autonomy was the</t>
  </si>
  <si>
    <t>GB Pradhan Committee</t>
  </si>
  <si>
    <t>GS Rajamani Committee</t>
  </si>
  <si>
    <t>Steering Committee under Secretary, Ministry of Power</t>
  </si>
  <si>
    <t>Parliamentary Consultative Committee</t>
  </si>
  <si>
    <t>As per Section 28(4) for the Electricity Act 2003, RLDCs may levy and collect fees and charges from 1. Generating Companies    2. Inter-State Transmission Licensees   3. Trading Licensees</t>
  </si>
  <si>
    <t>As per Section 32(3) for the Electricity Act 2003, SLDCs may levy and collect fees and charges from 1. Generating Companies    2. Intra-State Transmission Licensees   3. Trading Licensees</t>
  </si>
  <si>
    <t xml:space="preserve">The central objective of restructuring and ring fencing of LDCs is </t>
  </si>
  <si>
    <t>to resolve administrive issues</t>
  </si>
  <si>
    <t>to ensure independence of system operator</t>
  </si>
  <si>
    <t>to improve sales of electricity</t>
  </si>
  <si>
    <t>to improve financial viability</t>
  </si>
  <si>
    <r>
      <t xml:space="preserve">Committee Setup by Ministry of Power, Government of India to look into various aspects associated with </t>
    </r>
    <r>
      <rPr>
        <sz val="12"/>
        <color indexed="10"/>
        <rFont val="Arial"/>
        <family val="2"/>
      </rPr>
      <t>CAPEX</t>
    </r>
    <r>
      <rPr>
        <sz val="12"/>
        <rFont val="Arial"/>
        <family val="2"/>
      </rPr>
      <t xml:space="preserve"> and issues related to emoluments of personnel working in LDCs was the </t>
    </r>
  </si>
  <si>
    <t>Satnam Singh Committee</t>
  </si>
  <si>
    <t>Rakesh Nath Committee</t>
  </si>
  <si>
    <t>Dhiman Committee</t>
  </si>
  <si>
    <r>
      <t xml:space="preserve">Committee Setup by Ministry of Power, Government of India to look into various aspects associated with </t>
    </r>
    <r>
      <rPr>
        <sz val="12"/>
        <color indexed="10"/>
        <rFont val="Arial"/>
        <family val="2"/>
      </rPr>
      <t>manpower selection, recruitment procedure and tenure of personnel</t>
    </r>
    <r>
      <rPr>
        <sz val="12"/>
        <rFont val="Arial"/>
        <family val="2"/>
      </rPr>
      <t xml:space="preserve"> working in LDCs was the </t>
    </r>
  </si>
  <si>
    <r>
      <t xml:space="preserve">Committee Setup by Ministry of Power, Government of India to look into various aspects associated with </t>
    </r>
    <r>
      <rPr>
        <sz val="12"/>
        <color indexed="10"/>
        <rFont val="Arial"/>
        <family val="2"/>
      </rPr>
      <t>training and certification of personnel working in LDCs</t>
    </r>
    <r>
      <rPr>
        <sz val="12"/>
        <rFont val="Arial"/>
        <family val="2"/>
      </rPr>
      <t xml:space="preserve"> was the </t>
    </r>
  </si>
  <si>
    <t xml:space="preserve">Load Despatch Centers were designated as apex bodies for integrated system operation by </t>
  </si>
  <si>
    <t>1998 Amendment to the Electricity 
(Supply) Act, 
1948</t>
  </si>
  <si>
    <t>The term "Load Despatch Centers" was explicitly mentioned for the first time in the</t>
  </si>
  <si>
    <t>1991 Amendment to the Electricity 
(Supply) Act, 
1948</t>
  </si>
  <si>
    <t>The concept of development of the power systems on a Regional basis was formulated in the year</t>
  </si>
  <si>
    <t>As per the GB Pradhan Committee the Standard Operating Procedures (SOPs) are to be laid down by</t>
  </si>
  <si>
    <t>Under the Electricity Act 2003, SLDCs are barred from</t>
  </si>
  <si>
    <t xml:space="preserve">Transmission </t>
  </si>
  <si>
    <t>Under the Electricity Act 2003, RLDCs are barred from</t>
  </si>
  <si>
    <t>Trading &amp; Generation</t>
  </si>
  <si>
    <t>Generation &amp; Transmission</t>
  </si>
  <si>
    <t>Trading &amp; Transmission</t>
  </si>
  <si>
    <t>In order to ensure functional autonomy, it is very important to have</t>
  </si>
  <si>
    <t>Corporate Structure</t>
  </si>
  <si>
    <t>Financial independence</t>
  </si>
  <si>
    <t>Personnel on deputation</t>
  </si>
  <si>
    <t>The fees and charges that can be levied and collected by the RLDCs are specifed by</t>
  </si>
  <si>
    <t>Central Government</t>
  </si>
  <si>
    <t>The fees and charges that can be levied and collected by the SLDCs are specifed by</t>
  </si>
  <si>
    <t>State Government</t>
  </si>
  <si>
    <t>`</t>
  </si>
  <si>
    <t xml:space="preserve">Revenue streams necessary to make LDCs financially independent include </t>
  </si>
  <si>
    <t>Fees and Charges for System Operation</t>
  </si>
  <si>
    <t>Fees and Charges for Market Operation</t>
  </si>
  <si>
    <t>Fees and Charges for Logistics &amp; Infrastructure</t>
  </si>
  <si>
    <t xml:space="preserve">A significant portion of LDC Costs is contributed by 1. SCADA/EMS costs including IT infrastructure    2. Manpower Costs    3. O &amp; M Costs   </t>
  </si>
  <si>
    <t>Rolling plans for CAPEX are to be submitted to the Appropriate Regulatory Commission every …. Years</t>
  </si>
  <si>
    <t xml:space="preserve">Fees and Charges for the LDCs are  </t>
  </si>
  <si>
    <t>Regulated by the Appropriate Government</t>
  </si>
  <si>
    <t>Regulated by the Appropriate Regulatory Commission</t>
  </si>
  <si>
    <t>Regulated by the Appropriate Ministry/Department  of Power / Energy</t>
  </si>
  <si>
    <t>Not Regulated</t>
  </si>
  <si>
    <t>On a per unit of energy basis (paise per kWh), the contribution of the system operation charges is of the order of</t>
  </si>
  <si>
    <t>As a % of the total charges, LDC charges contribute about</t>
  </si>
  <si>
    <t>Forum of Load Despatchers (FOLD) is a body constituted by</t>
  </si>
  <si>
    <t>Forum of Regulators</t>
  </si>
  <si>
    <t>Membership of Forum of Load Despatchers (FOLD) is derived from personnel working in the</t>
  </si>
  <si>
    <t>All of the abvoe</t>
  </si>
  <si>
    <t xml:space="preserve">Secretariat functions to the Forum of Load Despatchers (FOLD) are provided by </t>
  </si>
  <si>
    <t>The rationale behind unbundling of generation, transmission and distribution is</t>
  </si>
  <si>
    <t>to introduce competition in the sector</t>
  </si>
  <si>
    <t xml:space="preserve">A vertically integrated utility represents a </t>
  </si>
  <si>
    <t>Oligopoly</t>
  </si>
  <si>
    <t>Monopoly</t>
  </si>
  <si>
    <t>Highly comnpetitive scenario</t>
  </si>
  <si>
    <t>Which of the following is a major locus of conflict of interest ?</t>
  </si>
  <si>
    <t>Trading Licensee</t>
  </si>
  <si>
    <t>System Operator</t>
  </si>
  <si>
    <t>In the time frame of short term operations, the system operator exercises influence over</t>
  </si>
  <si>
    <t>Transmission</t>
  </si>
  <si>
    <t>In a competitive environment, the system operator needs to be independent of</t>
  </si>
  <si>
    <t>Traders / Market Participants</t>
  </si>
  <si>
    <t xml:space="preserve">Integrated planning and development of the transmission system is a potential source of conflict of interest for </t>
  </si>
  <si>
    <t>System Operators</t>
  </si>
  <si>
    <t>Transmission Licensees with CTU / STU status</t>
  </si>
  <si>
    <t>Which of the following are areas requiring functional autonomy: 1. Non discriminatory open access   2. Outage Planning   3. Switching Instructions    4. Rescheduling of generation</t>
  </si>
  <si>
    <t>1, 2 &amp; 3</t>
  </si>
  <si>
    <t>Which of the following are areas requiring functional autonomy: 1. Non discriminatory open access   2. Outage Planning   3. Availability Certification   4. Rescheduling of generation</t>
  </si>
  <si>
    <t>Which of the following are areas requiring functional autonomy: 1. Incident analysis and investigation   2. Outage Planning   3. Availability Certification   4. Rescheduling of generation</t>
  </si>
  <si>
    <t>A key aspect to neutral system operation is</t>
  </si>
  <si>
    <t>technical and managerial excellence</t>
  </si>
  <si>
    <t>minimization of discretion</t>
  </si>
  <si>
    <t>high level of transparency</t>
  </si>
  <si>
    <t> As Independent 
entities</t>
  </si>
  <si>
    <t>The Central Electricity Regulatory Commission works under the following:</t>
  </si>
  <si>
    <t>As an Independent 
entity</t>
  </si>
  <si>
    <t xml:space="preserve">State Load Despatch Centers are mandated to work </t>
  </si>
  <si>
    <t> As functionally Independent 
entities</t>
  </si>
  <si>
    <t>under the State government</t>
  </si>
  <si>
    <t xml:space="preserve">Regional Load Despatch Centers are mandated to work </t>
  </si>
  <si>
    <t xml:space="preserve">National Load Despatch Center is mandated to work </t>
  </si>
  <si>
    <t> As functionally Independent 
entity</t>
  </si>
  <si>
    <t>Code of Ethics for the LDC Personnel is to be laid down by</t>
  </si>
  <si>
    <t>FOLD</t>
  </si>
  <si>
    <t>Replacement of obsolete control center equipment such as SCADA / EMS, IT Infrastructure requires</t>
  </si>
  <si>
    <t>OPEX</t>
  </si>
  <si>
    <t>REPEX</t>
  </si>
  <si>
    <t xml:space="preserve">Capital Expenditure plans cover  </t>
  </si>
  <si>
    <t>The following is/are the component(s) of charges for servicing of CAPEX</t>
  </si>
  <si>
    <t>Charges for Human Resources include  1. Salary, Perquisites, Incentives   2. Training &amp; Certification Charges   3.  Depreciation    4. Interest on Loan</t>
  </si>
  <si>
    <t>Interest on Working Capital is covered under</t>
  </si>
  <si>
    <t xml:space="preserve">Services rendered by LDCs comprise of </t>
  </si>
  <si>
    <t>Expenses identified under a separate head for the first time in the RLDC Fees and Charges order by CERC are</t>
  </si>
  <si>
    <t>CERC's Notification for RLDC Fees and Charges allocates the annual charges for the System Operation function and Market Operation Function in the ratio</t>
  </si>
  <si>
    <t>As per the CERC's Notification for RLDC Fees and Charges Generating Stations &amp; Sellers and Distribution Licensees &amp; Buyers share the System Operation Charges each at the rate of</t>
  </si>
  <si>
    <t xml:space="preserve">As per the CERC's Notification for RLDC Fees and Charges, Inter-State Transmission Licensees share the System Operation Charges at the rate of </t>
  </si>
  <si>
    <t>Equally from all users except inter-state transmission licensees</t>
  </si>
  <si>
    <t xml:space="preserve">LDCs are discharging </t>
  </si>
  <si>
    <t>Business Functions</t>
  </si>
  <si>
    <t>Statutory Functions under Electricity Act 2003</t>
  </si>
  <si>
    <t>Philanthropic Functions</t>
  </si>
  <si>
    <t>Roles played by the System Operator in Electric Supply Industry in India include</t>
  </si>
  <si>
    <t>Agents for achieving economy and efficiency</t>
  </si>
  <si>
    <t>Change agent for catalysing the ongoing reforms process</t>
  </si>
  <si>
    <t>Agents for providing feedback to policy makers, planners and regulators</t>
  </si>
  <si>
    <t xml:space="preserve">Switching Operations are performed by </t>
  </si>
  <si>
    <t>ISO</t>
  </si>
  <si>
    <t>TSO</t>
  </si>
  <si>
    <t>Maintenance of Transmission Assets is carried out by</t>
  </si>
  <si>
    <t xml:space="preserve">Transmission assets are owned by </t>
  </si>
  <si>
    <t xml:space="preserve">Which of the following is a statutory function ? </t>
  </si>
  <si>
    <t>Which of the following DOES NOT discharge statutory functions?</t>
  </si>
  <si>
    <t xml:space="preserve"> Which Section(s) of the Electricity Act '03 provide for tariff regulation and determination of tariff of generation, transmission, wheeling and retail sale of electricity by the Appropriate Commission ?</t>
  </si>
  <si>
    <t>Section 61 &amp; 62</t>
  </si>
  <si>
    <t>Competitive Bidding guidelines have been framed under which provisions of the Electricity Act' 03 ?</t>
  </si>
  <si>
    <t>For procurement of electricity under Competitive Bidding guidelines, tariff shall be paid and settled for each payment period not exceeding</t>
  </si>
  <si>
    <t>six months</t>
  </si>
  <si>
    <t>one year</t>
  </si>
  <si>
    <t>one quarter</t>
  </si>
  <si>
    <t>According to competitve bidding guidelines issued by Ministry of Power, the indices to be adopted for escalation of the escalable component shall only be</t>
  </si>
  <si>
    <t xml:space="preserve">Retail Price Index (RPI), Consumer Price Index (CPI) or a combination of both RPI and CPI </t>
  </si>
  <si>
    <t xml:space="preserve">Wholesale Price Index (WPI), Consumer Price Index (CPI) or a combination of both WPI and CPI </t>
  </si>
  <si>
    <t xml:space="preserve">Wholesale Price Index (WPI), Producer Price Index (PPI) or a combination of both WPI and PPI </t>
  </si>
  <si>
    <t xml:space="preserve">Retail Price Index (RPI), Producer Price Index (PPI) or a combination of both RPI and PPI </t>
  </si>
  <si>
    <t>According to competitve bidding guidelines issued by Ministry of Power, at the bid evaluation stage, ratio of minimum and maximum capacity charge (including both the non-escalable component and the escalable component incorporating escalation as per index being used for the purpose of evaluation) over the term of the Power Purchase Agreement (PPA) shall not be less than</t>
  </si>
  <si>
    <t>According to competitve bidding guidelines issued by Ministry of Power, "Adjustment shall be provided for heat rate degradation of the generating stations.". The statement is:</t>
  </si>
  <si>
    <t>CERC may decide</t>
  </si>
  <si>
    <t>SERC may decide</t>
  </si>
  <si>
    <t>According to competitve bidding guidelines issued by Ministry of Power, the geological risk for the hydro project in both Case 1 and in Case 2 shall be borne by ?</t>
  </si>
  <si>
    <t>consumer</t>
  </si>
  <si>
    <t>procurer</t>
  </si>
  <si>
    <t>developer</t>
  </si>
  <si>
    <t>According to competitve bidding guidelines issued by Ministry of Power, the per kwh rates payable to the seller for offtake by the procurer over and above the normative levels shall be</t>
  </si>
  <si>
    <t>more than the rates applicable till normative availability.</t>
  </si>
  <si>
    <t>less than the rates applicable till normative availability.</t>
  </si>
  <si>
    <t>same as the rates applicable till normative availability.</t>
  </si>
  <si>
    <t xml:space="preserve">According to Competitive Bidding Guidelines, the bidding shall necessarily be by way of </t>
  </si>
  <si>
    <t>International Competitive Bidding (ICB).</t>
  </si>
  <si>
    <t>Domestic Competitive Bidding (DCB).</t>
  </si>
  <si>
    <t>Limited Competitive Bidding (LCB).</t>
  </si>
  <si>
    <t>Public Competitive Bidding (PCB).</t>
  </si>
  <si>
    <t>Who notifies escalation rate for domestic coal. (Separately for evaluation and payment) ?</t>
  </si>
  <si>
    <t>Ministry of Coal</t>
  </si>
  <si>
    <t xml:space="preserve">In normal circumstances, the 2 stage bid process, bidding is likely to be completed in a period of </t>
  </si>
  <si>
    <t>180 days.</t>
  </si>
  <si>
    <t>270 days.</t>
  </si>
  <si>
    <t>90 days.</t>
  </si>
  <si>
    <t>365 days.</t>
  </si>
  <si>
    <t>According to Comeptitive Bidding  Guidelines, any dispute claiming any change in or regarding determination of the tariff or any tariff related matters, or which partly or wholly could result in change in tariff shall be adjudicated by?</t>
  </si>
  <si>
    <t>Appropriate Commission.</t>
  </si>
  <si>
    <t>APTEL</t>
  </si>
  <si>
    <t>In the case of procurement under Case-1, charges up to the injection point shall be borne by?</t>
  </si>
  <si>
    <t>Tranmsission Licensee</t>
  </si>
  <si>
    <t>Consumer</t>
  </si>
  <si>
    <t>Bidder</t>
  </si>
  <si>
    <t>Procurer</t>
  </si>
  <si>
    <t xml:space="preserve">According to competitve bidding guidelines issued by Ministry of Power, Eligible bidders shall be required to submit </t>
  </si>
  <si>
    <t>combined technical and price bids</t>
  </si>
  <si>
    <t>only price bid</t>
  </si>
  <si>
    <t>only technical bid</t>
  </si>
  <si>
    <t>separate technical and price bids.</t>
  </si>
  <si>
    <t>Setion 37</t>
  </si>
  <si>
    <t>If system frequency falls to 49.7 hz and constituents draw   more than their scheduled drawal then they are violating grid code clause no.</t>
  </si>
  <si>
    <t>49.2 HZ</t>
  </si>
  <si>
    <t>Generation of power from NRE sources such as wind, small hydro, Bio maas and solar energy is exremely vital for</t>
  </si>
  <si>
    <t>green power</t>
  </si>
  <si>
    <t>cheaper</t>
  </si>
  <si>
    <t>both (a) &amp; (b)</t>
  </si>
  <si>
    <t>National Solar mission is intiative of</t>
  </si>
  <si>
    <t>Govt of India</t>
  </si>
  <si>
    <t>State Govt</t>
  </si>
  <si>
    <t>The total estimated medium-term (2032) for power generation from renewable sources is</t>
  </si>
  <si>
    <t>190000 MW</t>
  </si>
  <si>
    <t>183000 MW</t>
  </si>
  <si>
    <t>187000 MW</t>
  </si>
  <si>
    <t>195000 MW</t>
  </si>
  <si>
    <t>As on 31.03.2011, the grid interactive Installed Capacity from renewable is --------- MW</t>
  </si>
  <si>
    <t>During 12th Plan renewable capacity of -------- MW has been envisaged</t>
  </si>
  <si>
    <t>During 13th Plan renewable capacity of -------- MW has been envisaged</t>
  </si>
  <si>
    <r>
      <t>There is an urgent need for setting up ----------- plants during the 12</t>
    </r>
    <r>
      <rPr>
        <sz val="7"/>
        <rFont val="Calibri"/>
        <family val="2"/>
      </rPr>
      <t xml:space="preserve">th </t>
    </r>
    <r>
      <rPr>
        <sz val="11"/>
        <rFont val="Calibri"/>
        <family val="2"/>
      </rPr>
      <t>Plan with proper</t>
    </r>
    <r>
      <rPr>
        <sz val="11"/>
        <rFont val="Times New Roman"/>
        <family val="1"/>
      </rPr>
      <t xml:space="preserve"> </t>
    </r>
    <r>
      <rPr>
        <sz val="11"/>
        <rFont val="Calibri"/>
        <family val="2"/>
      </rPr>
      <t>regulatory support.</t>
    </r>
  </si>
  <si>
    <t>coal plants</t>
  </si>
  <si>
    <t>peaking power</t>
  </si>
  <si>
    <t>dieseal plants</t>
  </si>
  <si>
    <t>none od the above</t>
  </si>
  <si>
    <r>
      <t>Peaking plants shall be --------- and must</t>
    </r>
    <r>
      <rPr>
        <sz val="11"/>
        <rFont val="Times New Roman"/>
        <family val="1"/>
      </rPr>
      <t xml:space="preserve"> </t>
    </r>
    <r>
      <rPr>
        <sz val="11"/>
        <rFont val="Calibri"/>
        <family val="2"/>
      </rPr>
      <t>comply with      --------</t>
    </r>
  </si>
  <si>
    <t>environmentally-friendly, emission norms</t>
  </si>
  <si>
    <t>environmentally-friendly, cheaper</t>
  </si>
  <si>
    <t xml:space="preserve">peaking power would be costlier as compared to off peak power due to </t>
  </si>
  <si>
    <t xml:space="preserve">higher heat rate  </t>
  </si>
  <si>
    <t>O&amp;M costs</t>
  </si>
  <si>
    <t>System reserves can be classified into</t>
  </si>
  <si>
    <t>Primary Control Reserves or Frequency Control Reserves</t>
  </si>
  <si>
    <r>
      <t>Secondary Reserves or Spinning and Non-spinning Reserves</t>
    </r>
    <r>
      <rPr>
        <sz val="11"/>
        <rFont val="Times New Roman"/>
        <family val="1"/>
      </rPr>
      <t xml:space="preserve"> </t>
    </r>
  </si>
  <si>
    <t>Tertiary Reserves or Replacement Reserves</t>
  </si>
  <si>
    <t>Primary reserves are those reserves that should be activated within ---------- seconds</t>
  </si>
  <si>
    <t>Secndory reserves are those reserves that should be activated within ---------- seconds</t>
  </si>
  <si>
    <r>
      <t>tertiary reserves</t>
    </r>
    <r>
      <rPr>
        <sz val="11"/>
        <rFont val="Times New Roman"/>
        <family val="1"/>
      </rPr>
      <t xml:space="preserve"> </t>
    </r>
    <r>
      <rPr>
        <sz val="11"/>
        <rFont val="Calibri"/>
        <family val="2"/>
      </rPr>
      <t>also which can take over from the secondary reserves within --------- minutes of the disturbance and</t>
    </r>
    <r>
      <rPr>
        <sz val="11"/>
        <rFont val="Times New Roman"/>
        <family val="1"/>
      </rPr>
      <t xml:space="preserve"> </t>
    </r>
    <r>
      <rPr>
        <sz val="11"/>
        <rFont val="Calibri"/>
        <family val="2"/>
      </rPr>
      <t>release these secondary reserves</t>
    </r>
  </si>
  <si>
    <t>ertiary reserves are generally</t>
  </si>
  <si>
    <t>spinning reserves</t>
  </si>
  <si>
    <t>non spinning reserves</t>
  </si>
  <si>
    <r>
      <t>The Working Group recommends planning for at least --------- MW gas based peaking power</t>
    </r>
    <r>
      <rPr>
        <sz val="11"/>
        <rFont val="Times New Roman"/>
        <family val="1"/>
      </rPr>
      <t xml:space="preserve"> </t>
    </r>
    <r>
      <rPr>
        <sz val="11"/>
        <rFont val="Calibri"/>
        <family val="2"/>
      </rPr>
      <t>plants during 12</t>
    </r>
    <r>
      <rPr>
        <sz val="7"/>
        <rFont val="Calibri"/>
        <family val="2"/>
      </rPr>
      <t xml:space="preserve">th </t>
    </r>
    <r>
      <rPr>
        <sz val="11"/>
        <rFont val="Calibri"/>
        <family val="2"/>
      </rPr>
      <t>Plan</t>
    </r>
  </si>
  <si>
    <r>
      <t>A per working group ------ MW each in ------ major metro cities of India with proper regulatory</t>
    </r>
    <r>
      <rPr>
        <sz val="11"/>
        <rFont val="Times New Roman"/>
        <family val="1"/>
      </rPr>
      <t xml:space="preserve"> </t>
    </r>
    <r>
      <rPr>
        <sz val="11"/>
        <rFont val="Calibri"/>
        <family val="2"/>
      </rPr>
      <t>support</t>
    </r>
  </si>
  <si>
    <t>400,5</t>
  </si>
  <si>
    <t>500,4</t>
  </si>
  <si>
    <t>1000,2</t>
  </si>
  <si>
    <t>2000,1</t>
  </si>
  <si>
    <t>A per working group ---------- plants which have a high efficiency must be promoted</t>
  </si>
  <si>
    <r>
      <t>Combined Heating and Cooling (</t>
    </r>
    <r>
      <rPr>
        <sz val="11"/>
        <color indexed="10"/>
        <rFont val="Calibri"/>
        <family val="2"/>
      </rPr>
      <t>CHP</t>
    </r>
    <r>
      <rPr>
        <sz val="11"/>
        <rFont val="Calibri"/>
        <family val="2"/>
      </rPr>
      <t xml:space="preserve">) </t>
    </r>
  </si>
  <si>
    <t>dieseal</t>
  </si>
  <si>
    <t>RLNG</t>
  </si>
  <si>
    <r>
      <t>Super Critical thermal units of 660 MW (steam parameters of 247 kg/cm</t>
    </r>
    <r>
      <rPr>
        <sz val="7"/>
        <rFont val="Calibri"/>
        <family val="2"/>
      </rPr>
      <t xml:space="preserve">2 </t>
    </r>
    <r>
      <rPr>
        <sz val="11"/>
        <rFont val="Calibri"/>
        <family val="2"/>
      </rPr>
      <t>and 535/565 deg</t>
    </r>
    <r>
      <rPr>
        <sz val="7"/>
        <rFont val="Calibri"/>
        <family val="2"/>
      </rPr>
      <t xml:space="preserve"> ) </t>
    </r>
    <r>
      <rPr>
        <sz val="11"/>
        <rFont val="Calibri"/>
        <family val="2"/>
      </rPr>
      <t>and 800</t>
    </r>
    <r>
      <rPr>
        <sz val="11"/>
        <rFont val="Times New Roman"/>
        <family val="1"/>
      </rPr>
      <t xml:space="preserve"> </t>
    </r>
    <r>
      <rPr>
        <sz val="11"/>
        <rFont val="Calibri"/>
        <family val="2"/>
      </rPr>
      <t>MW (Temp 565/593 deg</t>
    </r>
    <r>
      <rPr>
        <sz val="7"/>
        <rFont val="Calibri"/>
        <family val="2"/>
      </rPr>
      <t xml:space="preserve"> </t>
    </r>
    <r>
      <rPr>
        <sz val="11"/>
        <rFont val="Calibri"/>
        <family val="2"/>
      </rPr>
      <t>)   need to be promoted aggressively</t>
    </r>
  </si>
  <si>
    <r>
      <t>Policy Options could be considered for</t>
    </r>
    <r>
      <rPr>
        <sz val="11"/>
        <rFont val="Times New Roman"/>
        <family val="1"/>
      </rPr>
      <t xml:space="preserve"> </t>
    </r>
    <r>
      <rPr>
        <sz val="11"/>
        <rFont val="Calibri"/>
        <family val="2"/>
      </rPr>
      <t>making supercritical units mandatory beyond 12</t>
    </r>
    <r>
      <rPr>
        <sz val="7"/>
        <rFont val="Calibri"/>
        <family val="2"/>
      </rPr>
      <t xml:space="preserve">th </t>
    </r>
    <r>
      <rPr>
        <sz val="11"/>
        <rFont val="Calibri"/>
        <family val="2"/>
      </rPr>
      <t>Plan</t>
    </r>
  </si>
  <si>
    <t>Issue of advisory by MoP/CEA for the utilities to install supercritical units only</t>
  </si>
  <si>
    <r>
      <t>Suitable provisions to install supercritical units in the coal allocation policy for coal linkages</t>
    </r>
    <r>
      <rPr>
        <sz val="11"/>
        <rFont val="Times New Roman"/>
        <family val="1"/>
      </rPr>
      <t xml:space="preserve"> </t>
    </r>
    <r>
      <rPr>
        <sz val="11"/>
        <rFont val="Calibri"/>
        <family val="2"/>
      </rPr>
      <t>of 13th Plan projects</t>
    </r>
  </si>
  <si>
    <r>
      <t>Suitable  provision  in  the  CEA  Regulations  on  Technical  Standards  for  Construction  of</t>
    </r>
    <r>
      <rPr>
        <sz val="11"/>
        <rFont val="Times New Roman"/>
        <family val="1"/>
      </rPr>
      <t xml:space="preserve"> </t>
    </r>
    <r>
      <rPr>
        <sz val="11"/>
        <rFont val="Calibri"/>
        <family val="2"/>
      </rPr>
      <t>Electric Plants And Electric Lines 2010 making supercritical units mandatory.</t>
    </r>
  </si>
  <si>
    <r>
      <t>In the existing boilers maximum --% of blending of imported coal is</t>
    </r>
    <r>
      <rPr>
        <sz val="12"/>
        <rFont val="Times New Roman"/>
        <family val="1"/>
      </rPr>
      <t xml:space="preserve"> </t>
    </r>
    <r>
      <rPr>
        <sz val="12"/>
        <rFont val="Calibri"/>
        <family val="2"/>
      </rPr>
      <t>possible</t>
    </r>
  </si>
  <si>
    <r>
      <t>In the Optimistic scenario, the</t>
    </r>
    <r>
      <rPr>
        <sz val="11"/>
        <rFont val="Times New Roman"/>
        <family val="1"/>
      </rPr>
      <t xml:space="preserve"> </t>
    </r>
    <r>
      <rPr>
        <sz val="11"/>
        <rFont val="Calibri"/>
        <family val="2"/>
      </rPr>
      <t>coal required to be imported is about ---- MT</t>
    </r>
  </si>
  <si>
    <r>
      <t>Due to</t>
    </r>
    <r>
      <rPr>
        <sz val="11"/>
        <rFont val="Times New Roman"/>
        <family val="1"/>
      </rPr>
      <t xml:space="preserve"> </t>
    </r>
    <r>
      <rPr>
        <sz val="11"/>
        <rFont val="Calibri"/>
        <family val="2"/>
      </rPr>
      <t>reduced availability of gas from KG D6 field and also from APM sources, existing power plants</t>
    </r>
    <r>
      <rPr>
        <sz val="11"/>
        <rFont val="Times New Roman"/>
        <family val="1"/>
      </rPr>
      <t xml:space="preserve"> </t>
    </r>
    <r>
      <rPr>
        <sz val="11"/>
        <rFont val="Calibri"/>
        <family val="2"/>
      </rPr>
      <t>in the country are operating at low PLF</t>
    </r>
  </si>
  <si>
    <t>which activities are included in R &amp; M schemes</t>
  </si>
  <si>
    <t>aim at increasing the efficiency of the unit</t>
  </si>
  <si>
    <r>
      <t>improving its</t>
    </r>
    <r>
      <rPr>
        <sz val="11"/>
        <rFont val="Times New Roman"/>
        <family val="1"/>
      </rPr>
      <t xml:space="preserve"> </t>
    </r>
    <r>
      <rPr>
        <sz val="11"/>
        <rFont val="Calibri"/>
        <family val="2"/>
      </rPr>
      <t>availability &amp; renovating obsolete equipment</t>
    </r>
  </si>
  <si>
    <t>meeting of environmental norms</t>
  </si>
  <si>
    <r>
      <t>The Working Group recommends setting up of a Task Force under CERC to deliberate</t>
    </r>
    <r>
      <rPr>
        <sz val="11"/>
        <rFont val="Times New Roman"/>
        <family val="1"/>
      </rPr>
      <t xml:space="preserve"> </t>
    </r>
    <r>
      <rPr>
        <sz val="11"/>
        <rFont val="Calibri"/>
        <family val="2"/>
      </rPr>
      <t xml:space="preserve">upon the various aspects associated with </t>
    </r>
  </si>
  <si>
    <t>setting up of peaking plants</t>
  </si>
  <si>
    <r>
      <t>creation of</t>
    </r>
    <r>
      <rPr>
        <sz val="11"/>
        <rFont val="Times New Roman"/>
        <family val="1"/>
      </rPr>
      <t xml:space="preserve"> </t>
    </r>
    <r>
      <rPr>
        <sz val="11"/>
        <rFont val="Calibri"/>
        <family val="2"/>
      </rPr>
      <t>adequate system reserves</t>
    </r>
  </si>
  <si>
    <r>
      <t>The total inter-regional transmission capacity at the beginning of 11</t>
    </r>
    <r>
      <rPr>
        <sz val="7"/>
        <rFont val="Calibri"/>
        <family val="2"/>
      </rPr>
      <t xml:space="preserve">th </t>
    </r>
    <r>
      <rPr>
        <sz val="11"/>
        <rFont val="Calibri"/>
        <family val="2"/>
      </rPr>
      <t>Plan was ------ MW which is</t>
    </r>
    <r>
      <rPr>
        <sz val="11"/>
        <rFont val="Times New Roman"/>
        <family val="1"/>
      </rPr>
      <t xml:space="preserve"> </t>
    </r>
    <r>
      <rPr>
        <sz val="11"/>
        <rFont val="Calibri"/>
        <family val="2"/>
      </rPr>
      <t>now expected to grow to about ------ MW by the end of 11th Plan</t>
    </r>
  </si>
  <si>
    <t>14050,    25650</t>
  </si>
  <si>
    <t>15000,  27000</t>
  </si>
  <si>
    <t>17000,   29000</t>
  </si>
  <si>
    <t>19000,  31000</t>
  </si>
  <si>
    <r>
      <t>Till March 2011, CTU has received about ---- Long Term Open Access (LTA) applications for transfer</t>
    </r>
    <r>
      <rPr>
        <sz val="11"/>
        <rFont val="Times New Roman"/>
        <family val="1"/>
      </rPr>
      <t xml:space="preserve"> </t>
    </r>
    <r>
      <rPr>
        <sz val="11"/>
        <rFont val="Calibri"/>
        <family val="2"/>
      </rPr>
      <t>of power from their generation projects of capacity about ----- MW to various target regions</t>
    </r>
  </si>
  <si>
    <t>187, 177000</t>
  </si>
  <si>
    <t>185, 178000</t>
  </si>
  <si>
    <t>186, 179000</t>
  </si>
  <si>
    <t>190, 190000</t>
  </si>
  <si>
    <r>
      <t>The Inter-regional transmission capacity of all-India grid at the end of 12</t>
    </r>
    <r>
      <rPr>
        <sz val="7"/>
        <rFont val="Calibri"/>
        <family val="2"/>
      </rPr>
      <t xml:space="preserve">th </t>
    </r>
    <r>
      <rPr>
        <sz val="11"/>
        <rFont val="Calibri"/>
        <family val="2"/>
      </rPr>
      <t>Plan</t>
    </r>
  </si>
  <si>
    <t>63000 MW</t>
  </si>
  <si>
    <t>71000 MW</t>
  </si>
  <si>
    <t>76000 MW</t>
  </si>
  <si>
    <t>80000 MW</t>
  </si>
  <si>
    <r>
      <t>During 12</t>
    </r>
    <r>
      <rPr>
        <b/>
        <sz val="7"/>
        <rFont val="Calibri"/>
        <family val="2"/>
      </rPr>
      <t xml:space="preserve">th </t>
    </r>
    <r>
      <rPr>
        <sz val="11"/>
        <rFont val="Calibri"/>
        <family val="2"/>
      </rPr>
      <t>Plan period about -------- circuit kilometres (ckm) of transmission lines will get added</t>
    </r>
  </si>
  <si>
    <r>
      <t>During 12</t>
    </r>
    <r>
      <rPr>
        <b/>
        <sz val="7"/>
        <rFont val="Calibri"/>
        <family val="2"/>
      </rPr>
      <t xml:space="preserve">th </t>
    </r>
    <r>
      <rPr>
        <sz val="11"/>
        <rFont val="Calibri"/>
        <family val="2"/>
      </rPr>
      <t>Plan period about ---------- MVA of AC transformation capacity will get added</t>
    </r>
  </si>
  <si>
    <r>
      <t>During 12</t>
    </r>
    <r>
      <rPr>
        <b/>
        <sz val="7"/>
        <rFont val="Calibri"/>
        <family val="2"/>
      </rPr>
      <t xml:space="preserve">th </t>
    </r>
    <r>
      <rPr>
        <sz val="11"/>
        <rFont val="Calibri"/>
        <family val="2"/>
      </rPr>
      <t>Plan period about ----------  MW of HVDC systems are estimated to be added.</t>
    </r>
  </si>
  <si>
    <r>
      <t>The total fund requirement for development of transmission system in 12th plan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</si>
  <si>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central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</si>
  <si>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state sector is estimated to be of the order</t>
    </r>
    <r>
      <rPr>
        <sz val="11"/>
        <rFont val="Times New Roman"/>
        <family val="1"/>
      </rPr>
      <t xml:space="preserve"> </t>
    </r>
    <r>
      <rPr>
        <sz val="11"/>
        <rFont val="Calibri"/>
        <family val="2"/>
      </rPr>
      <t xml:space="preserve">of Rs ------ crore </t>
    </r>
  </si>
  <si>
    <r>
      <t>The total fund requirement for development of transmission system in 12th plan for private sector is estimated to be of the order</t>
    </r>
    <r>
      <rPr>
        <sz val="11"/>
        <rFont val="Times New Roman"/>
        <family val="1"/>
      </rPr>
      <t xml:space="preserve"> </t>
    </r>
    <r>
      <rPr>
        <sz val="11"/>
        <rFont val="Calibri"/>
        <family val="2"/>
      </rPr>
      <t xml:space="preserve">of Rs ------ crore </t>
    </r>
  </si>
  <si>
    <t>Transmission capacity addition in 13th plan ----------- ckt kms</t>
  </si>
  <si>
    <t>Sub station (Transformation) capacity addition in 13th plan      -------- MVA</t>
  </si>
  <si>
    <t>Funf requirement foraddition of  transmission and transformation capacity during 13th plan is ----------- crores</t>
  </si>
  <si>
    <t>Major challenges being faced in the transmission sector are as follows</t>
  </si>
  <si>
    <t>Right Of Way (ROW)</t>
  </si>
  <si>
    <t>Fexibility in Line Loading and Regulation of Power</t>
  </si>
  <si>
    <t>Improvement of Operational Efficiency</t>
  </si>
  <si>
    <t xml:space="preserve">GB Pradhan committee formed by MoP on </t>
  </si>
  <si>
    <t>An application for determination of tariff should be made available on website by the applicant from the date of publication for atleast</t>
  </si>
  <si>
    <t>2 weeks</t>
  </si>
  <si>
    <t>The applicant shall within 7 days after making an application for determination of tariff, publish a notice of his application in</t>
  </si>
  <si>
    <t>any leading daily English newspaper circulated in the State/Union territory where beneficiaries are situated</t>
  </si>
  <si>
    <t>atleast two daily newspapers, one in English language and one in verncular language having circulation in each State/Union territory where beneficiaries are situated</t>
  </si>
  <si>
    <t>atleast one English and one Hindi leading daily newspaper</t>
  </si>
  <si>
    <t>Publication on website is sufficient</t>
  </si>
  <si>
    <t>While making an application for determination of tariff to the commission, the following information is not required to be provided</t>
  </si>
  <si>
    <t>beneficiaries of generation system/transmission system</t>
  </si>
  <si>
    <t>Scheduled date of commercial operation</t>
  </si>
  <si>
    <t>Capital cost on the date of commercial operation</t>
  </si>
  <si>
    <t>All three are required</t>
  </si>
  <si>
    <t>CEA ( Technical Standard for connectivity to the Grid) Regulation  is</t>
  </si>
  <si>
    <t>Required by Sub-Section (2) of Section 177 of Electricity Act 2003</t>
  </si>
  <si>
    <t>Required by Sub-Section (1) of Section 177 of Electricity Act 2003</t>
  </si>
  <si>
    <t>Not required to be developed</t>
  </si>
  <si>
    <t>Requester Mean a person such as generator/ Captive  generating plant/transmission licensee ( excluding CTU, STU) or distribution licensee or Bulk consumer, who is seeking connectively of his new/ expanded electrical plant to the Grid at a voltage level of .....................kV and above</t>
  </si>
  <si>
    <t>33kV and above</t>
  </si>
  <si>
    <t>66kV and above</t>
  </si>
  <si>
    <t>132kV and above</t>
  </si>
  <si>
    <t>220kV and above</t>
  </si>
  <si>
    <t xml:space="preserve">The requester/ user shall provide necessary facilities for voice and data communication and transfer of on-line operational data format as prescribe by </t>
  </si>
  <si>
    <t>Appropriate Transmission Utilities</t>
  </si>
  <si>
    <t>Appropriate Load despatch centre</t>
  </si>
  <si>
    <t>The requester/user shall coorporate with the RPC and aapropriate RLDC in respect of the following matter</t>
  </si>
  <si>
    <t>Protection corordination and setting of its protective relay and  maintain the meter and communication system in good condition</t>
  </si>
  <si>
    <t>furnish data as required by appropriate Transmission Utilities / RLDC/RPC</t>
  </si>
  <si>
    <t>abide by the coordinated outage planning</t>
  </si>
  <si>
    <t>All a, b, c</t>
  </si>
  <si>
    <t>The connection agreement is a _______</t>
  </si>
  <si>
    <t>Appropritae Transmissioin Utilities</t>
  </si>
  <si>
    <t>Tripartite agreement betweenAppropritae Transmissioin Utility, Trasmission licensee and requester</t>
  </si>
  <si>
    <t>Any of the above as the case may be</t>
  </si>
  <si>
    <t xml:space="preserve">The connection agreement contain </t>
  </si>
  <si>
    <t>General technical condition</t>
  </si>
  <si>
    <t>Specific Technical condition</t>
  </si>
  <si>
    <t>Both A and  B</t>
  </si>
  <si>
    <t>Information in Site Resposibility Schedule(SRS)</t>
  </si>
  <si>
    <t>Schedule of electrical apparatus service and supplies</t>
  </si>
  <si>
    <t>Schedule of telecommunication and measurement appratus</t>
  </si>
  <si>
    <t>Safety rules to each plant and apparatus</t>
  </si>
  <si>
    <t xml:space="preserve"> Site Resposibility Schedule(SRS) is prepared by </t>
  </si>
  <si>
    <t>Generating company or licensee operating the electricity system to which connection is taking place</t>
  </si>
  <si>
    <t>Appropriate Transmission licensee</t>
  </si>
  <si>
    <t xml:space="preserve">User owning the electrical plant shall provide the reasonalable access to </t>
  </si>
  <si>
    <t>Licensee</t>
  </si>
  <si>
    <t xml:space="preserve">Site common drawing shall be prepared for each connection point by </t>
  </si>
  <si>
    <t>Generating company or licensee operating the electricity system to which connection is taking placeplace</t>
  </si>
  <si>
    <t>Meter shall be provided as specified in the CEA ( installation and Operation of Meters) Regulation 2006</t>
  </si>
  <si>
    <t xml:space="preserve"> i,ii,iii,iv, v</t>
  </si>
  <si>
    <t>I,iii,ii,ivv</t>
  </si>
  <si>
    <t>ii,iv,v, iii,i</t>
  </si>
  <si>
    <t>I,ii,iii,v,iv</t>
  </si>
  <si>
    <t xml:space="preserve">Protection coordination issues shall be finalized by </t>
  </si>
  <si>
    <t>Requested/ User</t>
  </si>
  <si>
    <t>Approritate transmissioin Licensee</t>
  </si>
  <si>
    <t>The protection manuals shall be develop by ………. Conforming the various standards for the reference and use of its personnel</t>
  </si>
  <si>
    <t xml:space="preserve">The user/ requester shall prepare the SLD  in respect of its system facility and make the same available to </t>
  </si>
  <si>
    <t>Appropriate Transmission Utilitiy or licensee</t>
  </si>
  <si>
    <t>The station shall be provide with disturbance recording and event logging facilities</t>
  </si>
  <si>
    <t xml:space="preserve">All 220kV and above </t>
  </si>
  <si>
    <t>400kV and above</t>
  </si>
  <si>
    <t>66 kv and above</t>
  </si>
  <si>
    <t>The Disturbance recoder and event logger facilities shall be provided with time synchronization facility</t>
  </si>
  <si>
    <t>The user shall complete all inspection and tests finalized in consulation with the ……………………... to which his equipment are connected</t>
  </si>
  <si>
    <t>Appropriate transmission Utilities or Licensee or Generating station to which its equipment is connect to</t>
  </si>
  <si>
    <t>Any new genrating unit of capacity ____shall have AVR (Automatic voltage regulator) with digital control</t>
  </si>
  <si>
    <t>100MW rating and above</t>
  </si>
  <si>
    <t>200MW rating and above</t>
  </si>
  <si>
    <t>50 MW rating and above</t>
  </si>
  <si>
    <t>10 MW rating and above</t>
  </si>
  <si>
    <t xml:space="preserve">PSS ( Power System Stabilizer ) is mandated for units of  </t>
  </si>
  <si>
    <t>The generator transformer winding shall have ….. connection on low voltage and …… connection on high voltage</t>
  </si>
  <si>
    <t>Delta, Star</t>
  </si>
  <si>
    <t>Star, delta</t>
  </si>
  <si>
    <t>Delta, delta</t>
  </si>
  <si>
    <t>Star, star</t>
  </si>
  <si>
    <t xml:space="preserve">The governor of thermal generating station shall have droop of </t>
  </si>
  <si>
    <t>3 to 6%</t>
  </si>
  <si>
    <t>0- 10 %</t>
  </si>
  <si>
    <t>3-8%</t>
  </si>
  <si>
    <t>5-10%</t>
  </si>
  <si>
    <t xml:space="preserve">The governor of Hydro generating station shall have droop of </t>
  </si>
  <si>
    <t>The voltage and current harmonics on the grid shall not exceed the limit specified in the IEEE standard___</t>
  </si>
  <si>
    <t xml:space="preserve">Generating Units located near the load centre shall be capable of operating at rated O/P PF varing between </t>
  </si>
  <si>
    <t>0.85 lagging(over-excited) to 0.95 leading(Under excited)</t>
  </si>
  <si>
    <t>0.95 lagging( over -excited) to 0.95 leading(Under excited)</t>
  </si>
  <si>
    <t>0.90 lagging( over -excited) to 0.95 leading(Under excited)</t>
  </si>
  <si>
    <t>0.9 lagging( over -excited) to 0.90 leading(Under excited)</t>
  </si>
  <si>
    <t xml:space="preserve">Generating Units commisioned before 01.01.2014 and located far from  the load centre shall be capable of operating at rated O/P PF varing between </t>
  </si>
  <si>
    <t>0.85 lagging( over -excited) to 0.95 leading(Under excited)</t>
  </si>
  <si>
    <t xml:space="preserve">All generating units commissioned  on or after 01.01.2014, shall be capable of operating at rated 
power factor varying between </t>
  </si>
  <si>
    <t>0.85 lagging (over-excited) to 0.95 leading (under-excited)</t>
  </si>
  <si>
    <t>The coal and Lignite based thermal generating units shall be capable of generating up to ….. % of Maximum continuous rating</t>
  </si>
  <si>
    <t>The Hydro generating units shall be capable of generating up to ….. % of Maximum continuous rating</t>
  </si>
  <si>
    <t>Hyro units having rated capacity of …..MW and above shall be capable of operation in synchronous condensor mode, wherever feasible</t>
  </si>
  <si>
    <t>5 MW</t>
  </si>
  <si>
    <t xml:space="preserve">The Bus Bar protection shall be provided on all the sub-station at </t>
  </si>
  <si>
    <t>220kV and Above</t>
  </si>
  <si>
    <t>66kV and Above</t>
  </si>
  <si>
    <t>For power supply to sub-station auxiliaries of 220kV and above the AC supply system must comprise of .......</t>
  </si>
  <si>
    <t>Two HT supplies from independent sources and one additional emergency supply from DG source of suitable capacity</t>
  </si>
  <si>
    <t>One HT supply and one DG set</t>
  </si>
  <si>
    <t>One HT supply</t>
  </si>
  <si>
    <t>Two Set of batteries</t>
  </si>
  <si>
    <t>For Power supply to Sub-Station auxiliaries of aboove 66kV and below 220KV, the AC supply must have</t>
  </si>
  <si>
    <t>Power supply to Sub-Station auxiliaries of 33kV and below 66KV, the  AC supply must have</t>
  </si>
  <si>
    <t>Power supply to Sub-Station auxiliaries of 132kV and above, the DC supply would comprise of …......</t>
  </si>
  <si>
    <t>Two set of batteries &amp; charger</t>
  </si>
  <si>
    <t xml:space="preserve">Power supply to Sub-Station auxiliaries of  below 132kV  , the DC supply would comprise of </t>
  </si>
  <si>
    <t>One set of batteries and charger</t>
  </si>
  <si>
    <t>The power factor of bulk consumer and distribution system shall not be less then</t>
  </si>
  <si>
    <t>The total harmonic distortion (THD) for  voltage at the connection point shall not exceed …..% with no individual harmoic higher then  ………%</t>
  </si>
  <si>
    <t>5%, 3%</t>
  </si>
  <si>
    <t>3%, 3%</t>
  </si>
  <si>
    <t>5%, 5%</t>
  </si>
  <si>
    <t>3%,5%</t>
  </si>
  <si>
    <t>The total harmoic distortion for current drawn from transmissioin stsrem at the connection point shall not exceed …….%</t>
  </si>
  <si>
    <t>The voltage Unbalance at 33kV and above shall not exceed ….%</t>
  </si>
  <si>
    <t>The equipment in overhead lines and cable shall comply with ------------------ (relevent) standards</t>
  </si>
  <si>
    <t>Indian Standard, British Standard</t>
  </si>
  <si>
    <t>International Electrotechnical commission (IEC)</t>
  </si>
  <si>
    <t>American Nationa Standards Institute (ANSI)</t>
  </si>
  <si>
    <t>Any of the above standard or any other equivalent international standard</t>
  </si>
  <si>
    <t>Sub station grounding shall be done according to the norms of</t>
  </si>
  <si>
    <t>IEEE-80</t>
  </si>
  <si>
    <t>Ground mat used for earthing in the Substation is connected to</t>
  </si>
  <si>
    <t>Energized metallic equipment</t>
  </si>
  <si>
    <t>All Non metallic stuctures/equipment</t>
  </si>
  <si>
    <t>All metallic stuctures and non energized metallic equipment</t>
  </si>
  <si>
    <t>Grounding mat shall limit the voltages and currents within safty limits for human and equipment adjacent to it under………condition</t>
  </si>
  <si>
    <t>Normal condition</t>
  </si>
  <si>
    <t>Fault condition</t>
  </si>
  <si>
    <t>Insulation coordination of the equipment and lines on both sides of a connection point belonging to requester and the grid shall be accomplished and the coordination shall be done by</t>
  </si>
  <si>
    <t>Requester</t>
  </si>
  <si>
    <t>Appropriate Transmission Utilty</t>
  </si>
  <si>
    <t>Approritate LDC</t>
  </si>
  <si>
    <t xml:space="preserve">Earth Fault Factor for an effectively earthed system is to be --------- </t>
  </si>
  <si>
    <t>1.4 or less</t>
  </si>
  <si>
    <t>greater than 1.4</t>
  </si>
  <si>
    <t>less than 2 but greater than 1.4</t>
  </si>
  <si>
    <t>greater than 2</t>
  </si>
  <si>
    <t>In case of Solar Photo voltaic generating station, each inverter along with associated modules will be reckoned 
as a separate generating unit</t>
  </si>
  <si>
    <t>STU shall inform CTU and CEA , within ……… of acceptance of application for connectivity of GENERATING station to electricity system operating at ….kV and above</t>
  </si>
  <si>
    <t>30 days, 110kV</t>
  </si>
  <si>
    <t>6 months , 220kV</t>
  </si>
  <si>
    <t xml:space="preserve">6 months , 110kV </t>
  </si>
  <si>
    <t>3 working days, 33 kV</t>
  </si>
  <si>
    <t>Short-Circuit Ratio (SCR) for generators shall be as per…</t>
  </si>
  <si>
    <t>IEC-34</t>
  </si>
  <si>
    <t>IEC-474</t>
  </si>
  <si>
    <t>IEC-56</t>
  </si>
  <si>
    <t>IEC-99</t>
  </si>
  <si>
    <t>Harmonic DC current injections from a wind generating station shall not exceed the  limits specified in</t>
  </si>
  <si>
    <t>IEC-475</t>
  </si>
  <si>
    <t>IS-47</t>
  </si>
  <si>
    <t xml:space="preserve"> Institute of 
Electrical and Electronics Engineers (IEEE) Standard 519</t>
  </si>
  <si>
    <t>The Wind Generating station shall not inject  DC current greater than….% of the  full  rated  output at the 
interconnection point.</t>
  </si>
  <si>
    <t>The wind generating station shall not introduce flicker beyond the limits specified in ………….Provided that the standards for flicker will come into effect from 1st April 2014</t>
  </si>
  <si>
    <t>IEC 61000</t>
  </si>
  <si>
    <t>IEC 62000</t>
  </si>
  <si>
    <t>IEC 63000</t>
  </si>
  <si>
    <t>IEC 64000</t>
  </si>
  <si>
    <t>Measurement of harmonic content, DC injection and flicker shall  be done at least ……</t>
  </si>
  <si>
    <t>Twice in a year</t>
  </si>
  <si>
    <t>Thrice in a year</t>
  </si>
  <si>
    <t>Once in a year</t>
  </si>
  <si>
    <t>On demand</t>
  </si>
  <si>
    <t>The Wind generating station shall be capable of supplying dynamically varying reactive power support so as to maintain power factor within the limits of………</t>
  </si>
  <si>
    <t xml:space="preserve"> 0.95 lagging to 0.95 leading</t>
  </si>
  <si>
    <t>Wind generating station connected at voltage level of 66 kV and above shall have facility to control active power injection in  accordance with a set point, which shall be capable of being revised based on the directions of the appropriate Load Despatch Centre</t>
  </si>
  <si>
    <t>As per Technical Standards for Connectivity of the Distributed Generation Resource,2013, The substation grounding of distributed generation shall comply</t>
  </si>
  <si>
    <t>IS 3043</t>
  </si>
  <si>
    <r>
      <t>"</t>
    </r>
    <r>
      <rPr>
        <b/>
        <sz val="10"/>
        <rFont val="Arial"/>
        <family val="2"/>
      </rPr>
      <t>distributed generation resource</t>
    </r>
    <r>
      <rPr>
        <sz val="11"/>
        <color theme="1"/>
        <rFont val="Calibri"/>
        <family val="2"/>
        <scheme val="minor"/>
      </rPr>
      <t>" means a generating station feeding electricity into the electricity 
system at voltage level of</t>
    </r>
  </si>
  <si>
    <t>below 11kV</t>
  </si>
  <si>
    <t>below 66kV</t>
  </si>
  <si>
    <t>33kv or below</t>
  </si>
  <si>
    <t>below 33kV</t>
  </si>
  <si>
    <t>Distributed generation resource operating in  parallel with electricity system shall disconnect if …………………..  or any narrower range that appropriate licensee prescribed</t>
  </si>
  <si>
    <t>voltage reaches above 110% or below 80% ,with a clearing time upto two  seconds</t>
  </si>
  <si>
    <t>voltage reaches above 120% or below 70% ,with a clearing time upto two  seconds</t>
  </si>
  <si>
    <t>voltage reaches above 140% or below 60% ,with a clearing time upto two  seconds</t>
  </si>
  <si>
    <t>if frequency reaches 50.5 Hz and below 
47.5 Hz with a clearing time upto 0.2 seconds</t>
  </si>
  <si>
    <t>if frequency reaches 50.4 Hz and below 
47.6 Hz with a clearing time upto 0.2 seconds</t>
  </si>
  <si>
    <t>if frequency reaches 50.2 Hz and below 
47.8 Hz with a clearing time upto 0.2 seconds</t>
  </si>
  <si>
    <t>if frequency reaches 50.6 Hz and below 
47.8 Hz with a clearing time upto 0.2 seconds</t>
  </si>
  <si>
    <t>Distributed generation resource shall cease to energise the circuit to which it is 
connected in case of any fault in this circuit</t>
  </si>
  <si>
    <t xml:space="preserve">Distributed generation resource shall cease to energise the electricity system 
within two seconds of the formation of an unintended Island. </t>
  </si>
  <si>
    <t>Parallelng-device of distributed generation resource shall be capable of withstanding 
………..% of the nominal voltage at the interconnection point</t>
  </si>
  <si>
    <t>Distributed generation resource shall not cause voltage fluctuation greater lhan …….% at the point of connection at the time of synchronization</t>
  </si>
  <si>
    <t>± 10%</t>
  </si>
  <si>
    <t>± 6%</t>
  </si>
  <si>
    <t>± 5%</t>
  </si>
  <si>
    <t>± 4%</t>
  </si>
  <si>
    <t>Name the Regulations that mandate accredition of Electric Plants and Electric lines as per IS-18001 which is similar to OHSAS certification</t>
  </si>
  <si>
    <t>CEA (Grid Standards), Regulations, 2010</t>
  </si>
  <si>
    <t>CEA (Technical Standards for Connectivity to the Grid), Regulations, 2007</t>
  </si>
  <si>
    <t>CERC (IEGC), Regulations</t>
  </si>
  <si>
    <t>CEA (Safety Requirements for Construction Operation and Maintenance of Electrical Plants and Electric Line) Regulations, 2011</t>
  </si>
  <si>
    <t>As per CEA Safety Standards, the owner shall obtain the IS 18001 certification for new installations within which time frame</t>
  </si>
  <si>
    <t>within one years from the date of commencement of construction</t>
  </si>
  <si>
    <t>within two years from the date of commencement of construction</t>
  </si>
  <si>
    <t>within five years of date of commencement of construction</t>
  </si>
  <si>
    <t>within two years after completion of construction</t>
  </si>
  <si>
    <t>In compliance to CEA safety standards, Owners are responsible for</t>
  </si>
  <si>
    <t>formulations of written statement of policy in respect of safety and health of employees</t>
  </si>
  <si>
    <t>establish procedures to identify hazards</t>
  </si>
  <si>
    <t>establish methodology of internal and external audit of safety</t>
  </si>
  <si>
    <t>As per CEA safety standards who is responsible for overseeing the safety performance of contractors</t>
  </si>
  <si>
    <t>Owner of the workplace</t>
  </si>
  <si>
    <t>Chief Executive</t>
  </si>
  <si>
    <t>Head of contracting Agency</t>
  </si>
  <si>
    <t>Appointment of One Safety Officer  is mandatory at which type of work place</t>
  </si>
  <si>
    <t>Total Employees including contract workers at Workplace is 100 - 250</t>
  </si>
  <si>
    <t>Total Employees including Contract worker at workplace exceeds 500</t>
  </si>
  <si>
    <t>Total Employees including Contract worker at workplace exceeds 250 but less than 500</t>
  </si>
  <si>
    <t>Safety Officer not required to be appointed unless total Employees at workplace exceeds 1000</t>
  </si>
  <si>
    <t>A person cannot be appointed as as Safety officer unless he is qualified under</t>
  </si>
  <si>
    <t>Section 40-B of Factories Act 1948 and rules made thereof</t>
  </si>
  <si>
    <t>Section 38 of the Building and Other Construction Workers (regulation of Employment and Service) Act 1996 and rules made thereof</t>
  </si>
  <si>
    <t>Either "Factories Act 1948" OR "Building and Other Construction Act 1996"</t>
  </si>
  <si>
    <t>"Factories Act 1948" as well as "Building and Other Construction Act 1996"</t>
  </si>
  <si>
    <t xml:space="preserve">As per the CEA safety standards who is mandated to be authorized to stop the execution of any work which in his judgement is unsafe </t>
  </si>
  <si>
    <t>Safety Officer</t>
  </si>
  <si>
    <t>Owner</t>
  </si>
  <si>
    <t>Contractor</t>
  </si>
  <si>
    <t>What is mandated for a workplace where number of employees including contract workers exceeds 250</t>
  </si>
  <si>
    <t>Safety committee shall be constituted</t>
  </si>
  <si>
    <t>A "qualified" safety officer shall be appointed</t>
  </si>
  <si>
    <t>Two suitable officers shall be designated as safety officer</t>
  </si>
  <si>
    <t>Either of these</t>
  </si>
  <si>
    <t>The Safety Committee formed  as per CEA Safety Standards, shall meet how many times in a year during Operation and Maintenance Stage of the electrical plants and electric lines</t>
  </si>
  <si>
    <t>Once every year</t>
  </si>
  <si>
    <t>Once every halfyear</t>
  </si>
  <si>
    <t>Once every month</t>
  </si>
  <si>
    <t>Once in three months</t>
  </si>
  <si>
    <t>What should be the composition of the Safety Committee during construction phase</t>
  </si>
  <si>
    <t>Equal number of representatives of the management and employees</t>
  </si>
  <si>
    <t>Equal number of representatives of the management and employees including representatives of the contractors and their employees</t>
  </si>
  <si>
    <t>Owner, Chief Executive, Safety Officer, Medical Officer and one representative of the employees</t>
  </si>
  <si>
    <t>Any of these</t>
  </si>
  <si>
    <t xml:space="preserve">Under which condition, it is compulsory to appoint two safety officers as well as constitute the Safety Committee </t>
  </si>
  <si>
    <t>Total Employees including contract workers exceeds 250</t>
  </si>
  <si>
    <t>Total Employees including contract workers at Workplace exceeds 500</t>
  </si>
  <si>
    <t>Total Employees including contract workers at Workplace exceeds 1000</t>
  </si>
  <si>
    <t>Total Employees including contract workers at Workplace exceeds 1500</t>
  </si>
  <si>
    <t>The standards allow the owner to appoint a safety committee for Group of electric plants or electric lines only under which conditions</t>
  </si>
  <si>
    <t>Where the number of employees including contract workers is 250 or less</t>
  </si>
  <si>
    <t>Where the number of employees including contract workers less than 500</t>
  </si>
  <si>
    <t>There must be a safety committee for each electric plant irrespective of the number of employees</t>
  </si>
  <si>
    <t>Where the number of employees including contract workers less than 1000</t>
  </si>
  <si>
    <t xml:space="preserve">As per the CEA Safety Standards, the Safety Officer shall report to </t>
  </si>
  <si>
    <t>Head of Occupational Health and Safety</t>
  </si>
  <si>
    <t>Deputy Chief Executive</t>
  </si>
  <si>
    <t>A contractor employing 200 employees or more, including contract workers shall have a…………………….to ensure safety requirements of the contract</t>
  </si>
  <si>
    <t>HR head</t>
  </si>
  <si>
    <t>Safety Coordinator</t>
  </si>
  <si>
    <t>Safety Committee</t>
  </si>
  <si>
    <t>What is mandated regarding reporting of accidents</t>
  </si>
  <si>
    <t>Contractor to submit a monthly statement to the owner at the end of each month</t>
  </si>
  <si>
    <t>Within 24 hours, CEA is to be informed of human casualty caused by accidents that may happen at thermal plant of 200 MW and above; Hydro Plant of 50 MW and above</t>
  </si>
  <si>
    <t>What is not considered as an accident as per CEA Safety Standards</t>
  </si>
  <si>
    <t>Collapse of Transmission tower</t>
  </si>
  <si>
    <t>Emission of hazardous chemicals</t>
  </si>
  <si>
    <t>Flooding of power station</t>
  </si>
  <si>
    <t>Leakage of pressure pipe</t>
  </si>
  <si>
    <t xml:space="preserve">On-site emergency plan is to be prepared by owner of electric plants and transmission lines </t>
  </si>
  <si>
    <t>Before commencement of construction</t>
  </si>
  <si>
    <t>Within 90 days of commencement of construction</t>
  </si>
  <si>
    <t>Within one month of the commencement of construction</t>
  </si>
  <si>
    <t xml:space="preserve">Within 10 days of commencement of construction </t>
  </si>
  <si>
    <t>Mock-drill is to be conducted at least……….</t>
  </si>
  <si>
    <t>Twice every Quarter</t>
  </si>
  <si>
    <t>Once every six months</t>
  </si>
  <si>
    <t>Once every quarter</t>
  </si>
  <si>
    <t>The Owner shall arrange to furnish to ……………..information pertaining to industrial activities under his control including likely impact of major accidents</t>
  </si>
  <si>
    <t>District Collector</t>
  </si>
  <si>
    <t>Chief Medical Officer of the nearest Government Hospital</t>
  </si>
  <si>
    <t>Local Police Station</t>
  </si>
  <si>
    <t>Local Fire Station</t>
  </si>
  <si>
    <t>Where number of employees including contract workers working at one premises are less than 50 or less</t>
  </si>
  <si>
    <t>minimum five persons shall be trained  in first-aid procedures</t>
  </si>
  <si>
    <t xml:space="preserve">a fully equipped first aid box shall be maintained </t>
  </si>
  <si>
    <t>services of a medical officer shall be arranged for periodic medical examination</t>
  </si>
  <si>
    <t>What is NOT essential if the number of employees including contract workers within a premises are between 150 to 200</t>
  </si>
  <si>
    <t>Occupational health centre</t>
  </si>
  <si>
    <t>Full-time Medical Officer</t>
  </si>
  <si>
    <t>Fully equipped First-aid box in every department</t>
  </si>
  <si>
    <t>One qualified dresser-cum compunder on duty throughout the working hours</t>
  </si>
  <si>
    <t xml:space="preserve">What is mandatory if the number of employees including contract workers within a premises is more than 200 </t>
  </si>
  <si>
    <t>One medical officer upto 500 workers and additional medical officer for every additional 1000 workers</t>
  </si>
  <si>
    <t>One medical officer upto 1000 workers</t>
  </si>
  <si>
    <t>One Trauma Centre</t>
  </si>
  <si>
    <t>At least five qualified dresser-cum compunders on duty throughout the working hours</t>
  </si>
  <si>
    <t>Medical checkup of employees is to be conducted at intervals not exceeding</t>
  </si>
  <si>
    <t>two years</t>
  </si>
  <si>
    <t>three years</t>
  </si>
  <si>
    <t>For employees exposed to dusty environment such as coal dust in thermal plants, test for respiratory disorder is mandatory once every…………</t>
  </si>
  <si>
    <t>year</t>
  </si>
  <si>
    <t>six years</t>
  </si>
  <si>
    <t>four months</t>
  </si>
  <si>
    <t>Duration of mandatory Safety awareness and training as per CEA regulations is</t>
  </si>
  <si>
    <t>10 hours per year per employee</t>
  </si>
  <si>
    <t>one week per year per employee</t>
  </si>
  <si>
    <t>one-day per year per employee</t>
  </si>
  <si>
    <t>What does not form a part of the Schedule annexed to the the CEA (Safety Requirements for Construction and Maintenance of Electric Plants and Electric Lines), Regulations 2011</t>
  </si>
  <si>
    <t>Minimum contents of safety manual for O&amp;M of electric plants and electric lines</t>
  </si>
  <si>
    <t>Minimum Contents of safety manual for construction of electrical plants and electric lines</t>
  </si>
  <si>
    <t>Elements of on-site emergency management plan for electric plants and electric lines</t>
  </si>
  <si>
    <t>Format for submission of report of mock drills conducted</t>
  </si>
  <si>
    <t>Base load operation means operation at maximum continuous rating or its fraction</t>
  </si>
  <si>
    <t>Cold start in relation to steam turbine means startup after a shutdown period exceeding ---hrs</t>
  </si>
  <si>
    <t>Hot start means start up after a shutdown period of less than</t>
  </si>
  <si>
    <t>The coal or lignite based thermal stations shall be designed to give life not less than…..years</t>
  </si>
  <si>
    <t>Noise level for turbine generators shall not exceed ……dBA</t>
  </si>
  <si>
    <t>The super critical unit shallbe designed for …….operation</t>
  </si>
  <si>
    <t>Constant pressure</t>
  </si>
  <si>
    <t>Sliding pressure</t>
  </si>
  <si>
    <t>a&amp;b</t>
  </si>
  <si>
    <t>Pulverised fuel combustion based steam generator shall not required oil support above …..unit load</t>
  </si>
  <si>
    <t>Power system stabilizer (PSS) shall be provided in AVR for generator of ……MW and higher rating</t>
  </si>
  <si>
    <t>Automatic bus transfer system to be provided for thermal power stations with unit size greater than</t>
  </si>
  <si>
    <t>All coal or lignite based units of size ….MW and above shall be provided with online efficiency monitoring and optimisation system to maximise the operational efficiency</t>
  </si>
  <si>
    <t>The gas turbine, steam turbine and all rotating auxillaries shall be suitable for continuous operation within the frequency range of 47.5Hz to 51.5 Hz</t>
  </si>
  <si>
    <t>While designing hydro-electric projects, the life of the civil works shall not be less than ……years</t>
  </si>
  <si>
    <t>The transformation capacity in MVA of any single 765 KV S/S shall not exceed</t>
  </si>
  <si>
    <t>Minimum load for continous operation (%) for Francis turbine</t>
  </si>
  <si>
    <t>Gas turbine based Stations and IC engine based Stations shall be designed for life not less than fifteen (15) years.</t>
  </si>
  <si>
    <t>The CERC Regulations "Grant of Regulatory Approval for execution of ISTS to CTU" does not apply to</t>
  </si>
  <si>
    <t>an ISTS scheme proposed by CTU for which generators have sought LTA as per CERC regulations 2009</t>
  </si>
  <si>
    <t>an ISTS scheme for system strenghtening identified by CTU to enable reliable, efficient, coordinated and economical flow of electricity</t>
  </si>
  <si>
    <t>an ISTS scheme for which beneficiaries have signed Bulk Power Transmission Agreement to share the transmission charges</t>
  </si>
  <si>
    <t>ISTS scheme for which Central Government authorised Solar Power park developer has sought LTA</t>
  </si>
  <si>
    <t>What is an ISTS Scheme?</t>
  </si>
  <si>
    <t>Any scheme for development of inter-State Transmission systems in consonance with the CERC.</t>
  </si>
  <si>
    <t>Any scheme for development of inter-State Transmission systems in consonance with the National Electricity Plan.</t>
  </si>
  <si>
    <t>Any Scheme for development of inter-state transmission system with consonance with CEA.</t>
  </si>
  <si>
    <t xml:space="preserve">What is Project Inception Report submitted to commission for approval of ISTS scheme? </t>
  </si>
  <si>
    <t>preliminary report prepared by STU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</si>
  <si>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CTU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</si>
  <si>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preliminary report prepared by a transmission licensee on ISTS covering the objective/justification of the Scheme, with cost-benefit analysis, scope of work, details of generation projects and their target beneficiaries or region in case of generation specific projects, time frame for commissioning of the projects, broad estimated cost based upon the unit rate derived from the latest awarded prices of similar transmission system elements, consent / outcome of consultation with the Users</t>
  </si>
  <si>
    <t>In how many days should CTU post the complete application along with annexures and enclosures on their website after submission to commission   for regulatory approval of ISTS?</t>
  </si>
  <si>
    <t>2 Weeks</t>
  </si>
  <si>
    <t>7 Days</t>
  </si>
  <si>
    <r>
      <t xml:space="preserve">Which of the following is </t>
    </r>
    <r>
      <rPr>
        <b/>
        <sz val="12"/>
        <rFont val="Arial"/>
        <family val="2"/>
      </rPr>
      <t>NOT</t>
    </r>
    <r>
      <rPr>
        <sz val="12"/>
        <rFont val="Arial"/>
        <family val="2"/>
      </rPr>
      <t xml:space="preserve"> the Evaluation Criteria for an ISTS Scheme under  Grant of Regulatory Approval for execution of Inter-State Transmission Scheme Regulations, 2010 ?</t>
    </r>
  </si>
  <si>
    <t xml:space="preserve">Need for the transmission scheme
a. Technical justification
b. Urgency
c. Prudence of the investment
</t>
  </si>
  <si>
    <t xml:space="preserve">Cost Assessment and possible phasing of implementation                                           </t>
  </si>
  <si>
    <t>Identified Generators and Beneficiaries of ISTS scheme</t>
  </si>
  <si>
    <t>Cost-benefit to the users of the proposed ISTS Scheme.</t>
  </si>
  <si>
    <t>The recovery of charges for approved ISTS scheme under Grant of Regulatory Approval for execution of Inter-State Transmission Scheme Regulations, 2010 shall</t>
  </si>
  <si>
    <t>be borne by the users and determined under terms and conditions of tariff specified by the Commission under Section 61 of the Act.</t>
  </si>
  <si>
    <t>be borne only by the beneficiaries of the ISTS scheme</t>
  </si>
  <si>
    <t>be based on mutual agreement between the transmission licensee and the user of the ISTS scheme</t>
  </si>
  <si>
    <t xml:space="preserve">As per CERC regulations on Rates, Charges and terms and conditions of intervening transmission facilities, the rates and charges specified based on contract path are for a standard distance of </t>
  </si>
  <si>
    <t>1km</t>
  </si>
  <si>
    <t>for the complete path</t>
  </si>
  <si>
    <t>An application by a licensee for use of intervening transmission facilities to the licensee owning the electric lines shall contain</t>
  </si>
  <si>
    <t>Name and location of the supplier</t>
  </si>
  <si>
    <t>Quantum of contracted power to be scheduled</t>
  </si>
  <si>
    <t>Point of injection and point of drawl</t>
  </si>
  <si>
    <t>In case of intervening transmission facilities, the reactive charges applicable shall be</t>
  </si>
  <si>
    <t>in ratio of the active power transfer</t>
  </si>
  <si>
    <t>fixed as per mutual agreement between the applicant and intervening transmission facility</t>
  </si>
  <si>
    <t>as per the Grid Code</t>
  </si>
  <si>
    <t>For use of intervening transmission facilities greater than one month, transmission charges would be billed</t>
  </si>
  <si>
    <t xml:space="preserve">prior to the month of schedule </t>
  </si>
  <si>
    <t>post facto on monthly basis at the end of the month</t>
  </si>
  <si>
    <t>prior to the month of schedule based on average power flow during the previous month</t>
  </si>
  <si>
    <t>post facto on quarterly basis at the end of the quarter</t>
  </si>
  <si>
    <t>In case of intervening transmission facilities, the line losses  to be used for 400kV, 220kV, 132kV &amp; 66kV  respectively for line length of every 50km as</t>
  </si>
  <si>
    <t>0.5%, 1%, 4.3% &amp; 8%</t>
  </si>
  <si>
    <t>8%, 4%, 2% &amp; 1%</t>
  </si>
  <si>
    <t>1%, 2%, 4% &amp; 8%</t>
  </si>
  <si>
    <t xml:space="preserve">Intervening transmission facilities means the electric lines owned and operated by </t>
  </si>
  <si>
    <t>transmission licensees</t>
  </si>
  <si>
    <t>transmission &amp; distribution licensees</t>
  </si>
  <si>
    <t>transmission, distribution and generation licensees</t>
  </si>
  <si>
    <t>transmission, distribution and trading licensees</t>
  </si>
  <si>
    <t xml:space="preserve">For long term access and medium term open access, the rates and charges for utilization of intervening transmission facilities are calculated as </t>
  </si>
  <si>
    <t>Rs/MW/yr</t>
  </si>
  <si>
    <t>Rs/MW/month</t>
  </si>
  <si>
    <t>Rs/unit</t>
  </si>
  <si>
    <t xml:space="preserve">For short term open access, the rates and charges for utilization of intervening transmission facilities are calculated in </t>
  </si>
  <si>
    <t>The sharing of transmission charges in case when ARR is already determined by CERC or SERC is in the ratio of</t>
  </si>
  <si>
    <t>Average power flow of the transaction/Peak capacity of power flow in MW</t>
  </si>
  <si>
    <t>Average power flow of the transaction/Actual peak power flow in MW</t>
  </si>
  <si>
    <t>Average power flow on the line/Peak power flow on the line</t>
  </si>
  <si>
    <t>If a transmission owner want to undertake the other business for optimum utilization of its assets, to whom he has to intimate?</t>
  </si>
  <si>
    <t>Transmission owner shall give prior intimation, in writing, to the Commission of its intention to undertake such other business</t>
  </si>
  <si>
    <t>Transmission owner shall give prior intimation, in writing, to the CEA of its intention to undertake such other business</t>
  </si>
  <si>
    <t>Transmission owner shall give prior intimation, in writing, to the Commission &amp; CEA of its intention to undertake such other business</t>
  </si>
  <si>
    <t>According to clause 3.2, of Sharing of revenue derived from utilization of transmission assets for other business, Regulations, 2007, which are things to be intimated to commission by a transmission owner?</t>
  </si>
  <si>
    <t>a. Cost of the assets utilized or proposed to be utilized and                                                  b. Impact, if any, of use of assets for other business on inter-State transmission of electricity.</t>
  </si>
  <si>
    <t>a. nature of other business
b. Capital investment in other business;
c. Revenue derived or estimated to be derived from other business
d. Assets utilized or proposed to be utilized for other business, such as    length of right of- way utilized or proposed to be utilised in case of telecommunication business.</t>
  </si>
  <si>
    <t>Both A &amp; B Correct</t>
  </si>
  <si>
    <t>Only B Correct</t>
  </si>
  <si>
    <t>According to clause 3.2, of Sharing of revenue derived from utilization of transmission assets for other business, Regulations, 2007,if a transmission owner is utilizing asset for telecommunication business, how many time he has to inform the details of business to commission?</t>
  </si>
  <si>
    <t>Half Yearly by 30th April and 31st October of each year</t>
  </si>
  <si>
    <t>Once in a year by 30th April</t>
  </si>
  <si>
    <t>Once in a year by 31th October</t>
  </si>
  <si>
    <t>According to clause 3.2, of Sharing of revenue derived from utilization of transmission assets for other business, Regulations, 2007,if a transmission owner is utilizing asset for any other purpose other than telecommunication business, how many time he has to inform the details of business to commission?</t>
  </si>
  <si>
    <t>Yearly by 30th April of each year only if there is a change in utilization of the assets</t>
  </si>
  <si>
    <t>Yearly by 31st October of each year even though there is no change in utilization of the assets</t>
  </si>
  <si>
    <t>Yearly by 30th April of each year even though there is no change in utilization of the assets</t>
  </si>
  <si>
    <t>Yearly by 31st October of each year only if there is a change in utilization of the assets</t>
  </si>
  <si>
    <t>If an optical fibre cable or optical fibre composite overhead ground wire having ‘m’ fibres has been installed on a transmission line, and ‘n’ fibres are meant to be used for telecommunication business (remaining fibres being used for ULDC scheme), how much amount shall be reimbursed to transmission business ?</t>
  </si>
  <si>
    <t>Rs.(m/n) x 3000 per Km to the transmission business for reduction of annual transmission charges.</t>
  </si>
  <si>
    <t>Rs.(m/n) x 1000 per Km to the transmission business for reduction of annual transmission charges.</t>
  </si>
  <si>
    <t>Rs.(n/m) x 3000 per Km to the transmission business for reduction of annual transmission charges.</t>
  </si>
  <si>
    <r>
      <t xml:space="preserve">The revenue sharable by the transmission owner in accordance with the regulation 'sharing of revenue derived from utilization of transmission assets for other buisness, 2007' , shall be utilised towards reduction of
transmission charges payable by the beneficiaries of the assets utilised for other business in proportion </t>
    </r>
    <r>
      <rPr>
        <b/>
        <sz val="12"/>
        <color indexed="8"/>
        <rFont val="Arial"/>
        <family val="2"/>
      </rPr>
      <t>to the transmission charges payable by them to the transmission owner</t>
    </r>
  </si>
  <si>
    <t xml:space="preserve">What is 'other buisness' as per regulation of 'sharing of revenue derived from utilization of transmission assets for other buisness, 2007' </t>
  </si>
  <si>
    <t>business other than the transmission business, carried out by the transmission owner for optimum utilisation of its assets</t>
  </si>
  <si>
    <t>transmission buisness</t>
  </si>
  <si>
    <t>The transmission owner shall maintain separate
books of accounts for each of the other business, and separately from those of the transmission business and submit copies of the balance sheet, profit and loss account for the period ending 31st March, the auditors reports and notes on accounts to the Commission annually on or before</t>
  </si>
  <si>
    <t>31st October of the year.</t>
  </si>
  <si>
    <t>31st March of the year</t>
  </si>
  <si>
    <t>30th September of the year</t>
  </si>
  <si>
    <t xml:space="preserve">For commence of supply more than 650 V, The permission is required from </t>
  </si>
  <si>
    <t>Electrical Inspector</t>
  </si>
  <si>
    <t>Manager</t>
  </si>
  <si>
    <t xml:space="preserve">When return is un-insulated, it shall be connected with </t>
  </si>
  <si>
    <t>negative</t>
  </si>
  <si>
    <t>neutral</t>
  </si>
  <si>
    <t>either (a) or (b)</t>
  </si>
  <si>
    <t>The potential between un-insulated return and metallic material should not exceed than</t>
  </si>
  <si>
    <t>1 V</t>
  </si>
  <si>
    <t>3V</t>
  </si>
  <si>
    <t>3 V</t>
  </si>
  <si>
    <t>4 V</t>
  </si>
  <si>
    <t xml:space="preserve">The potential  un-insulated return wrt earth under normal conditions should not exceed </t>
  </si>
  <si>
    <t>40 V</t>
  </si>
  <si>
    <t>45 V</t>
  </si>
  <si>
    <t>50 V</t>
  </si>
  <si>
    <t>55 V</t>
  </si>
  <si>
    <t xml:space="preserve">The potential  un-insulated return and insulated return under normal conditions should not exceed </t>
  </si>
  <si>
    <t>6 V</t>
  </si>
  <si>
    <t>7 V</t>
  </si>
  <si>
    <t>8V</t>
  </si>
  <si>
    <t>9 V</t>
  </si>
  <si>
    <t>If the lekage of current found to exceed than --- A per kilo meter single tramway track, then supply of electricity will be suspended if lekage is not stopped in next 24 hours</t>
  </si>
  <si>
    <t>Trolly wires shall be constructed in sections not exceeding           ---------- Kms</t>
  </si>
  <si>
    <t>The height of the traction feeder and trolly wire should not be less than ------ meters</t>
  </si>
  <si>
    <t>The owner shall maintain a record of max current, voltage, lekage, tests, abnormal occurrence.</t>
  </si>
  <si>
    <t>The persons responsible for implementation of this regulation is</t>
  </si>
  <si>
    <t>Owner, agent</t>
  </si>
  <si>
    <t>Engineer</t>
  </si>
  <si>
    <t>An Engineer in oil mines shall be refrred as</t>
  </si>
  <si>
    <t>Installation Manager</t>
  </si>
  <si>
    <t>Before installing new appratus in mine or oil field, a notice prior to ----- days should be given to the electrical inspector</t>
  </si>
  <si>
    <t>If alteration in appratus not exceeding 650 V required, then a notice prior to -----  should be given to the electrical inspector</t>
  </si>
  <si>
    <t>immediate</t>
  </si>
  <si>
    <t>2 days</t>
  </si>
  <si>
    <t>A full plan of mines including SWG, appratus positions, electrical wirings etc should be available at</t>
  </si>
  <si>
    <t>mines</t>
  </si>
  <si>
    <t>office</t>
  </si>
  <si>
    <t>liscensee (supplying electricity</t>
  </si>
  <si>
    <t xml:space="preserve">A plan of mines including SWG, appratus positions, electrical wirings etc should not be less than a scale of </t>
  </si>
  <si>
    <t>25cms  to 1 Km(1:4000)</t>
  </si>
  <si>
    <t>1 m to 1 Km (1:1000)</t>
  </si>
  <si>
    <t>both (b) &amp; ( C )</t>
  </si>
  <si>
    <t>The following should be available in every mines</t>
  </si>
  <si>
    <t>efficient comunication</t>
  </si>
  <si>
    <t>Fire safety equipemts</t>
  </si>
  <si>
    <t>In the mines where dumpers and trackless vehicles are present , height of the lowest conductor should not be less than</t>
  </si>
  <si>
    <t>11 m</t>
  </si>
  <si>
    <t>12 m</t>
  </si>
  <si>
    <t>13 m</t>
  </si>
  <si>
    <t>14 m</t>
  </si>
  <si>
    <t>Fault current should not exceed in under ground mines &amp; oil fields (operated between 250v to 1100v)----------- amps and in open cast mines(operated between 1100v to 11kv) ------ amps</t>
  </si>
  <si>
    <t>0.75 amp, 50 amps</t>
  </si>
  <si>
    <t>1 amp, 40 amp</t>
  </si>
  <si>
    <t>Electricity shall not be transmitted to mines more than --- kv and shall not be used therein at a voltage exceeding ---- kv</t>
  </si>
  <si>
    <t>11 KV, 6.6 KV</t>
  </si>
  <si>
    <t>33 KV, 11kv</t>
  </si>
  <si>
    <t>The flexible cable used for portable and transportable appratus, it shall not be used length exceeding</t>
  </si>
  <si>
    <t>90 meters</t>
  </si>
  <si>
    <t>100 meters</t>
  </si>
  <si>
    <t>110 meters</t>
  </si>
  <si>
    <t>120 meters</t>
  </si>
  <si>
    <t>Flexible cable shall not be used other than portable or transportable device</t>
  </si>
  <si>
    <t>Flexible cable used for portable or transportable apparatu shall be of</t>
  </si>
  <si>
    <t>single core</t>
  </si>
  <si>
    <t>two core</t>
  </si>
  <si>
    <t>multi core</t>
  </si>
  <si>
    <t>All appratus including portable and transportable appratus shall have the enclosures as per Indian standards 1. flame proof enclosure of type 'd', 2.  pressurized enclosure type 'p',    3. sand filled apparatus type 'q', 4. increased safety enclosure type 'e', 'n', 'o'.</t>
  </si>
  <si>
    <t>All safety lamps shall be enclosed in</t>
  </si>
  <si>
    <t>flameproof enclosure type 'd'</t>
  </si>
  <si>
    <t>pressurized enclosure type 'p'</t>
  </si>
  <si>
    <t xml:space="preserve"> increased safety enclosure type 'e'</t>
  </si>
  <si>
    <t>sand filled apparatus type 'q'</t>
  </si>
  <si>
    <t>In oil mine, the supply to the specific area should be cut off if concentration of inflamable gas exceeds  ---- % of its lowest explosive limit</t>
  </si>
  <si>
    <t>"Hazardous atmosphere" means an atmosphere containing any inflamable gases or vapours in a concentration capable of ignition</t>
  </si>
  <si>
    <t>"Zone 0 hardous area " means an area in which hazardous atmosphere is contineously present</t>
  </si>
  <si>
    <t>"Zone 1 hardous area " means an area in which hazardous atmosphere is likely to occur under normal operating conditions</t>
  </si>
  <si>
    <t>"Zone 2 hardous area " means an area in which hazardous atmosphere is likely to occur under abnormal operating conditions</t>
  </si>
  <si>
    <t>The voltage used in any circuit of signaling, the voltage should not exceed -------- V</t>
  </si>
  <si>
    <t xml:space="preserve">I the voltage of AC system exceed 30 V, then </t>
  </si>
  <si>
    <t>Neutral shall be earth</t>
  </si>
  <si>
    <t>Mid point shall be earthed</t>
  </si>
  <si>
    <t>Electrical supervisor and electrician can be appointed for more than 1 mine if it is small open cast or undergroun mines which is operating below 650 V</t>
  </si>
  <si>
    <t>All over head conductors shall have breaking strength of not less than….kg</t>
  </si>
  <si>
    <t>For voltage exceeding 33kV clearance above ground level for over head lines shall be</t>
  </si>
  <si>
    <t>6.3meter+0.3meter for every 33kV</t>
  </si>
  <si>
    <t>10.5meter+0.5meter for every 33kV</t>
  </si>
  <si>
    <t>2.3meter+0.7meter for every 33kV</t>
  </si>
  <si>
    <t>5.2meter+0.3meter for every 33kV</t>
  </si>
  <si>
    <t>For voltage exceeding 33kV vertical clearance above building  for over head lines shall be</t>
  </si>
  <si>
    <t>3.7 3meter+0.3meter for every 33kV</t>
  </si>
  <si>
    <t xml:space="preserve"> 5.6meter+0.5meter for every 33kV</t>
  </si>
  <si>
    <t>4.9meter+0.7meter for every 33kV</t>
  </si>
  <si>
    <t>For voltage exceeding 33kV Horizondal  clearance above buildingh  for over head lines shall be</t>
  </si>
  <si>
    <t xml:space="preserve"> 2.0meter+0.3meter for every 33kV</t>
  </si>
  <si>
    <t>No blasting for any purpose shall be done at a distance of -------M from boundarywall the S/S for 650V and above</t>
  </si>
  <si>
    <t>250meter</t>
  </si>
  <si>
    <t>300 meter</t>
  </si>
  <si>
    <t>525 meter</t>
  </si>
  <si>
    <t>100 meter</t>
  </si>
  <si>
    <t>No cutting of soil at a distance of   ------- m from a tower shall be done  132KV and above</t>
  </si>
  <si>
    <t>10 m</t>
  </si>
  <si>
    <t>25M</t>
  </si>
  <si>
    <t>30M</t>
  </si>
  <si>
    <t>Every over head telecom line errected on a supports Power carrying tower shall have conductor each having break strength of  not less than ----Kg</t>
  </si>
  <si>
    <t>Minimum clearance required in meters between two lines crossing each other for a 400kV line with other line having 11kV and up to 400kV</t>
  </si>
  <si>
    <t>Minimum clearance required in meters between two lines crossing each other for a 400kV line  &amp; 765kV</t>
  </si>
  <si>
    <t>Maximum  clearance required in meters between 400kV A/C lines &amp; 500kV DC</t>
  </si>
  <si>
    <t xml:space="preserve">Minimum under ground depth of ---meters shall be required for under ground cable of voltage 33kV and above </t>
  </si>
  <si>
    <t>Under CEA (Measures Relating to Safety &amp; Electricity Supply) GPS mapping of existing &amp; old plans &amp; sections has to be done within ------ years of the date of commencement of these regulations</t>
  </si>
  <si>
    <t>Hard copy of old palns must be converted to electronic form within _______years of commencement of these regulations</t>
  </si>
  <si>
    <t>In case of inconsistency of these Regulations of CEA with BIS practice &amp; code OR National Electrical code which one shall prevail</t>
  </si>
  <si>
    <t>BIS</t>
  </si>
  <si>
    <t>CEA (Measures relating to safety &amp; electricity supply-2010</t>
  </si>
  <si>
    <t>National Electrical code</t>
  </si>
  <si>
    <t>National Electricity Policy</t>
  </si>
  <si>
    <t>The material  &amp; apparatus used shall conform to ____ where such specifications have been laid dowm.</t>
  </si>
  <si>
    <t>Bureau of Indian Standards</t>
  </si>
  <si>
    <t>IEC (International Elctro-technical Commission)</t>
  </si>
  <si>
    <t xml:space="preserve">Either A or B </t>
  </si>
  <si>
    <t>Who specifies the MSL ( Mean Sea Level)</t>
  </si>
  <si>
    <t>Local Municipal Authorities</t>
  </si>
  <si>
    <t>At what level would all electrical equipments be installed under section 12(3) of CEA safety regulations 2010.</t>
  </si>
  <si>
    <t>At MSL</t>
  </si>
  <si>
    <t>Above MSL</t>
  </si>
  <si>
    <t>Below MSL</t>
  </si>
  <si>
    <t>under ground</t>
  </si>
  <si>
    <t>Who is responsible for safety of service lines within Consumer's premises</t>
  </si>
  <si>
    <t>Supplier</t>
  </si>
  <si>
    <t xml:space="preserve">Both </t>
  </si>
  <si>
    <t>Consumer is required to provide separate earthing system in addition to earthing arrangement of the supplier if voltage level of installation exceeds --------Volts</t>
  </si>
  <si>
    <t>Point of commencement of supply of electricity means-</t>
  </si>
  <si>
    <t>The point at the incoming terminal of the switch gear installed by the consumer</t>
  </si>
  <si>
    <t>The point at the outgoing terminal of the switch gear</t>
  </si>
  <si>
    <t>The highest point on supply tower</t>
  </si>
  <si>
    <t>the lowest point on the supply tower</t>
  </si>
  <si>
    <t>Danger notice plate comprising of a skull sign &amp; bones is mandatory for every electrical supply installation of --------volts &amp; above, as per ---------standards</t>
  </si>
  <si>
    <t>440, ISO 9001</t>
  </si>
  <si>
    <t>250, IS-2551</t>
  </si>
  <si>
    <t>220, ISO 9000</t>
  </si>
  <si>
    <t>110, OHSAS-18001</t>
  </si>
  <si>
    <t>The installation that must be provided danger sign as per IS-2551 includes</t>
  </si>
  <si>
    <t>Enery Motor, generator, transformer, electrical plant &amp; equipment along with regulating &amp; controlling apparatus</t>
  </si>
  <si>
    <t>Supports of OH lines of voltage exceeding 650 kV</t>
  </si>
  <si>
    <t>X ray &amp; similar high frequency installations of voltage range 650 kV-33 kV</t>
  </si>
  <si>
    <t>Safety precautions are specified in schedue________of the CEA Safety Regulations-2011</t>
  </si>
  <si>
    <t>I</t>
  </si>
  <si>
    <t>II</t>
  </si>
  <si>
    <t>III</t>
  </si>
  <si>
    <t>IV</t>
  </si>
  <si>
    <t>All non-current carrying metals parts must be properly earthed &amp; insulating mat conforming to-------------- standard shall be provided in front of panels for the safety of operating personnel</t>
  </si>
  <si>
    <t>IS-15652:2006</t>
  </si>
  <si>
    <t>IS-2551:2009</t>
  </si>
  <si>
    <t>ISO 9000</t>
  </si>
  <si>
    <t>ISO 9001</t>
  </si>
  <si>
    <r>
      <rPr>
        <u/>
        <sz val="11"/>
        <rFont val="Calibri"/>
        <family val="2"/>
      </rPr>
      <t xml:space="preserve">Cables should </t>
    </r>
    <r>
      <rPr>
        <b/>
        <u/>
        <sz val="11"/>
        <rFont val="Calibri"/>
        <family val="2"/>
      </rPr>
      <t xml:space="preserve">not </t>
    </r>
    <r>
      <rPr>
        <u/>
        <sz val="11"/>
        <rFont val="Calibri"/>
        <family val="2"/>
      </rPr>
      <t>be used for transportable apparatus or portable apparatus</t>
    </r>
    <r>
      <rPr>
        <sz val="11"/>
        <rFont val="Calibri"/>
        <family val="2"/>
      </rPr>
      <t xml:space="preserve"> like poerable motors, generators, transformers unless they are heavily insulated &amp; protected from mechanical injury.</t>
    </r>
  </si>
  <si>
    <t>When metallic covering is used for mechanical protection it must be______.</t>
  </si>
  <si>
    <t>Earthed</t>
  </si>
  <si>
    <t>stainless</t>
  </si>
  <si>
    <t xml:space="preserve">of platinum coating </t>
  </si>
  <si>
    <t>of aluminium</t>
  </si>
  <si>
    <t>Cable used for 1-ph supply shall be of ____core type &amp; that for 3 ph supply shall be of ___core type.</t>
  </si>
  <si>
    <t>1,2</t>
  </si>
  <si>
    <t>2,3</t>
  </si>
  <si>
    <t>3,4</t>
  </si>
  <si>
    <t>4,3</t>
  </si>
  <si>
    <t xml:space="preserve">Street box for electricity supply must not contain </t>
  </si>
  <si>
    <t>electric cables</t>
  </si>
  <si>
    <t>DTH cables</t>
  </si>
  <si>
    <t>Gas pipes</t>
  </si>
  <si>
    <t>all</t>
  </si>
  <si>
    <t>Fire extinguishers provided at enclosed substations, generating stations, must be tested _____in a year (atleast) &amp; the observations be recorded.</t>
  </si>
  <si>
    <t>once</t>
  </si>
  <si>
    <t>twice</t>
  </si>
  <si>
    <t>thrice</t>
  </si>
  <si>
    <t>four times</t>
  </si>
  <si>
    <t>At least _____persons trained in first aid shall be available during working hours at enclosed s/s &amp; generating stations.</t>
  </si>
  <si>
    <t>At least 2 gas masks must be kept in easily an accessible place at a generating station of capacity______MW &amp; above and an enclosed S/S with transformation capacity ______MVA &amp; above</t>
  </si>
  <si>
    <t>5,10</t>
  </si>
  <si>
    <t>5,5</t>
  </si>
  <si>
    <t>2,2</t>
  </si>
  <si>
    <t>If there are 2 generators of 5 M W capacity how many gas masks are required?</t>
  </si>
  <si>
    <t>at least 2</t>
  </si>
  <si>
    <t>at least 3</t>
  </si>
  <si>
    <t>at least 4</t>
  </si>
  <si>
    <t>Instruction for resuscitiation of persons suffering from electric  shock must be displayed as per sec-----------of Factory Act-1948</t>
  </si>
  <si>
    <t>Sec-2(m)</t>
  </si>
  <si>
    <t>Sec-142</t>
  </si>
  <si>
    <t>Sec-27</t>
  </si>
  <si>
    <t>Sec-178</t>
  </si>
  <si>
    <t>Artificial respirator shall be proved for each s/s of voltage exceeding ______Volts.</t>
  </si>
  <si>
    <t>If any electrical installation work has been carried out in contravention to CEA safety regulations 2010 it woud --------be allowed to be energised.</t>
  </si>
  <si>
    <t>NOT</t>
  </si>
  <si>
    <t xml:space="preserve">definitely </t>
  </si>
  <si>
    <t>subsequently</t>
  </si>
  <si>
    <t>provisionally</t>
  </si>
  <si>
    <t>Installation already connected to the supply system shall be periodically checked every------years by Electrical Inspector.</t>
  </si>
  <si>
    <t>If an Electrical Inspector points out some defects under Safety Regulations ofCEA &amp; the owner of the installation fails to comply the time line in rectifying those defects, the installation is liable to be disconnected with a notice of __________hrs;</t>
  </si>
  <si>
    <t>Record of test results shall be maintaoined by the supplier as per schedule---------of CEA Regulations-2010.</t>
  </si>
  <si>
    <t>V</t>
  </si>
  <si>
    <t>VI</t>
  </si>
  <si>
    <t>Minimum Insulation Resistance value of any electrical installation of less than 650 kV as per CEA regulations is_______&amp; it can be tested by application of 500V DC between live conductor &amp; earth.</t>
  </si>
  <si>
    <t>2 Mega Ohm</t>
  </si>
  <si>
    <t>20 Mega Ohm</t>
  </si>
  <si>
    <t>5 Mega Ohm</t>
  </si>
  <si>
    <t>1 Mega Ohm</t>
  </si>
  <si>
    <t>For 650V-33 kV range installations minimum IR (Insulation Resistance) value=______</t>
  </si>
  <si>
    <t>5Mega Ohm</t>
  </si>
  <si>
    <t>50 Mega Ohm</t>
  </si>
  <si>
    <t>The voltage of AC system exceed 30V, the neutral or mid point shall be earthed by  connection to an earthing system as per ……..</t>
  </si>
  <si>
    <t>Regulation 99</t>
  </si>
  <si>
    <t>Regulation 29</t>
  </si>
  <si>
    <t>Regulation 13</t>
  </si>
  <si>
    <t>Regulation 10</t>
  </si>
  <si>
    <t>The electrician shall be aperson holding license under sub-regulation (1) of….</t>
  </si>
  <si>
    <t>Regulation 14</t>
  </si>
  <si>
    <t>Regulation 12</t>
  </si>
  <si>
    <t>The minimum duration of training program for engineers …….&amp; technician……….in thermal power plant  "common mechenical, electrical and instrumentation course" for coal based plant…..</t>
  </si>
  <si>
    <t>5week,4week</t>
  </si>
  <si>
    <t>2 week, 3 week</t>
  </si>
  <si>
    <t>6 week, 5week</t>
  </si>
  <si>
    <t>3-week, 2 week</t>
  </si>
  <si>
    <t>The minimum duration of training program for engineers……….&amp; technician………. in thermal power plant  "common mechenical, electrical and instrumentation course" for gas based plant…..</t>
  </si>
  <si>
    <t>4 &amp; half week,4week</t>
  </si>
  <si>
    <t>The minimum duration of training program for engineers……….&amp; technician………. in thermal power plant  "common mechenical, electrical and instrumentation course" for diesel based…..</t>
  </si>
  <si>
    <t>4 week, 5week</t>
  </si>
  <si>
    <t xml:space="preserve">The minimum duration of training program for engineers &amp; supervisor in Hydro power plant  "common mechenical, electrical and instrumentation course" </t>
  </si>
  <si>
    <t>6 week</t>
  </si>
  <si>
    <t xml:space="preserve">The minimum duration of training program for technician in Hydro power plant  "common mechenical, electrical and instrumentation course" </t>
  </si>
  <si>
    <t>3 week</t>
  </si>
  <si>
    <t>Who are engaged in operation and maintenance of substation associated with the generating station shall be given a training duration of not less than…</t>
  </si>
  <si>
    <t>2&amp;half month for engineer &amp; supervisor and 1&amp; half month for technician</t>
  </si>
  <si>
    <t>As envisaged under which section of electricity Act-2003 , all SERCs/JERCs should specify through a regulation the roadmap for reduction of cross-subsidy between different consumer categories</t>
  </si>
  <si>
    <t xml:space="preserve">Sec. 61(g) </t>
  </si>
  <si>
    <t>sec.142</t>
  </si>
  <si>
    <t>Sec-27(b)</t>
  </si>
  <si>
    <t>Sec-39(a)</t>
  </si>
  <si>
    <t>Under which section of electricity Act-2003 to grant a distribution licences.</t>
  </si>
  <si>
    <t>sec-20</t>
  </si>
  <si>
    <t>sec-35</t>
  </si>
  <si>
    <t>sec-29</t>
  </si>
  <si>
    <t xml:space="preserve">Regulatory Commissions (ERCs) could consider initiating investigation under which section of Electricity Act-2003 to
investigate on any action with respect to procurement and/ or disposal of power by State Government </t>
  </si>
  <si>
    <t>Section 128</t>
  </si>
  <si>
    <t>All Generators who set up Power plants may be encouraged to set up corresponding renewable source power generation through suitable incentives by….</t>
  </si>
  <si>
    <t xml:space="preserve"> MNRE</t>
  </si>
  <si>
    <t>For the procurement of renewable power individual demands of more than one distribution licensees/ States may be pooled at the regional level and procured through competitive bidding route under….</t>
  </si>
  <si>
    <t>Section 63 (A) of EA 2003/ National Tariff Policy</t>
  </si>
  <si>
    <t>The supply of electricity to every electrical installation other than voltage not exceeding 250 V,  below 2 kW and those installations of voltage not exceeding 250V, which do not attract provisions of section 54 of the Act, shall be controlled by an earth leakage protective device whose maximum earth leakage threshold for tripping should not exceed ..........milliamps for domestic connections and ............ milliamps for all other installations, so as to disconnect the supply instantly on the occurance of earth fault or leakage of current.</t>
  </si>
  <si>
    <t>10 Milliamps, 50 Milliamos</t>
  </si>
  <si>
    <t>20 Milliamps, 50 Milliamos</t>
  </si>
  <si>
    <t>30 Milliamps, 100 Milliamos</t>
  </si>
  <si>
    <t>10 Milliamps, 150 Milliamos</t>
  </si>
  <si>
    <t xml:space="preserve">Provided where dumper bucket in raised position, the clearance between the top of dumper body and to the lowest conductor
of overhead lines or overhead cables shall not be less than …………. mtr.
</t>
  </si>
  <si>
    <t>2.00 mtr</t>
  </si>
  <si>
    <t>1.00 mtr</t>
  </si>
  <si>
    <t>3.00 mtr</t>
  </si>
  <si>
    <t>4.00 mtr</t>
  </si>
  <si>
    <t xml:space="preserve">where hand-held portable apparatus is used, the voltage shall not exceed ……….V;
</t>
  </si>
  <si>
    <t>100V</t>
  </si>
  <si>
    <t>200V</t>
  </si>
  <si>
    <t>125 V</t>
  </si>
  <si>
    <t>400V</t>
  </si>
  <si>
    <t xml:space="preserve">where any circuit is used for the remote control or electric inter-locking of apparatus, the circuit voltage shall not exceed ……….V for below ground mine or hazardous area of oil fields. </t>
  </si>
  <si>
    <t>10V</t>
  </si>
  <si>
    <t>30 V</t>
  </si>
  <si>
    <t>50V</t>
  </si>
  <si>
    <t>70V</t>
  </si>
  <si>
    <t xml:space="preserve">Higher clearance due to predominantly high electrostatic field (ICNIRP limit: ……….. kV/m in RoW) at voltage exceeding 400 kV </t>
  </si>
  <si>
    <t>10 kV/m</t>
  </si>
  <si>
    <t>30 kV/m</t>
  </si>
  <si>
    <t>20 kV/m</t>
  </si>
  <si>
    <t>40 kV/m</t>
  </si>
  <si>
    <t>supervision charge to the extent of fifteen per cent of the wages mentioned in clause (b) and charges incurred by the owner or supplier or consumer in complying with the provisions of section 67 of the Act, in
respect of such alterations</t>
  </si>
  <si>
    <t>Regulation 63, in sub-regulation (4), for clause (c),</t>
  </si>
  <si>
    <t>Regulation 43</t>
  </si>
  <si>
    <t>Regulation 30</t>
  </si>
  <si>
    <t>Accelerated Power Development and Reforms Programme (APDRP) was launched in …...?</t>
  </si>
  <si>
    <t>2002-03</t>
  </si>
  <si>
    <t>2004-05</t>
  </si>
  <si>
    <t>2006-07</t>
  </si>
  <si>
    <t>2005-06</t>
  </si>
  <si>
    <t>A Panel chaired by former Comptroller and Auditor General ……………. has been formed to look into the financial health of power distribution companies and to suggest ways to improve the financial condition.</t>
  </si>
  <si>
    <t xml:space="preserve">Sh. V. K
Shunglu </t>
  </si>
  <si>
    <t xml:space="preserve"> Rakesh Nath</t>
  </si>
  <si>
    <t>G B Pradhan</t>
  </si>
  <si>
    <t>Empowering Regulatory Commissions for suo moto revision of tariff to consumers under……</t>
  </si>
  <si>
    <t>Section 64 of
Electricity Act 2003</t>
  </si>
  <si>
    <t>Sec-62</t>
  </si>
  <si>
    <t>‘Independent Monitoring Group’ (IMG) for oversight on important programs / schemes such as……..</t>
  </si>
  <si>
    <t>RGGVY</t>
  </si>
  <si>
    <t>NEF</t>
  </si>
  <si>
    <t>R-APDRP</t>
  </si>
  <si>
    <t>‘Independent Monitoring Group’ (IMG) will consist of officials as well as independent experts and will review progress of
policies/ programs / schemes periodically, say,…?</t>
  </si>
  <si>
    <t>every six months</t>
  </si>
  <si>
    <t>5 month</t>
  </si>
  <si>
    <t>12 months</t>
  </si>
  <si>
    <t>Spinning reserves need to be facilitated for …….at the regional level to accommodate
the infirm renewable energy injection into the grid.</t>
  </si>
  <si>
    <t>grid stability</t>
  </si>
  <si>
    <t>MOD</t>
  </si>
  <si>
    <t>economy</t>
  </si>
  <si>
    <t>Suitable incentive for low cost transmission system linking the renewable energy generation
sources, development of Smart Grid for evacuation and transmission of renewable power creation of Spinning Reserves managed by the Regional Load Dispatch Centre may be done through......</t>
  </si>
  <si>
    <t>National Clean Energy Fund</t>
  </si>
  <si>
    <t>LCDD fund</t>
  </si>
  <si>
    <t>Accelerate the Implementation of ISO 50001 to promote…………..  in Industries and facilities</t>
  </si>
  <si>
    <t>benchmarking of Energy Management
system</t>
  </si>
  <si>
    <t>WAMS</t>
  </si>
  <si>
    <t>Both of the above</t>
  </si>
  <si>
    <t>National Perspective Plan (NPP) to initiate by…….during the 11th plan periode.</t>
  </si>
  <si>
    <t>MoP in R&amp;D</t>
  </si>
  <si>
    <t>Government of India, in……. launched RGGVY</t>
  </si>
  <si>
    <t>Accelerated Power Development and Reforms Programme (APDRP) was launched in 2002-03 as an Additional Central Assistance (ACA) to finance the modernization of sub-transmission &amp; distribution networks with the main objectives to reduce AT&amp;C losses up to…..</t>
  </si>
  <si>
    <t>Transmission Planning (Planning, Coordination and Development of Economic and Efficient Inter-State Transmission System by Central Transmission Utility and other related matters) Regulations, 2018 Applicable to-</t>
  </si>
  <si>
    <t>CTU, STU, Generating Companies, Transmission Licensee, Distribution Licensee</t>
  </si>
  <si>
    <t>NLDC/RLDCs/SLDCs</t>
  </si>
  <si>
    <t>As per transmission planning regulations-2018, CTU is responsible for</t>
  </si>
  <si>
    <t>Shall be responsbile for prepration basecase and undertake the system studies for development of transmission system.</t>
  </si>
  <si>
    <t>shall ensure proper coordination with various agencies such as CEA, transmission licensees, distribution licensees, Generating Companies, STUs, RLDCs and SLDCs involved in the planning process.</t>
  </si>
  <si>
    <t>As per transmission planning regulations-2018, NLDC/RLDCs are responsible for</t>
  </si>
  <si>
    <t>providing periodic operational statistics and feedback to Central Transmission Utility along with supporting analysis and details</t>
  </si>
  <si>
    <t>providing periodic operational statistics and feedback to CEA along with supporting analysis and details</t>
  </si>
  <si>
    <t>providing periodic operational statistics and feedback to CERC along with supporting analysis and details</t>
  </si>
  <si>
    <t>RPCs shall monitor implementation of
matching intra-state system on ________ basis.</t>
  </si>
  <si>
    <t>Monthy</t>
  </si>
  <si>
    <t>The Central Transmission Utility shall, while planning to augment ISTS in the form of expansion or upgradation shall consider</t>
  </si>
  <si>
    <t>New and emerging technologies, Cost benefit analysis</t>
  </si>
  <si>
    <t>RPO &amp; Renewable capacity addtion</t>
  </si>
  <si>
    <t>Optimal utilization of resources to ensure an efficient and economical system with due consideration to power market, cross border interconnection or any other policy initiatives of Government of India</t>
  </si>
  <si>
    <t>Central Transmission Utility may have consultations, with regard to renewable energy potential and its capacity addition in advance with-</t>
  </si>
  <si>
    <t>With MNRE, GoI or its authorized agencies</t>
  </si>
  <si>
    <t>Departments responsible for renewable energy development of the State Governments,</t>
  </si>
  <si>
    <t>Renewable Energy Geneators</t>
  </si>
  <si>
    <t>Central Transmission Utility shall review and carry out transmission planning exercise at least</t>
  </si>
  <si>
    <t>once a year</t>
  </si>
  <si>
    <t>twice a year</t>
  </si>
  <si>
    <t>While CTU in Process of Transmission Planning and In case, the required input is not made available by STU / distribution licensee then CTU shall approach to _________ for required input.</t>
  </si>
  <si>
    <t xml:space="preserve">CEA </t>
  </si>
  <si>
    <t>CTU shall carry out the system studies for transmission system -</t>
  </si>
  <si>
    <t>Only Peak demand secnario</t>
  </si>
  <si>
    <t>Only Peak generation secnario</t>
  </si>
  <si>
    <t>various probabilistic scenarios which includes generation and load scenarios during peak, off-peak and other than peak/ off-peak hours for different seasons considering low, moderate and high renewable capacity addition etc.</t>
  </si>
  <si>
    <t>While planning the transmission system, following shall be considered-</t>
  </si>
  <si>
    <t>upgrading the existing ISTS in place of building new transmission lines by means of increasing capacity of exsisting lines by reconductoring, compensation etc and optimally utilizing the exsisting resources</t>
  </si>
  <si>
    <t>Based on progress of implementation of generating stations and upstream/
downstream systems, mid-course correction for transmission system to the extent possible should be made</t>
  </si>
  <si>
    <t>After finalization of the transmission scheme by CTU, the base case prepared as per sub-Regulation (2) and system studies carried out as per sub-Regulation (3) above along with underlying assumptions, methodology and planning criteria shall be placed before the concerned ________________________________</t>
  </si>
  <si>
    <t xml:space="preserve">On receipt of transmission scheme proposal from CTU, the RPC(s) shall consider and convey its recommendations to CTU within __________ of receipt of such proposal.
</t>
  </si>
  <si>
    <t>two weeks</t>
  </si>
  <si>
    <t>three month</t>
  </si>
  <si>
    <t>If a generator/ distribution licensee does not respond within 45 days in the proposal of tranmsission system planned by CTU then</t>
  </si>
  <si>
    <t>it shall be consided that consultation with that generator or distribution licensee is complete and CTU shall proceed further</t>
  </si>
  <si>
    <t xml:space="preserve">it shall be consided that consultation with that generator or distribution licensee is incomplete and CTU shall wait for comments </t>
  </si>
  <si>
    <t>CTU shall drop above tranmission system proposal</t>
  </si>
  <si>
    <t>The Central Transmission Utility shall publish the following on its website and update it on___________basis-
(a) Detailed justification for the scheme along with details of the complete
scheme;
(b) Results of System studies;
(c) Assumptions made in system studies and inputs received from stakeholders;
(d) Comments/ suggestions of stakeholders along with its treatment;
(e) Likely capital costs and estimated monthly tariff; and
(f) Status of upstream/ downstream system.</t>
  </si>
  <si>
    <t>At the time of filing application before the Commission for grant of regulatory approval, the CTU shall submit the following:</t>
  </si>
  <si>
    <t>Recommendations on the scheme by the concerned RPC(s) &amp; Results of the system studies carried out by CTU;</t>
  </si>
  <si>
    <t>Assumptions and Inputs considered in system studies</t>
  </si>
  <si>
    <t>Status of upstream/ downstream transmission system and Status of consultation with the stakeholders along with Comments/
suggestions of stakeholders and its treatment</t>
  </si>
  <si>
    <t>The transmission licensee shall submit a certificate of CTU specifying the following along with the application for determination of tariff in accordance with relevant provisions of tariff regulations in vogue</t>
  </si>
  <si>
    <t xml:space="preserve">The scheme is implemented as per the terms and conditions of the license and regulatory approval granted or both, as the case may be; </t>
  </si>
  <si>
    <t>The scheme has achieved/ likely to achieve its desired objectives as per system studies made; downstream systems.</t>
  </si>
  <si>
    <t xml:space="preserve">Information with respect to status of implementation of upstream/ </t>
  </si>
  <si>
    <t>CTU shall furnish to the Commission status of on-going schemes and status of approval of proposed schemes on ____________ basis</t>
  </si>
  <si>
    <t xml:space="preserve">Every affidavit shall clearly contain </t>
  </si>
  <si>
    <t>Knowledge of the deponent</t>
  </si>
  <si>
    <t>information received by the deponent</t>
  </si>
  <si>
    <t>belief of the deponent</t>
  </si>
  <si>
    <t>all three</t>
  </si>
  <si>
    <t xml:space="preserve">If petition is dismissed in default or decided ex-parte , the person aggrieved may file an application in how many days </t>
  </si>
  <si>
    <t>Tariff for Inter-state transmission of energy approved by</t>
  </si>
  <si>
    <t>The Secretariat shall inform any defects or information required for tariff determination which is to be informed to petitioner within --- days of receipt of petition.</t>
  </si>
  <si>
    <t>The petitioner shall rectify the defects and submit the additional information within ---- days of receipt from Secretariat</t>
  </si>
  <si>
    <t>Any utility found to be charging a tariff deferrent from approved shall be liable to penalities under Section - of Act</t>
  </si>
  <si>
    <t>The members shall be appointed for a minimum of - by commission</t>
  </si>
  <si>
    <t>The principal officer of the commission is the __</t>
  </si>
  <si>
    <t>Chairerson</t>
  </si>
  <si>
    <t>Secretariat</t>
  </si>
  <si>
    <t>member</t>
  </si>
  <si>
    <t>non of the above</t>
  </si>
  <si>
    <t>All petitions shall be filed with how many copies</t>
  </si>
  <si>
    <t>If the petitions are not disposed of within ____months, the Commission shall record the reasons for the time taken for disposal.</t>
  </si>
  <si>
    <t>A review petition need to be filed within ____ days before CERC</t>
  </si>
  <si>
    <t>The Review applications shall be disposed by the CERC of within ___days from the date of hearing if the review is not admitted and within a period of _____ months from the date of admission if the application is admitted</t>
  </si>
  <si>
    <t>20/2</t>
  </si>
  <si>
    <t>15/2</t>
  </si>
  <si>
    <t>10/2</t>
  </si>
  <si>
    <t>30/2</t>
  </si>
  <si>
    <t>On rectification of the defects or providing additional information by the petitioner, the petition shall be processed by the Secretariat for hearing by the Commission, as far as possible, within ------ days thereo</t>
  </si>
  <si>
    <t>Term "Administrator" w.r.t (Terms and Conditions for Dealing in Energy Savings Certificates Regulation 2016) reflects to</t>
  </si>
  <si>
    <t>BEE</t>
  </si>
  <si>
    <t>"Registry" in reference to the (Terms and Conditions for Dealing in Energy Savings Certificates Regulation 2016) means</t>
  </si>
  <si>
    <t>Functions of 'Registry'</t>
  </si>
  <si>
    <t>Registeration of eligible entity</t>
  </si>
  <si>
    <t xml:space="preserve">Maintaining records of Escerts </t>
  </si>
  <si>
    <t>Dissemination of information &amp; assisting development of IT platform</t>
  </si>
  <si>
    <t>Functions of 'Administrator'</t>
  </si>
  <si>
    <t xml:space="preserve">Defining detailed procedures on interface activities, registration of eligible entities, and dealing, transfer  </t>
  </si>
  <si>
    <t>Intimate Registry regarding extinguishment of Escerts from accounts of eligible entities</t>
  </si>
  <si>
    <t>Coordinate with power exchange and registry for smooth interface transactions</t>
  </si>
  <si>
    <t>Frequency of transaction of ESCerts through Power Exchange is</t>
  </si>
  <si>
    <t>Annually</t>
  </si>
  <si>
    <t>Fortnightly</t>
  </si>
  <si>
    <t xml:space="preserve">One ESCert is considered equivalent to energy consumed in terms of </t>
  </si>
  <si>
    <t>One Hundred Ton of Oil equivalent (htoe)</t>
  </si>
  <si>
    <t>One Lakh Ton of Oil equivalent (ltoe)</t>
  </si>
  <si>
    <t>One Metric Ton of Oil equivalent (mtoe)</t>
  </si>
  <si>
    <t>One Thousand Ton of Oil equivalent (ttoe)</t>
  </si>
  <si>
    <t>Primary responsibility of monitoring Escerts markets is with</t>
  </si>
  <si>
    <t>Registry</t>
  </si>
  <si>
    <t>Administrator</t>
  </si>
  <si>
    <t>Eligible entity</t>
  </si>
  <si>
    <t xml:space="preserve">Instances of Non-compliances of these regulations are brought to commission's notice by </t>
  </si>
  <si>
    <t>If the application is complete in all respects incl. payment of fee and charges, Registry shall proceed to register designated consumer within</t>
  </si>
  <si>
    <t xml:space="preserve">15 working days from the date of receipt of complete application </t>
  </si>
  <si>
    <t xml:space="preserve">20 working days from the date of receipt of complete application </t>
  </si>
  <si>
    <t xml:space="preserve">10 working days from the date of receipt of complete application </t>
  </si>
  <si>
    <t xml:space="preserve">5 working days from the date of receipt of complete application </t>
  </si>
  <si>
    <t>Electronic 'Certificate of Registration' to the concerned designated consumer as an 'Eligible entity' subsequent to submission of registration fees is issued by</t>
  </si>
  <si>
    <t>ESCerts are issued in electronic form by</t>
  </si>
  <si>
    <t>Administrator will develop and maintain a platform for trading of ESCerts which is known as</t>
  </si>
  <si>
    <t>Designated Customer Relationship Management</t>
  </si>
  <si>
    <t>Dedicated Customer Relationship Management</t>
  </si>
  <si>
    <t>Dynamic Customer Relationship Management</t>
  </si>
  <si>
    <t>Designated Consumer Relationship Management</t>
  </si>
  <si>
    <t>Intimation of registration of designated consumer as eligible entity through PATNet portal/D-CRM should be given to</t>
  </si>
  <si>
    <t>Concerned designated consumer</t>
  </si>
  <si>
    <t xml:space="preserve">Registry shall inform the applicant by email regarding the completeness of application within </t>
  </si>
  <si>
    <t>7 working days</t>
  </si>
  <si>
    <t>10 working days</t>
  </si>
  <si>
    <t>5 working days</t>
  </si>
  <si>
    <t>3 working days</t>
  </si>
  <si>
    <t>The applicant shall furnish the details as requested by registry within</t>
  </si>
  <si>
    <t xml:space="preserve">Transaction of ESCerts shall be based upon  </t>
  </si>
  <si>
    <t>First in First Out</t>
  </si>
  <si>
    <t>First in Last Out</t>
  </si>
  <si>
    <t>Volume</t>
  </si>
  <si>
    <t xml:space="preserve">All valid and eligible offers for ESCerts received by the Power Exchange shall be considered for trading to be carried out on </t>
  </si>
  <si>
    <t>Every Thursday on weekly basis</t>
  </si>
  <si>
    <t>Every Monday on weekly basis</t>
  </si>
  <si>
    <t>Every Tuesday on weekly basis</t>
  </si>
  <si>
    <t>Every Friday on weekly basis</t>
  </si>
  <si>
    <t xml:space="preserve">The ESCerts issued in a cycle period shall remain valid till </t>
  </si>
  <si>
    <t>End of compliance period of two cycles</t>
  </si>
  <si>
    <t>End of compliance period of next cycle</t>
  </si>
  <si>
    <t>End of compliance period of third cycle</t>
  </si>
  <si>
    <t>On the day of trading the bidding window would open simultaneously on all Power Exchanges designated for dealing in ESCerts by CERC from</t>
  </si>
  <si>
    <t>11:00 hrs to 13:00 hrs</t>
  </si>
  <si>
    <t>15:00 hrs to 17:00 hrs</t>
  </si>
  <si>
    <t>17:00 hrs to 19:00 hrs</t>
  </si>
  <si>
    <t>13:00 hrs to 15:00 hrs</t>
  </si>
  <si>
    <t>The power exchange shall intimate the details of maximum offer placed for dealing by each eligible entity to Registry by</t>
  </si>
  <si>
    <t>15:30 hrs</t>
  </si>
  <si>
    <t>13:30 hrs</t>
  </si>
  <si>
    <t>17:30 hrs</t>
  </si>
  <si>
    <t>16:30 hrs</t>
  </si>
  <si>
    <t>The Registry shall confirm the availability of the ESCerts in the respective eliglible entitiy's Registry account by</t>
  </si>
  <si>
    <t>14:00 hrs</t>
  </si>
  <si>
    <t>18:00 hrs</t>
  </si>
  <si>
    <t>16:00 hrs</t>
  </si>
  <si>
    <t>17:00 hrs</t>
  </si>
  <si>
    <t xml:space="preserve">The Power exchange shall discover the Market Clearing Price and Market Clearing Volume taking into account cross-checked report received from Registry by </t>
  </si>
  <si>
    <t>19:00 hrs</t>
  </si>
  <si>
    <t>Power Exchange shall send the final cleared transaction by eligible entities including details of purchase of ESCerts through Confirmation Report to the Registry by</t>
  </si>
  <si>
    <t>15:15 hrs</t>
  </si>
  <si>
    <t>18:15 hrs</t>
  </si>
  <si>
    <t>17:15 hrs</t>
  </si>
  <si>
    <t>19:15 hrs</t>
  </si>
  <si>
    <t>Registry shall send the transcation approval acknowledgement to the power exchanges by</t>
  </si>
  <si>
    <t>18:30 hrs</t>
  </si>
  <si>
    <t>19:30 hrs</t>
  </si>
  <si>
    <t xml:space="preserve">The application for Registration of Designated Consumer as ‘Eligible Entity’ shall be accompanied by one-time Registration Fee </t>
  </si>
  <si>
    <t>at the rate of Rs. 10,000/- per application.</t>
  </si>
  <si>
    <t>at the rate of Rs. 12,000/- per application.</t>
  </si>
  <si>
    <t>at the rate of Rs. 13,000/- per application.</t>
  </si>
  <si>
    <t>at the rate of Rs. 15,000/- per application.</t>
  </si>
  <si>
    <t xml:space="preserve">The Eligible Entities issued ESCerts , shall pay an ESCerts Fee </t>
  </si>
  <si>
    <t>at the rate of Rs. 7/- per ESCert</t>
  </si>
  <si>
    <t>at the rate of Rs. 5/- per ESCert</t>
  </si>
  <si>
    <t>at the rate of Rs. 10/- per ESCert</t>
  </si>
  <si>
    <t>at the rate of Rs. 15/- per ESCert</t>
  </si>
  <si>
    <t>The Registry shall share …… of revenue realised from ESCerts fee with the Administrator.</t>
  </si>
  <si>
    <t>The Fees and Charges paid by Eligible Entities shall be collected by</t>
  </si>
  <si>
    <t>BEE is a statutory body set up by GoI under the act : _________________</t>
  </si>
  <si>
    <t>The electricity Act-2003</t>
  </si>
  <si>
    <t>The Energy Conservation Act 2001</t>
  </si>
  <si>
    <t>The PAT Rules</t>
  </si>
  <si>
    <t>NAPCC</t>
  </si>
  <si>
    <t>Implementing agency for Approved Procedure of Forecasting Scheduling and Imbalance handling for ISTS RE generators</t>
  </si>
  <si>
    <t>POWERGRID</t>
  </si>
  <si>
    <t>Approved Procedure of Forecasting Scheduling and Imbalance handling for ISTS RE generators is applicable to</t>
  </si>
  <si>
    <t>All RE Generators, which are regional/State entities as defined in Grid Code</t>
  </si>
  <si>
    <t>All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</si>
  <si>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ISTS through the electrical system of the generating station.</t>
  </si>
  <si>
    <t>All RE Generators, which are regional entities as defined in Grid Code</t>
  </si>
  <si>
    <t>All ISTS connected RE Generators having generation capacity of 50 MW and above.</t>
  </si>
  <si>
    <t>Any renewable energy generating station of 5 MW capacity and above but less than 50 MW capacity developed by a generating company in its existing generating station and connected to the existing connection point with inter-State Transmission System through the electrical system of the generating station.</t>
  </si>
  <si>
    <t>What is the role of RE Generator or Lead Generator or Principal Generator or Solar Power Park Developer or Wind Power Park Developer?</t>
  </si>
  <si>
    <t>to submit static data</t>
  </si>
  <si>
    <t>to provide available capacity, day ahead forecast and schedule through Web based application maintained by RLDC</t>
  </si>
  <si>
    <t>to provide real time availability of turbine/inverter and generation data (at pooling station level)</t>
  </si>
  <si>
    <t xml:space="preserve">As per Approved Procedure of Forecasting Scheduling and Imbalance handling for ISTS RE generators, RE generator having Individual capacity less than_________ but Aggregated capacity ________ and above is called lead generator in RE generation plant having multi-generators and acting on behalf of all these generating stations </t>
  </si>
  <si>
    <t>5MW,50MW</t>
  </si>
  <si>
    <t>50MW,50MW</t>
  </si>
  <si>
    <t>5MW,100MW</t>
  </si>
  <si>
    <t>50MW,100MW</t>
  </si>
  <si>
    <t>As per Approved Procedure of Forecasting Scheduling and Imbalance handling for ISTS RE generators, Responsible agency for Scheduling of ISTS connected RE generators is/are</t>
  </si>
  <si>
    <t>As per Approved Procedure of Forecasting Scheduling and Imbalance handling for ISTS RE generators, Responsible agency (ies)for Forecasting of ISTS connected RE generators is/are</t>
  </si>
  <si>
    <t>(B)&amp;( C)</t>
  </si>
  <si>
    <t xml:space="preserve">Block-wise error(%) shall be computed for Wind/Solar forecast  as </t>
  </si>
  <si>
    <t>(Actual Gen-Schedule Gen)x100/Schedule Gen</t>
  </si>
  <si>
    <t>(Actual Gen-Forecast Gen)x100/Schedule Gen</t>
  </si>
  <si>
    <t>(Actual Gen-Forecast Gen)x100/Available Capacity</t>
  </si>
  <si>
    <t>(Actual Generation-Scheduled Generation)x100/Forecast Gen</t>
  </si>
  <si>
    <t xml:space="preserve"> _____________ shall undertake all operational and commercial responsibilities for the solar energy generating station(s) for less than 50 MW aggregating to 50MW and above e.g. grid security, scheduling and dispatch, collection and payment/adjustment of Transmission charges, DSM charges, congestion and other charges etc.</t>
  </si>
  <si>
    <t>Principal Generator</t>
  </si>
  <si>
    <t>Lead Generator</t>
  </si>
  <si>
    <t>SPPD/WPPD</t>
  </si>
  <si>
    <t>In WPP/SPP having multiple generators, who shall be responsible to apply for Connectivity on behalf of all generators in the park</t>
  </si>
  <si>
    <t xml:space="preserve">Hydro project is called Renewable Energy Source if the Capacity(MW) is less than </t>
  </si>
  <si>
    <t>Deviation from Schedule w.r.t. available capacity is allowed for RE(Wind+Solar) generators</t>
  </si>
  <si>
    <t>150MW</t>
  </si>
  <si>
    <t>250MW</t>
  </si>
  <si>
    <t>Inadvertent deviation from Schedule is allowed for a eenewable rich state with installed Capacity Wind+Solar= 2000MW when frequency is [49.85Hz,50.05Hz)</t>
  </si>
  <si>
    <t>200MW</t>
  </si>
  <si>
    <t xml:space="preserve">Deviation for RE(Wind+Solar) generators is to be calculated as </t>
  </si>
  <si>
    <t>(Actual Gen-Forecast Gen)x100/Forecast Gen</t>
  </si>
  <si>
    <t>(Actual Generation-Scheduled Generation)x100/Available Capacity</t>
  </si>
  <si>
    <t xml:space="preserve">A RE generator is allowed for max no of revisions in schedule </t>
  </si>
  <si>
    <t>RE generator can revise its scehdule</t>
  </si>
  <si>
    <t>once in a Time Block but shall be effective from 4th time block</t>
  </si>
  <si>
    <t>once in 4th Time block but it shall be effective from 6th Time block</t>
  </si>
  <si>
    <t>Once in each time slot of 6 blocks starting from 00:00Hrs but it shall be effective from 4th Time block</t>
  </si>
  <si>
    <t>in 6th consecutive time block but it shall be effetive from 4th time block</t>
  </si>
  <si>
    <t>Who is responsible agency for Energy accounting of regiona entity RE-generators</t>
  </si>
  <si>
    <t>Responsible agency for commercial settlement of ISTS connected RE generators is</t>
  </si>
  <si>
    <t xml:space="preserve">DSM Charge in case of Deviation of RE Generator is less than 15%(Over/UnderInjection) </t>
  </si>
  <si>
    <t>No DSM  Charge applicable</t>
  </si>
  <si>
    <t>Receivable from/Payable to the POOL at the fixed rate for excess/shortfall energy upto 15%</t>
  </si>
  <si>
    <t>Receivable from/Payable to the POOL at the double of fixed rate for excess/shortfall energy upto 15%</t>
  </si>
  <si>
    <t>If a RE generator overinjected 28% in perticular time block. DSM charge receivable from POOL will be if PPA rate is A Rs/unit.</t>
  </si>
  <si>
    <t>15% of excess energy *A+10% of excess energy* 0.9A+3% of excess energy*0.8A</t>
  </si>
  <si>
    <t>15% of excess energy *A+10% of excess energy* 1.1A+3% of excess energy*1.2A</t>
  </si>
  <si>
    <t>28% of excess energy *A</t>
  </si>
  <si>
    <t>If a RE generator underinjected 28% in perticular time block. DSM charge payable to POOL will be if PPA rate is A Rs/unit.</t>
  </si>
  <si>
    <t>15% of shortfall energy *A+10% of shortfall energy* 0.9A+3% of shortfall energy*0.8A</t>
  </si>
  <si>
    <t>15% of shortfall energy *A+10% of shortfall energy* 1.1A+3% of shortfall energy*1.2A</t>
  </si>
  <si>
    <t>28% of shortfall energy *A</t>
  </si>
  <si>
    <t>If a RE generator underinjected 80% in perticular time block. DSM charge payable to POOL will be if PPA rate is A Rs/unit.</t>
  </si>
  <si>
    <t>15% of shortfall energy *A+10% of shortfall energy* 0.9A+10% of shortfall energy*0.8A+45% of shortfall energy*0.7A</t>
  </si>
  <si>
    <t>15% of shortfall energy *A+10% of shortfall energy* 1.1A+10% of shortfall energy*1.2A+45% of shortfall energy*1.3A</t>
  </si>
  <si>
    <t>28% of Shortfall energy *A</t>
  </si>
  <si>
    <t>RE Generators or lead generator or principal generator shall be</t>
  </si>
  <si>
    <t>Registered as user with RLDC but shall not pay RLDC fees and charges</t>
  </si>
  <si>
    <t>Registered as user with RLDC and shall pay RLDC fees and charges</t>
  </si>
  <si>
    <t>Registraion is not required</t>
  </si>
  <si>
    <t>RE Generator or lead generator or principal generator shall</t>
  </si>
  <si>
    <t>provide data telemetry at the turbine/inverter level to the concerned RLDC and shall ensure the correctness of the real-time data and undertake the corrective actions, if required</t>
  </si>
  <si>
    <t>forward the turbine/inverter outage plan to the concerned RLDC</t>
  </si>
  <si>
    <t>Both options are correct</t>
  </si>
  <si>
    <t>None of the Above are correct</t>
  </si>
  <si>
    <t>As per Approved Procedure of Forecasting Scheduling and Imbalance handling for ISTS RE generators</t>
  </si>
  <si>
    <t>Revision in schedules by RE Generator or lead generator or principal generator selling power through collective transactions shall not be allowed.</t>
  </si>
  <si>
    <t>In the event of contingencies, transmission constraints, congestion in the network, threat to system security, the transactions of RE Generators already scheduled by RLDC may be curtailed as per provisions of IEGC for ensuring secure and reliable system operation.</t>
  </si>
  <si>
    <t>As per Approved Procedure of Forecasting Scheduling and Imbalance handling for ISTS RE generators, RLDC Shall</t>
  </si>
  <si>
    <t>Forecast the generation of ISTS connected RE generators and shall be available at RLDC website</t>
  </si>
  <si>
    <t>Agrregate the forecast at Regional level to facilitate secure grid operation</t>
  </si>
  <si>
    <t>None of the Above is correct</t>
  </si>
  <si>
    <t xml:space="preserve">The nodal energy at the centre for implementing the EC act is </t>
  </si>
  <si>
    <t>SDA</t>
  </si>
  <si>
    <t>For successful implementation of of national Mission for Enhanced energy Efficiency which of the following initiatives are taken</t>
  </si>
  <si>
    <t>Perform Achieve and Trade Market transformation for energy efficiency</t>
  </si>
  <si>
    <t>Energy efficiency financing platform</t>
  </si>
  <si>
    <t>Framework for energy efficient economic development</t>
  </si>
  <si>
    <t xml:space="preserve">The EC act 2001 is applicable to </t>
  </si>
  <si>
    <t>Whole India</t>
  </si>
  <si>
    <t>Whole India except North Eastern states</t>
  </si>
  <si>
    <t>Whole India except Jammu and Kashmir</t>
  </si>
  <si>
    <t>Whole India except Union Territories</t>
  </si>
  <si>
    <t>As per energy conservation act 2001 cycle means</t>
  </si>
  <si>
    <t>the period of three years available to a designated consumer to comply with energy consumption norms and standards</t>
  </si>
  <si>
    <t>the period of five years available to a designated consumer to comply with energy consumption norms and standards</t>
  </si>
  <si>
    <t>the period of two years available to a designated consumer to comply with energy consumption norms and standards</t>
  </si>
  <si>
    <t>the period of ten years available to a designated consumer to comply with energy consumption norms and standards</t>
  </si>
  <si>
    <t>The number of amendments made in EC act  till date</t>
  </si>
  <si>
    <t>Who will specify the qualifications for accredited energy auditors</t>
  </si>
  <si>
    <t>The powers to alter the list of energy intensive industries specified in the schedule is with</t>
  </si>
  <si>
    <t>What is the maximum number of people that can be present the Governing council of BEE</t>
  </si>
  <si>
    <t>What is the term of office for Director General of BEE</t>
  </si>
  <si>
    <t>Who has the powers to specify the norms for processes and energy consumption standards for any equipment, 
appliances which consumes, generates, transmits or supplies energy</t>
  </si>
  <si>
    <t>What is the name of the fund to be constituted by the state govt for the purposes of promotion of efficient use of energy and its conservation within the State</t>
  </si>
  <si>
    <t>State Energy   
Conservation Fund</t>
  </si>
  <si>
    <t>The accounts of the Bureau of Energy Efficiency shall be audited by</t>
  </si>
  <si>
    <t>Comptroller and Auditor-General of 
India</t>
  </si>
  <si>
    <t>What is the body established by the Central Govt. to hear the appeals against the orders of the adjudicating  officer / Central Government / State  Government under this Energy Conservation Act</t>
  </si>
  <si>
    <t>Appellate Tribunal for Energy Conservation</t>
  </si>
  <si>
    <t>Every appeal to Appellate Tribunal for Energy Conservation shall be filled within a period of ___ days from 
the date on which a copy of the order made by the adjudicating officer or the Central 
Government or the State Government</t>
  </si>
  <si>
    <t>Any person aggrieved by any decision or order of the Appellate Tribunal of Energy Conservation may, file an appeal 
to the Supreme court within __ days from the date of communication of the decision or 
order of the Appellate Tribunal</t>
  </si>
  <si>
    <t>Monthly availability of the inter-state transmission system shall not be less than ………..% of time for an EHV shunt Reactor &amp; ………% for HVDC bi-pole/b2b</t>
  </si>
  <si>
    <t>50 / 60</t>
  </si>
  <si>
    <t>85/90</t>
  </si>
  <si>
    <t>90/85</t>
  </si>
  <si>
    <t>90/90</t>
  </si>
  <si>
    <t>Monthly availability of the inter-state transmission system shall not be less than ………..% of time for an EHV AC line &amp; ………% for ICTs</t>
  </si>
  <si>
    <t>Element wise availability certification of inter-state transmission is done by?</t>
  </si>
  <si>
    <t>Head of RLDC</t>
  </si>
  <si>
    <t>Head of NLDC</t>
  </si>
  <si>
    <t>Member Secrerary of RPC</t>
  </si>
  <si>
    <t xml:space="preserve">Tower collapse shall not be counted for calculation of monthly avaialbility of _____ </t>
  </si>
  <si>
    <t>EHV AC lines</t>
  </si>
  <si>
    <t>HVDC bipole lines</t>
  </si>
  <si>
    <t>both A &amp; B</t>
  </si>
  <si>
    <t xml:space="preserve">Restoration time of ISTS shall not exceed……….days after tower collapse in plain terrain and …...days on river-bed and …. days in hilly terrain </t>
  </si>
  <si>
    <t>50/50/60</t>
  </si>
  <si>
    <t>30/50/50</t>
  </si>
  <si>
    <t>30/50/60</t>
  </si>
  <si>
    <t>Restoration time shall not exceed………..days for a reactor and …....... Days for an ICT in the ISTS netwrok.</t>
  </si>
  <si>
    <t>100/120</t>
  </si>
  <si>
    <t>120/100</t>
  </si>
  <si>
    <t>120/120</t>
  </si>
  <si>
    <t>Compensation to be paid by the inter-state transmission licensee to the affected party shall be limited to the……………on account of non-adherence to the standard of performance (SOP) by the licensee</t>
  </si>
  <si>
    <t>Transmission charges for the element</t>
  </si>
  <si>
    <t xml:space="preserve"> Loss of load </t>
  </si>
  <si>
    <t xml:space="preserve">Loss of Generation </t>
  </si>
  <si>
    <t xml:space="preserve">Loss of Man hours. </t>
  </si>
  <si>
    <t>Restoration time of ISTS line shall not exceed……….days after tower collapse if ERS is deployed.</t>
  </si>
  <si>
    <t>Claim for compensation on the standard of performance regulation must be made by affected person within ------ days from the end of the month when availability falls below the specified %age</t>
  </si>
  <si>
    <t>ISTS license is required under the SOP regulations to submit the details to the Commision one half yearly basis on------- and -------- for performance in previous 6 months</t>
  </si>
  <si>
    <t>30th Jun/31st Dec</t>
  </si>
  <si>
    <t>31st Oct / 30th April</t>
  </si>
  <si>
    <t>31st March/30th Sep</t>
  </si>
  <si>
    <t>The nodal agency for planning, and coordination for development of communication system for inter-State transmission system user is:</t>
  </si>
  <si>
    <t>________ means a dedicated virtual path configured from one users’ node to another user’s node, either directly or through intermediary node(s) to facilitate voice, video and data communication and tele-protection system.</t>
  </si>
  <si>
    <t>Communication link</t>
  </si>
  <si>
    <t>Fible optic link</t>
  </si>
  <si>
    <t>Communication channel</t>
  </si>
  <si>
    <t>Microwave link</t>
  </si>
  <si>
    <t>The nodal agency for planning, and coordination for development of communication system for intra-State transmission system user is:</t>
  </si>
  <si>
    <t>state Govt.</t>
  </si>
  <si>
    <t>The nodal agency for ensuring integration of communication system at regional level for ISGS, ISTS and SLDCs with SCADA, WAMS, Video Conferencing Systems(VCS), Automatic Meter Reading(AMR), EPABX, Tele-protection system is:</t>
  </si>
  <si>
    <t>The nodal agency for ensuring integration of communication system at regional level for SGS, Distribution companies, Intra State entities with SCADA, WAMS, Video Conferencing Systems(VCS), Automatic Meter Reading(AMR), EPABX, Tele-protection system shall be</t>
  </si>
  <si>
    <t xml:space="preserve">_________denotes  information  relating  to  current  operating  state of  power  system  in  accordance  with  system  operation  and  control requirements. </t>
  </si>
  <si>
    <t>Critical information</t>
  </si>
  <si>
    <t>Real Time Data</t>
  </si>
  <si>
    <t>Archived information</t>
  </si>
  <si>
    <t>__________means the centres being established in India to enable forecasting, scheduling and monitoring of renewable energy generation</t>
  </si>
  <si>
    <t>REMC</t>
  </si>
  <si>
    <t xml:space="preserve">_________means  a system  of  remote  control  and  telemetry  used  to  monitor  and  control  the transmission system; </t>
  </si>
  <si>
    <t>RTU</t>
  </si>
  <si>
    <t>PMU</t>
  </si>
  <si>
    <t>SCADA</t>
  </si>
  <si>
    <t>___________means wide bandwidth data transmission node with an ability to simultaneously transport multiple signals and traffic types.</t>
  </si>
  <si>
    <t>Micro wave node</t>
  </si>
  <si>
    <t>Wide band Node</t>
  </si>
  <si>
    <t>Communication node</t>
  </si>
  <si>
    <t>Who is mandated to formulate the communication planning criterion and guidelines for the development  reliable communication system for power system of India:</t>
  </si>
  <si>
    <t>Who is mandated to formulate and notify technical standards, cyber security requirements, protocol for the communication system for Power Sector within the country including the integration with the grid of the neighboring countries</t>
  </si>
  <si>
    <t>As per the CERC(Communication systems for ISTS) regulations, _______will constitute a standing committee for communication system of Power sector:</t>
  </si>
  <si>
    <t>Who shall monitor and facilitate timely completion of schemes and projects for improving and augmenting the associated communication system along with transmission system in the power sector:</t>
  </si>
  <si>
    <t>Validation Committee of CERC</t>
  </si>
  <si>
    <t>Standing committee of Communication system for power sector</t>
  </si>
  <si>
    <t>National Power Committee</t>
  </si>
  <si>
    <t>FOR Technical Committee</t>
  </si>
  <si>
    <t>Who will prepare the perspective plan for communication duly factoring optimal utilization of transmission assets for communication purposes:</t>
  </si>
  <si>
    <t>Who shall be responsible for planning and coordination for development of reliable National communication backbone Communication System:</t>
  </si>
  <si>
    <t>NPC</t>
  </si>
  <si>
    <t>Who will be the Nodal Agency for supervision of communication system in respect of inter-State communication system and implement centralized supervision for quick fault detection and restoration</t>
  </si>
  <si>
    <t>Dept. of Telecommunication</t>
  </si>
  <si>
    <t>Who will plan communication system for the cross border transmission system for cross border exchange of power:</t>
  </si>
  <si>
    <t>Ministry of External Affairs</t>
  </si>
  <si>
    <t>Who will be  responsible for issuance of the guidelines on “Availability of Communication System” and the availability of the communication equipment</t>
  </si>
  <si>
    <t>RPC Secretariat</t>
  </si>
  <si>
    <t>Who will be  certify the availability of communication equipment based on the data furnished by …........</t>
  </si>
  <si>
    <t>NPC/RPC</t>
  </si>
  <si>
    <t>RPC Secretariat/RLDC</t>
  </si>
  <si>
    <t>CEA/RLDC</t>
  </si>
  <si>
    <t>Who shall be responsible for preparation and issuance guidelines on the “Interfacing Requirements” in respect of terminal equipment, RTUs, SCADA, PMUs, AGC, AMR, AMI, etc. and for data communication from the user's point to the respective control centre(s) :</t>
  </si>
  <si>
    <t>Who shall be responsible for planning, coordination and development of reliable communication system for data communication within a State:</t>
  </si>
  <si>
    <t>Who will plan redundant communication system up to the nearest Inter-State Transmission System wideband communication node for integration with the inter-State communication system at appropriate nodes?</t>
  </si>
  <si>
    <t>Which of the following is not a part of ISTS communication system:</t>
  </si>
  <si>
    <t>CGS</t>
  </si>
  <si>
    <t>DISCOM</t>
  </si>
  <si>
    <t>Which of the following is not a part Intra-State communication system:</t>
  </si>
  <si>
    <t>Who shall conduct performance audit of communication system annually &amp; submit audit report by ____ to CERC</t>
  </si>
  <si>
    <t>NPC/30-Apr</t>
  </si>
  <si>
    <t>RPC Secretariat/30-Apr</t>
  </si>
  <si>
    <t>CEA/30-Apr</t>
  </si>
  <si>
    <t>RLDC/30-Apr</t>
  </si>
  <si>
    <t>All users of CTU, NLDC, RLDCs, SLDCs, STUs shall maintain the communication channel availability ……..% annually:</t>
  </si>
  <si>
    <t>Who shall monitor case of cyber security incidences and discuss them at RPC level and take necessary action as deemed fit:</t>
  </si>
  <si>
    <t>Who shall ensure third party cyber security audits periodically and the period would be decided by____?</t>
  </si>
  <si>
    <t>NLDC/RPC</t>
  </si>
  <si>
    <t xml:space="preserve">RPC /RPC </t>
  </si>
  <si>
    <t>RLDC/RPC</t>
  </si>
  <si>
    <t>Cyber security audit for communication system has to be carried out by _______</t>
  </si>
  <si>
    <t>Cert-In certified Auditors</t>
  </si>
  <si>
    <t>BSI</t>
  </si>
  <si>
    <t>answer</t>
  </si>
  <si>
    <t>Match the following for permissible Total Harmonic Distortion  :
a. 765 kV                                          1. 2%
b. 400 kV                                          2. 1.5%
c. 220 kV                                           3. 5%
d. 132 kV                                          4. 3%
e. 66 kV                                            5. 2.5%</t>
  </si>
  <si>
    <t>Match the following for permissible individual harmonic of any particular frequency:
a. 765 kV                                          1. 1%
b. 400 kV                                          2. 2%
c. 220 kV                                           3. 3%
d. 132 kV                                          4. 1.5%</t>
  </si>
  <si>
    <t>BIL (Basic Insulation level ) of various equipment and rating  shall be decided on the follow order of priority
i. ensure safety to public and operating personal
ii. Avoid permanent damage to th eplant
iii.  Prevent failure of costly equipment
iv. Minimise circuit interruptions
v. Minimise interruption of power</t>
  </si>
  <si>
    <t>1.POC</t>
  </si>
  <si>
    <t>2.DSM</t>
  </si>
  <si>
    <t>3.RRAS</t>
  </si>
  <si>
    <t xml:space="preserve">4.RLDC_F&amp;C </t>
  </si>
  <si>
    <t>5.OA-Connectivity</t>
  </si>
  <si>
    <t>6.Congestion</t>
  </si>
  <si>
    <t>7.Power Market Reg</t>
  </si>
  <si>
    <t>8. Trading License Reg</t>
  </si>
  <si>
    <t>9.Reg of Power Sup</t>
  </si>
  <si>
    <t>10.TCT14-19</t>
  </si>
  <si>
    <t>11.Metering</t>
  </si>
  <si>
    <t>12.PSDF</t>
  </si>
  <si>
    <t>13.CEA_Transaction of busi ness</t>
  </si>
  <si>
    <t>14.REC</t>
  </si>
  <si>
    <t>Question Text</t>
  </si>
  <si>
    <t>Option 1 (A)</t>
  </si>
  <si>
    <t>Option 2 (B)</t>
  </si>
  <si>
    <t>Option 3 (C)</t>
  </si>
  <si>
    <t>Option 4 (D)</t>
  </si>
  <si>
    <t>15.gridstandard</t>
  </si>
  <si>
    <t>Match the following for permissible voltage unbalance:
a. 765 kV                                          1. 1%
b. 400 kV                                          2. 2%
c. 220 kV                                           3. 3%
d. 132 kV                                          4. 1.5%</t>
  </si>
  <si>
    <t>16.IEGC</t>
  </si>
  <si>
    <t>17.grant of trans'on licence</t>
  </si>
  <si>
    <t>18.Technical details by Gen</t>
  </si>
  <si>
    <t>19.TCT-RE_2012</t>
  </si>
  <si>
    <t>20.Act-NEP_Tariff-Policy</t>
  </si>
  <si>
    <t>21.NE Policy</t>
  </si>
  <si>
    <t>22.Ring fencing</t>
  </si>
  <si>
    <t>23.CompBidding</t>
  </si>
  <si>
    <t>24.Regulatory_mix</t>
  </si>
  <si>
    <t>25.CEA Tech Std for Con</t>
  </si>
  <si>
    <t>26.CEA safety requirement</t>
  </si>
  <si>
    <t>27.CEA Tech.Std.Construction</t>
  </si>
  <si>
    <t>28.Grant of reg approval to CTU</t>
  </si>
  <si>
    <t>29. Intervening Tr facility</t>
  </si>
  <si>
    <t>30. Revn'e shar'g from business</t>
  </si>
  <si>
    <t>31.CEA Safety &amp; Elec Supply</t>
  </si>
  <si>
    <t>32. Tr Plg Reg2018</t>
  </si>
  <si>
    <t>33. Conduct of Busines</t>
  </si>
  <si>
    <t>34. ESCert</t>
  </si>
  <si>
    <t>35. FSD Procedure</t>
  </si>
  <si>
    <t>36. En Conservation Act</t>
  </si>
  <si>
    <t>37.SOP</t>
  </si>
  <si>
    <t>38_Comm Sys_Reg</t>
  </si>
  <si>
    <t>Provided that the generator or trading licensee any other agency selling power from the generating station or unit(s) thereof may revise its estimated restoration time -----  and the revision schedule shall become effective from the ------, counting the time block in which the revision is advised by the generator to be the first one.</t>
  </si>
  <si>
    <t>POWER SYSTEM</t>
  </si>
  <si>
    <t xml:space="preserve">If the transmission voltage  is increased from 33 kV to 66 kV, the losses would </t>
  </si>
  <si>
    <t>The National Electricity Plan envisages a per capita consumption of ------ units  by 2012.</t>
  </si>
  <si>
    <t>Which act has been set up for rationalisation of bulk and retail tariff for generation and transmission utilities involved in inter-state operations.</t>
  </si>
  <si>
    <r>
      <t>Amendment in 1998 of this Act</t>
    </r>
    <r>
      <rPr>
        <sz val="12"/>
        <color indexed="8"/>
        <rFont val="Arial"/>
        <family val="2"/>
      </rPr>
      <t xml:space="preserve"> provided for private sector participation in transmission</t>
    </r>
  </si>
  <si>
    <t xml:space="preserve">One of the most powerful initiatives taken to distance the govt. from tariff determination is </t>
  </si>
  <si>
    <t>Nodal agency which identifies projects to be developed through competitive bidding route</t>
  </si>
  <si>
    <t>National Grid would, by the year 2012,  enhance Inter-regional power transfer capacity  to more than</t>
  </si>
  <si>
    <t>27,000 MW</t>
  </si>
  <si>
    <t>37,000 MW</t>
  </si>
  <si>
    <t>47,000 MW</t>
  </si>
  <si>
    <t xml:space="preserve"> The apex body to ensure integrated operation of the power system in the concerned region is</t>
  </si>
  <si>
    <t>Planning Code</t>
  </si>
  <si>
    <t>RingFencing</t>
  </si>
  <si>
    <t xml:space="preserve">ULDC Tariff DOES NOT cover charges for   1. SCADA/EMS Systems      2. Associated Communication Systems    3. Auxillary Systems such as UPS, DG Sets. Etc.   4. Manpower/HR Expenses  </t>
  </si>
  <si>
    <t>Distinct from ULDC, which of the following is a service provided by an LDC:  1. SCADA/EMS Systems      2. Associated Communication Systems    3. Operational Planning and System Studies related to Transfer Capability Assesment  4. Auxillary Systems such as UPS, DG Sets. Etc.  5. Real time operation and responding to emergencies in the grid.</t>
  </si>
  <si>
    <t>3 &amp; 5</t>
  </si>
  <si>
    <t>4 &amp; 5</t>
  </si>
  <si>
    <t>Distinct from ULDC, which of the following is a service provided by an LDC:  1. SCADA/EMS Systems      2. Associated Communication Systems    3.  Auxillary Systems such as UPS, DG Sets. Etc.  4. Post Despatch Analysis of Operation and tripping  5. Real time operation and responding to emergencies in the grid.</t>
  </si>
  <si>
    <t>Distinct from ULDC, which of the following is a service provided by an LDC:  1. SCADA/EMS Systems      2. Associated Communication Systems    3. Metering &amp; Settlement  4. Auxillary Systems such as UPS, DG Sets. Etc.  5. Real time operation and responding to emergencies in the grid.</t>
  </si>
  <si>
    <t>Distinct from ULDC, which of the following is a service provided by an LDC:  1. Real Time Grid Operation      2. Responding to emergencies    3. Metering &amp; Settlement  4. Post Despatch Analysis of operation and tripping  5.Feedback to Planners</t>
  </si>
  <si>
    <t>1,2 &amp; 3</t>
  </si>
  <si>
    <t>2,3,4 &amp; 5</t>
  </si>
  <si>
    <t>3,4 &amp; 5</t>
  </si>
  <si>
    <t>All of the above (1 to 5)</t>
  </si>
  <si>
    <t xml:space="preserve">Committee Setup by Ministry of Power, Government of India to look into various aspects associated with CAPEX and issues related to emoluments of personnel working in LDCs was the </t>
  </si>
  <si>
    <t xml:space="preserve">Committee Setup by Ministry of Power, Government of India to look into various aspects associated with manpower selection, recruitment procedure and tenure of personnel working in LDCs was the </t>
  </si>
  <si>
    <t xml:space="preserve">Committee Setup by Ministry of Power, Government of India to look into various aspects associated with training and certification of personnel working in LDCs was the </t>
  </si>
  <si>
    <t>Both CAPEX and OPEX</t>
  </si>
  <si>
    <t>Regulatory</t>
  </si>
  <si>
    <t>49.7 – 50.2</t>
  </si>
  <si>
    <t>When system frequency is below 49.7 hz but above 49.5 hz and constituents can overdraw up to __________ % of schedule subject to grid conditions</t>
  </si>
  <si>
    <t>Co plexity in the operation of huge power system network</t>
  </si>
  <si>
    <t>Continuously escalating fueo costs and depeleting resources</t>
  </si>
  <si>
    <r>
      <t>None of 
the above.</t>
    </r>
    <r>
      <rPr>
        <b/>
        <sz val="12"/>
        <rFont val="Arial"/>
        <family val="2"/>
      </rPr>
      <t xml:space="preserve"> </t>
    </r>
  </si>
  <si>
    <t>What does STOR stand for?</t>
  </si>
  <si>
    <t xml:space="preserve"> Storage Technology Operation Region</t>
  </si>
  <si>
    <t>  Short Term Operating Reserve</t>
  </si>
  <si>
    <t>  Short Terminology for Operator Region</t>
  </si>
  <si>
    <t>  Slow Temperature Operation Region</t>
  </si>
  <si>
    <t>The major functions of a load dispatch center are:</t>
  </si>
  <si>
    <t xml:space="preserve"> Monitoring &amp; Assessing only</t>
  </si>
  <si>
    <t>Controlling only</t>
  </si>
  <si>
    <t xml:space="preserve"> Monitoring, assessing &amp; controlling</t>
  </si>
  <si>
    <t xml:space="preserve"> None of the above</t>
  </si>
  <si>
    <t xml:space="preserve">The grid operation is a fundamentally important function for </t>
  </si>
  <si>
    <t>Utilities only</t>
  </si>
  <si>
    <t xml:space="preserve"> Transmission companies only</t>
  </si>
  <si>
    <t>  utilities, transmission companies &amp; ISOs/RTOs</t>
  </si>
  <si>
    <t>  ISOs only</t>
  </si>
  <si>
    <t>The system if insecure, under disturbed condition will bring the normal operating state of a power system to</t>
  </si>
  <si>
    <t>Alert</t>
  </si>
  <si>
    <t xml:space="preserve"> Restorative</t>
  </si>
  <si>
    <t>  Emergency</t>
  </si>
  <si>
    <t xml:space="preserve"> In Extremis</t>
  </si>
  <si>
    <t>Worldwide, the system operators &amp; network companies will need to invest in ______ required to manage the complexity</t>
  </si>
  <si>
    <t>Share markets</t>
  </si>
  <si>
    <t xml:space="preserve"> Control systems</t>
  </si>
  <si>
    <t>  Control &amp; information systems</t>
  </si>
  <si>
    <t xml:space="preserve"> None of
 the above</t>
  </si>
  <si>
    <t>What does a balancing service platform represent?</t>
  </si>
  <si>
    <t>Demand side working group</t>
  </si>
  <si>
    <t xml:space="preserve"> Holding balancing services open day</t>
  </si>
  <si>
    <t xml:space="preserve"> Exhibiting at the energy events</t>
  </si>
  <si>
    <t xml:space="preserve"> All of 
the above</t>
  </si>
  <si>
    <t>Flexible Reserve Product: ____________ volumes of reserve shall be made available during core hours 8am to 6pm on working days</t>
  </si>
  <si>
    <t xml:space="preserve"> Lesser</t>
  </si>
  <si>
    <t>Greater</t>
  </si>
  <si>
    <t>Average</t>
  </si>
  <si>
    <t xml:space="preserve"> None of 
the above</t>
  </si>
  <si>
    <t>A consolidated reserve product shall offer ____________ operation of the transmission system needs.</t>
  </si>
  <si>
    <t xml:space="preserve"> Flexibility</t>
  </si>
  <si>
    <t xml:space="preserve"> Good Service characteristics </t>
  </si>
  <si>
    <t xml:space="preserve"> Flexibility &amp;  service characteristics necessary for efficient, economic &amp; secure</t>
  </si>
  <si>
    <t>The grid operators are continuing to work on developing ___________ processes so that they have better reflecting varying wind forecasting into reserve requirements.</t>
  </si>
  <si>
    <t>  Dynamic reserve for wind</t>
  </si>
  <si>
    <t xml:space="preserve"> Static reserve for wind</t>
  </si>
  <si>
    <t xml:space="preserve"> Optimum reserve for wind</t>
  </si>
  <si>
    <t>  Reduce, increasing</t>
  </si>
  <si>
    <t>__________ has conducted wide range of research initiatives in the system operation such as advanced alarm management, report on human centered situational awareness etc</t>
  </si>
  <si>
    <t xml:space="preserve"> CPRI</t>
  </si>
  <si>
    <t xml:space="preserve"> EPRI</t>
  </si>
  <si>
    <t xml:space="preserve"> ESRI</t>
  </si>
  <si>
    <t>The real time security monitoring functions does not include,</t>
  </si>
  <si>
    <t>  Network topology processing</t>
  </si>
  <si>
    <t xml:space="preserve"> Observability Analysis</t>
  </si>
  <si>
    <t xml:space="preserve"> Contingency Analysis</t>
  </si>
  <si>
    <t>State Estimation with bad data detection and elimination</t>
  </si>
  <si>
    <t>The operator request load flow, load forecasting, contingency analysis and fault study are functions of</t>
  </si>
  <si>
    <t xml:space="preserve"> Security Monitoring system</t>
  </si>
  <si>
    <t>  Security assessment</t>
  </si>
  <si>
    <t>  Security Control system</t>
  </si>
  <si>
    <t>  None of 
the above</t>
  </si>
  <si>
    <t>The meters connected at the point of interconnection of generating company, licensee directly connected to ISTS who have to be covered under ABT and have been permitted Open access</t>
  </si>
  <si>
    <t>Interface</t>
  </si>
  <si>
    <t>Energy accounting</t>
  </si>
  <si>
    <t>auditing</t>
  </si>
  <si>
    <t>All interface meters installed at the point of interconnection with ISTS shall be owned by</t>
  </si>
  <si>
    <t>supplier of 
electricity</t>
  </si>
  <si>
    <t>All interface meters installed at the point of interconnection with Intra-state system shall be owned by</t>
  </si>
  <si>
    <t xml:space="preserve">Sealing of consumer meters shall be done by </t>
  </si>
  <si>
    <t>Accuracy class of Interface meters</t>
  </si>
  <si>
    <t>0.5S</t>
  </si>
  <si>
    <t>0.2S</t>
  </si>
  <si>
    <t>1.0S</t>
  </si>
  <si>
    <t>2.0S</t>
  </si>
  <si>
    <t>Accuracy class of Energy accounting and audit meters</t>
  </si>
  <si>
    <t>0.5S or better</t>
  </si>
  <si>
    <t>0.2S or better</t>
  </si>
  <si>
    <t>1.0S or better</t>
  </si>
  <si>
    <t>The accuracy class of CTs and VTs shall not be inferior to that of associated meters</t>
  </si>
  <si>
    <t>Not specified</t>
  </si>
  <si>
    <t>Not applicable</t>
  </si>
  <si>
    <t>VARh is recorded by SEM when RMS voltage level is :</t>
  </si>
  <si>
    <t>Between 103% to 97%</t>
  </si>
  <si>
    <t xml:space="preserve">All energy </t>
  </si>
  <si>
    <t>In case of ISGS (Regional Entity) injection, main meters (SEM) are installed at:</t>
  </si>
  <si>
    <t>RS-485 scheme is used for:</t>
  </si>
  <si>
    <t>Net – Bus checking is done for:</t>
  </si>
  <si>
    <t>Which part of ABT  is calculated / accounted by SEM?</t>
  </si>
  <si>
    <t>Unscheduled Interchange (UI) charge.</t>
  </si>
  <si>
    <t>Reactive energy is recorded in SEM in</t>
  </si>
  <si>
    <t>SEM data validation includes :</t>
  </si>
  <si>
    <t>Both the above</t>
  </si>
  <si>
    <t>SEMs have two standard models with PT-CT ratio of</t>
  </si>
  <si>
    <t>Inter-State SEM can store meter data for _________ .</t>
  </si>
  <si>
    <t>11 days</t>
  </si>
  <si>
    <t>“Pr” indication in SEM LCD display indicates (Secondary quantities)</t>
  </si>
  <si>
    <t>Same core of CT &amp; PT is used for the following meters:</t>
  </si>
  <si>
    <t>Limited time synchronization of SEM can be done through</t>
  </si>
  <si>
    <t>As per IEGC, SEM data should be sent to respective RLDCs every week by:</t>
  </si>
  <si>
    <t>The main meters for state substation’s interface with ISTS, are at:</t>
  </si>
  <si>
    <t xml:space="preserve"> </t>
  </si>
  <si>
    <t>In case of failure of Main meters which meters are used in computation?</t>
  </si>
  <si>
    <t>Waits for rectification of main meters</t>
  </si>
  <si>
    <t>Pair checks are carried out for checking healthiness of :</t>
  </si>
  <si>
    <t>0.2S class accuracy means error within:</t>
  </si>
  <si>
    <t>+/- 0.2% of true value</t>
  </si>
  <si>
    <t>+/-2% of true value</t>
  </si>
  <si>
    <t>+/- 0.02% of true value</t>
  </si>
  <si>
    <t>Cumulative energy is registered for :</t>
  </si>
  <si>
    <t xml:space="preserve">Cumulative energy register moves forward under import condition </t>
  </si>
  <si>
    <t>Memory storage in SEMs follow:</t>
  </si>
  <si>
    <t>SEMs used for energy accounting are known as:</t>
  </si>
  <si>
    <t>400/220 kV ICT has got two meters, Meter-A &amp; Meter-B installed at HV &amp; LV side respectively. Which of the following statement is true</t>
  </si>
  <si>
    <t>Standby meters are used for computation, in case of :</t>
  </si>
  <si>
    <t>Mid night active energy is recorded by SEM in:</t>
  </si>
  <si>
    <t>Collection of SEM data by DCD under S/D condition of that particular feeder is done by</t>
  </si>
  <si>
    <t>Removing the meter &amp; Reconnecting in the lab</t>
  </si>
  <si>
    <t>49.5 to 50.2</t>
  </si>
  <si>
    <t>GenTransFreq</t>
  </si>
  <si>
    <t xml:space="preserve">During the steady state the frequency of the electrical system is </t>
  </si>
  <si>
    <t>=50 Hz</t>
  </si>
  <si>
    <t>&lt;50Hz</t>
  </si>
  <si>
    <t>&gt;50Hz</t>
  </si>
  <si>
    <t>Constant</t>
  </si>
  <si>
    <t xml:space="preserve">In an electical island the generation is 500 MW . There is no margin in the system. If the load increases by 50 MW then the generator </t>
  </si>
  <si>
    <t>Slows down</t>
  </si>
  <si>
    <t>speeds up</t>
  </si>
  <si>
    <t>no change in speed</t>
  </si>
  <si>
    <t>trips</t>
  </si>
  <si>
    <t xml:space="preserve">Keeping the generation constant, if the load increases by 10% then the island frequency will </t>
  </si>
  <si>
    <t>drop</t>
  </si>
  <si>
    <t>rise</t>
  </si>
  <si>
    <t>not change</t>
  </si>
  <si>
    <t>come down by half</t>
  </si>
  <si>
    <t xml:space="preserve">Unused generator capacity which is already on line and available to take load is called </t>
  </si>
  <si>
    <t>operating</t>
  </si>
  <si>
    <t>spinning</t>
  </si>
  <si>
    <t>regulating</t>
  </si>
  <si>
    <t>capacity</t>
  </si>
  <si>
    <t xml:space="preserve">The component which senses the frequency variations on the system and adjusts the MW output of the turbine generator is called </t>
  </si>
  <si>
    <t>exciter</t>
  </si>
  <si>
    <t>governor</t>
  </si>
  <si>
    <t>OLTC</t>
  </si>
  <si>
    <t>frequency relay</t>
  </si>
  <si>
    <t xml:space="preserve">If the frequency begins to rise, the governor will </t>
  </si>
  <si>
    <t>increase the MW output</t>
  </si>
  <si>
    <t>decrease the MW output</t>
  </si>
  <si>
    <t>maintain constant output</t>
  </si>
  <si>
    <t>In order that the frequency of the system to remain constant the electrical power output of the generator must be ___ the power required by the system load plus losses</t>
  </si>
  <si>
    <t>greater than</t>
  </si>
  <si>
    <t xml:space="preserve">less than </t>
  </si>
  <si>
    <t xml:space="preserve">equal to </t>
  </si>
  <si>
    <t>No relationship</t>
  </si>
  <si>
    <t>With reference to the turbine generator, the load angle is the phase angle difference between</t>
  </si>
  <si>
    <t>rotor and stator</t>
  </si>
  <si>
    <t xml:space="preserve">turbine and generator </t>
  </si>
  <si>
    <t>boiler and turbile</t>
  </si>
  <si>
    <t>generator and transformer</t>
  </si>
  <si>
    <t>The load angle of a generator varies  ____ to the MW load</t>
  </si>
  <si>
    <t>inversely</t>
  </si>
  <si>
    <t>directly</t>
  </si>
  <si>
    <t>exponentialy</t>
  </si>
  <si>
    <t>extremely 
inversely</t>
  </si>
  <si>
    <t>The governor of a partially loaded generator senses that the frequency dipped from 50.0 to 49.9 Hz. As a result of governor action the load angle of the machine will</t>
  </si>
  <si>
    <t>remain constant</t>
  </si>
  <si>
    <t>decrease by 10 degrees</t>
  </si>
  <si>
    <t>The power flow increases as the load angle increases up to  _____________ degrees.</t>
  </si>
  <si>
    <t>When the load angle exceeds the maximum limit then the power output of the generator will _____</t>
  </si>
  <si>
    <t>remains constant</t>
  </si>
  <si>
    <t>increases by 100%</t>
  </si>
  <si>
    <t xml:space="preserve">The reason that several generators on one bus of same capacity can operate at different power outputs while remaining interconnected and synchronised is that these are operating at different </t>
  </si>
  <si>
    <t>speeds</t>
  </si>
  <si>
    <t>load angles</t>
  </si>
  <si>
    <t>frequencies</t>
  </si>
  <si>
    <t>voltages</t>
  </si>
  <si>
    <t>What is the primary method of controlling the flow of megawatts in a power system</t>
  </si>
  <si>
    <t>Load shedding</t>
  </si>
  <si>
    <t>generation redispatch</t>
  </si>
  <si>
    <t>change AVR set point</t>
  </si>
  <si>
    <t>AGC</t>
  </si>
  <si>
    <t>The phase angle difference between the voltages at the two ends of a transmission line is of the order of________ degrees</t>
  </si>
  <si>
    <t>Why is the phase angle difference in power system monitored?</t>
  </si>
  <si>
    <t>to maintain stability margin</t>
  </si>
  <si>
    <t>to maintain voltages</t>
  </si>
  <si>
    <t>to maintain frequency</t>
  </si>
  <si>
    <t>to maintain 
loading limits</t>
  </si>
  <si>
    <t>If the voltages V1 and V2 of a transmission line are 200∠300and  220∠150 respectively then</t>
  </si>
  <si>
    <t>MW flows from V1 to V2</t>
  </si>
  <si>
    <t>MW flows from V2 to V1</t>
  </si>
  <si>
    <t>No MW flows in the line</t>
  </si>
  <si>
    <t>No Mvar flows in the line</t>
  </si>
  <si>
    <t>MVar flows from V1 to V2</t>
  </si>
  <si>
    <t>Mvar flows from V2 to v1</t>
  </si>
  <si>
    <t>No MVar flows</t>
  </si>
  <si>
    <t xml:space="preserve">No Mw flows </t>
  </si>
  <si>
    <t>Select the correct statement</t>
  </si>
  <si>
    <t>Phase angle changes as a consequence of changing generation</t>
  </si>
  <si>
    <t>generation changes as a consequence of changing phase angle</t>
  </si>
  <si>
    <t>Phase angle and generation are not related</t>
  </si>
  <si>
    <t>Mvar output and excitation are not related</t>
  </si>
  <si>
    <t>The base impedance in ohms of a 400 kV system on 100 MVA base is</t>
  </si>
  <si>
    <t>The voltages at the two ends of a 400 kV line of 66 ohms reactance are 380∠00 and 408∠50 then steady state maximum power that can be transmitted in p.u is</t>
  </si>
  <si>
    <t>The voltages at the two ends of a 400 kV line of 66 ohms reactance are 380∠00 and 408∠50 then steady state  maximum power that can be transmitted in MW is</t>
  </si>
  <si>
    <t>Which of the single bus substation layout sectionalizes the bus so that the entire substation is not shutdown in the event of a bus fault?</t>
  </si>
  <si>
    <t>Single bus with tie breaker, ring bus</t>
  </si>
  <si>
    <t>One and half breaker</t>
  </si>
  <si>
    <t>Double bus double breaker</t>
  </si>
  <si>
    <t>Main and
 Transfer</t>
  </si>
  <si>
    <t>Which substation layout is the simplest ?</t>
  </si>
  <si>
    <t>Single bus</t>
  </si>
  <si>
    <t>Ring bus</t>
  </si>
  <si>
    <t>In the breaker-and-one-half scheme_____(a)______breakers protect______(b)_________pieces of equipment</t>
  </si>
  <si>
    <t>(a) two, (b) three</t>
  </si>
  <si>
    <t>(a) four, (b) two</t>
  </si>
  <si>
    <t>(a) three, (a) two</t>
  </si>
  <si>
    <t>(a) three, (b) four</t>
  </si>
  <si>
    <t>In which scheme can there be no more than one circuit taken out in the event of a fault?</t>
  </si>
  <si>
    <t>Main and Transfer</t>
  </si>
  <si>
    <t>Single bus with tie breaker</t>
  </si>
  <si>
    <t>double bus double breaker</t>
  </si>
  <si>
    <t>Which scheme uses an auxiliary bus or transfer bus with a tie breaker that can be substituted for a line breaker?</t>
  </si>
  <si>
    <t>Main and transfer</t>
  </si>
  <si>
    <t>What is the high dielectric strength gas used to insulate gas insulated substations?</t>
  </si>
  <si>
    <t>Air</t>
  </si>
  <si>
    <t>Nitrogen</t>
  </si>
  <si>
    <t>Sulfur hexafluoride</t>
  </si>
  <si>
    <t>Carbon dioxide</t>
  </si>
  <si>
    <t>The winding of the transformer which may be used for protection as well as for serving load is called the ________ winding</t>
  </si>
  <si>
    <t>Primary</t>
  </si>
  <si>
    <t>Secondary</t>
  </si>
  <si>
    <t>Tertiary</t>
  </si>
  <si>
    <t>Auxiliary</t>
  </si>
  <si>
    <t>In a generator step-up transformer which type of winding would be used for the lower side (generator side) of the transformer</t>
  </si>
  <si>
    <t>Wye</t>
  </si>
  <si>
    <t>Delta</t>
  </si>
  <si>
    <t>Zig zag</t>
  </si>
  <si>
    <t>Does not matter</t>
  </si>
  <si>
    <t>What type of transformer is designed so that the primary and secondary windings are connected together?</t>
  </si>
  <si>
    <t>Three winding transformer</t>
  </si>
  <si>
    <t>Two winding transformer</t>
  </si>
  <si>
    <t>Auto transformer</t>
  </si>
  <si>
    <t>Converter transformer</t>
  </si>
  <si>
    <t>Transformer taps which change the system voltage while the transformer is carrying load are called</t>
  </si>
  <si>
    <t>Off load tap changer</t>
  </si>
  <si>
    <t>On load tap changer</t>
  </si>
  <si>
    <t>Steady state tap changer</t>
  </si>
  <si>
    <t>Dynamic tap changer</t>
  </si>
  <si>
    <t>The mismatch between actual and scheduled interchange is known as _____________</t>
  </si>
  <si>
    <t>Scheduled interchange</t>
  </si>
  <si>
    <t>Unscheduled interchange</t>
  </si>
  <si>
    <t>Import</t>
  </si>
  <si>
    <t>Export</t>
  </si>
  <si>
    <t>Zero</t>
  </si>
  <si>
    <t>500 MW from Control Area A to Control Area B</t>
  </si>
  <si>
    <t>500 MW from Control Area B to Control Area A</t>
  </si>
  <si>
    <t>300 MW from Control Area A to Control Area B</t>
  </si>
  <si>
    <t xml:space="preserve">There will be no change in the frequency </t>
  </si>
  <si>
    <t>Frequency in Control Area A will be rise above 50 Hz and and decrease to less than 50 Hz in Control Area B</t>
  </si>
  <si>
    <t>Frequency in Control Area B will be rise above 50 Hz and and decrease to less than 50 Hz in Control Area A</t>
  </si>
  <si>
    <t>Area B collapses while A continues to run smoothly</t>
  </si>
  <si>
    <t>Choose the correct power balance equation for a control area</t>
  </si>
  <si>
    <t>Load + Losses = Generation + Import</t>
  </si>
  <si>
    <t>Supply + Losses= Load + Import</t>
  </si>
  <si>
    <t>Supply + Load = Losses + Import</t>
  </si>
  <si>
    <t>Supply = Load + Losses + Import</t>
  </si>
  <si>
    <t>A generator is supplying 150 MW to a 150 MW load. There are no other generators in the system. The generator is operating at its maximum power output. If the load increases from 150 Mw to 180 MW, the generator will</t>
  </si>
  <si>
    <t>speed up</t>
  </si>
  <si>
    <t>slow down</t>
  </si>
  <si>
    <t>stop</t>
  </si>
  <si>
    <t>A generator is supplying 150 MW to a 150 MW load. There are no other generators in the system. The generator is operating at its maximum power output. If the load decrease from 150 Mw to 120 MW.</t>
  </si>
  <si>
    <t>Frequency drops</t>
  </si>
  <si>
    <t>Frequency rises</t>
  </si>
  <si>
    <t>There is no change in frequency</t>
  </si>
  <si>
    <t>Generator trips</t>
  </si>
  <si>
    <t>The power system that controls generation to maintain interchange schedules &amp; interconnection frequency is known as a ________________ area</t>
  </si>
  <si>
    <t>Load area</t>
  </si>
  <si>
    <t>Generation Area</t>
  </si>
  <si>
    <t xml:space="preserve">Control area </t>
  </si>
  <si>
    <t>In a control area, the operator tries to adjust the total power generation from many units to match the continually changing power demand. When power demand increases, one solution is to adjust total power generation by________________</t>
  </si>
  <si>
    <t>Increasing the power output</t>
  </si>
  <si>
    <t>Decreasing the power output</t>
  </si>
  <si>
    <t>Neither A nor B</t>
  </si>
  <si>
    <t>To increase the power output from a generator , we must perform one of the following actions</t>
  </si>
  <si>
    <t>increase the terminal voltage</t>
  </si>
  <si>
    <t>increase the excitation</t>
  </si>
  <si>
    <t>Increase the power input to the prime mover</t>
  </si>
  <si>
    <t>Input to a steam turbine is, of course, steam. How can this steam be created</t>
  </si>
  <si>
    <t>By burning coal in a boiler</t>
  </si>
  <si>
    <t>by burning oil in a boiler</t>
  </si>
  <si>
    <t>Either  A or B</t>
  </si>
  <si>
    <t xml:space="preserve">what is the initial response when additional power is drawn from the generator </t>
  </si>
  <si>
    <t>Machine speeds up</t>
  </si>
  <si>
    <t>Voltage falls</t>
  </si>
  <si>
    <t>Machine Speed decreases</t>
  </si>
  <si>
    <t>A control area is operating in complete balance, with total generation equal to 3000MW, total load (including losses) equal to 3500MW and 500MW imported over a single tie line. Suppose the tie line suddenly trips out of service. What immediately happens to the speed of the machines in the control area</t>
  </si>
  <si>
    <t>All the machine slow down</t>
  </si>
  <si>
    <t>Some machines slow down</t>
  </si>
  <si>
    <t>All the machine speed up</t>
  </si>
  <si>
    <t>A control area is operating in complete balance, with total generation equal to 3000MW, total load (including loses) equal to 3500MW and 500MW imported over a single tie line. Suppose the tie line suddenly trips out of service. What immediately happens to the frequency</t>
  </si>
  <si>
    <t>Frequency increases</t>
  </si>
  <si>
    <t>Frequency decreases</t>
  </si>
  <si>
    <t>A generator load has decreased to 50% of unit capacity. While turbine input remains at 80%. As a result machine tends to</t>
  </si>
  <si>
    <t xml:space="preserve">Slow down </t>
  </si>
  <si>
    <t>Decrease voltage</t>
  </si>
  <si>
    <t>increase speed</t>
  </si>
  <si>
    <t>What is the response of the turbine-governor when there is a drop in load?</t>
  </si>
  <si>
    <t>the governer opens the turbine control valve to increase turbine input</t>
  </si>
  <si>
    <t>The governer waits several several minutes to see what happens</t>
  </si>
  <si>
    <t>The governer closes the control valve position some what to decrease turbine input</t>
  </si>
  <si>
    <t>Why does a 3000rpm machine spinning twice as fast as  1500 rpm machine produce the same 50Hz frequency at its terminals</t>
  </si>
  <si>
    <t>The units are synchronized together</t>
  </si>
  <si>
    <t>The machines are built with a different number of magnetic poles.</t>
  </si>
  <si>
    <t>The mode of energy conservation is different (I.e., steam, water, fuel or nuclear)</t>
  </si>
  <si>
    <t>How does the turbine governer respond to falling frequency</t>
  </si>
  <si>
    <t>opens the control valve to admit more power to the turbine</t>
  </si>
  <si>
    <t>closes the control valve to reduce the power input</t>
  </si>
  <si>
    <t>What possible problems could be caused by continous low frequency operation say 48Hz on a 50Hz system</t>
  </si>
  <si>
    <t>Gain of time on synchronous clocks</t>
  </si>
  <si>
    <t>possible damage to turbine blades due to vibration at low speed</t>
  </si>
  <si>
    <t>certain customers equipment will run at higher than normal speed</t>
  </si>
  <si>
    <t>If the speed droop of a 60Hz machine is 4%. What frequency drop must occur to effect a 25% load increase on that machine.</t>
  </si>
  <si>
    <t>2.4 Hz drop</t>
  </si>
  <si>
    <t>1.2 Hz drop</t>
  </si>
  <si>
    <t>0.6 Hz drop</t>
  </si>
  <si>
    <t>What is the typical value for percentage speed droop</t>
  </si>
  <si>
    <t>When frequency rises above the design or rated value of an electric motor, the motor draws________________</t>
  </si>
  <si>
    <t>Less power</t>
  </si>
  <si>
    <t>More power</t>
  </si>
  <si>
    <t>Power drawn is not affected by frequency</t>
  </si>
  <si>
    <t>What is the typical value for governer time lag</t>
  </si>
  <si>
    <t>10 Sec</t>
  </si>
  <si>
    <t>4 Sec</t>
  </si>
  <si>
    <t>10 Min</t>
  </si>
  <si>
    <t xml:space="preserve">Frequency response from loads is better in respect of </t>
  </si>
  <si>
    <t>Lighting load</t>
  </si>
  <si>
    <t>Rotating loads</t>
  </si>
  <si>
    <t>A combination of A and B</t>
  </si>
  <si>
    <t>Silicon loads</t>
  </si>
  <si>
    <t>System voltages are most affected by</t>
  </si>
  <si>
    <t>Generation, absorption and flow of VARs</t>
  </si>
  <si>
    <t>Generation, utilization and flow of MW</t>
  </si>
  <si>
    <t>Method of controlling reactive power flows in a system is by</t>
  </si>
  <si>
    <t>Switching shunt capacitors and reactors</t>
  </si>
  <si>
    <t>Change taps in transformers</t>
  </si>
  <si>
    <t>Adjusting excitation current on generators</t>
  </si>
  <si>
    <t>Real power output from a generator would increase with respect to excitation if</t>
  </si>
  <si>
    <t>Excitation is increased</t>
  </si>
  <si>
    <t>Excitation is reduced</t>
  </si>
  <si>
    <t>Remains unchanged</t>
  </si>
  <si>
    <t>Excitation is fixed and cannot be changed</t>
  </si>
  <si>
    <t>Tap settings of two identical transformers connected in parallel should be</t>
  </si>
  <si>
    <t>Equal</t>
  </si>
  <si>
    <t>Two taps apart</t>
  </si>
  <si>
    <t>One tap apart</t>
  </si>
  <si>
    <t>Which of the following statements are true:                            (i) MW flows are changed by changing tap settings on transformers.    (ii) Var generation/ absorption on generating units can be changed by changing transformer taps</t>
  </si>
  <si>
    <t>(i)</t>
  </si>
  <si>
    <t xml:space="preserve">(ii) </t>
  </si>
  <si>
    <t>Both (i) and (ii)</t>
  </si>
  <si>
    <t>Which of the following statements are true:  A system operator would change transformer taps to -                                       (i) raise or lower voltage during high or low load periods.           (ii) shift Var flow between generating units</t>
  </si>
  <si>
    <t>To raise the voltage on a load bus at the end of a long transmission line, which type of equipment will be switched on?</t>
  </si>
  <si>
    <t>Shunt capacitors</t>
  </si>
  <si>
    <t>Shunt reactors</t>
  </si>
  <si>
    <t>Device that may be installed on power systems to both raise and lower voltage (at the same location) as the need arises</t>
  </si>
  <si>
    <t>Synchronous condensers</t>
  </si>
  <si>
    <t>Which of the following statements are correct:                       (i) Changing transformer taps change flow of VArs in the system.   (ii) Shunt capacitors generate VArs and shunt reactors absorb Vars.   (iii) Changing tap  settings affect the flow of MW.</t>
  </si>
  <si>
    <t>(i) &amp; (iii)</t>
  </si>
  <si>
    <t>(ii) &amp; (iii)</t>
  </si>
  <si>
    <t>(i), (ii) &amp; (iii)</t>
  </si>
  <si>
    <t>(i) &amp; (ii)</t>
  </si>
  <si>
    <t xml:space="preserve">Ferranti effect is predominant in </t>
  </si>
  <si>
    <t>Short lines</t>
  </si>
  <si>
    <t>Medium lines</t>
  </si>
  <si>
    <t>Long lines</t>
  </si>
  <si>
    <t>All A, B &amp; C</t>
  </si>
  <si>
    <t>What kind of equipment may be installed on transmission systems to correct the Ferranti effect?</t>
  </si>
  <si>
    <t>DC Transmission is not a part of-</t>
  </si>
  <si>
    <t xml:space="preserve">     HVDC Bipolar system</t>
  </si>
  <si>
    <t xml:space="preserve"> HVDC Back to Back system</t>
  </si>
  <si>
    <t>HVDC Monopolar System</t>
  </si>
  <si>
    <t xml:space="preserve">AC Filters in HVDC System are used for </t>
  </si>
  <si>
    <t>Reactive Power requirement</t>
  </si>
  <si>
    <t>Harmonic Reduction</t>
  </si>
  <si>
    <t xml:space="preserve">Reactive Power requirement for each terminal of HVDC system is generally of the order of </t>
  </si>
  <si>
    <t>10 - 20%</t>
  </si>
  <si>
    <t>50 - 60%</t>
  </si>
  <si>
    <t>Smoothing Reactor is required in HVDC System for</t>
  </si>
  <si>
    <t>Smoothing DC ripples</t>
  </si>
  <si>
    <t>Limiting fault current</t>
  </si>
  <si>
    <t>Following are a part of Valve Hall HVDC System</t>
  </si>
  <si>
    <t>Thyristor</t>
  </si>
  <si>
    <t>Varistor</t>
  </si>
  <si>
    <t>Transistor</t>
  </si>
  <si>
    <t>Diode</t>
  </si>
  <si>
    <t>HVDC Valves are generally</t>
  </si>
  <si>
    <t>Air cooled</t>
  </si>
  <si>
    <t>Water Cooled</t>
  </si>
  <si>
    <t>Oil Cooled</t>
  </si>
  <si>
    <t xml:space="preserve">Earth electrode is essential part of </t>
  </si>
  <si>
    <t>HVDC Back to Back</t>
  </si>
  <si>
    <t>HVDC Bipolar system</t>
  </si>
  <si>
    <t>HVDC systems are advantageous in</t>
  </si>
  <si>
    <t>Long distance transmission</t>
  </si>
  <si>
    <t>Connection of asynchronous grids</t>
  </si>
  <si>
    <t xml:space="preserve">Snubber circuit is a part of </t>
  </si>
  <si>
    <t>AC Yard</t>
  </si>
  <si>
    <t>DC Yard</t>
  </si>
  <si>
    <t>Valve Hall</t>
  </si>
  <si>
    <t>Valve Ventilation</t>
  </si>
  <si>
    <t>DC filters in HVDC system are generally used for</t>
  </si>
  <si>
    <t>Harmonic reduction</t>
  </si>
  <si>
    <t>Reactive Power Supply</t>
  </si>
  <si>
    <t xml:space="preserve">HVDC current is generally controlled by </t>
  </si>
  <si>
    <t>Rectifier</t>
  </si>
  <si>
    <t>Interter</t>
  </si>
  <si>
    <t>Filter</t>
  </si>
  <si>
    <t>Snubber</t>
  </si>
  <si>
    <t>Following is an advantage of HVDC system</t>
  </si>
  <si>
    <t>Increased right of way</t>
  </si>
  <si>
    <t>Reduced right of way</t>
  </si>
  <si>
    <t>Higher transmission losses</t>
  </si>
  <si>
    <t xml:space="preserve">Converter transformer is exposed to </t>
  </si>
  <si>
    <t>AC stresses</t>
  </si>
  <si>
    <t>DC Stresses</t>
  </si>
  <si>
    <t>ProtectionMVAR</t>
  </si>
  <si>
    <t xml:space="preserve">The vector sum of active power and reactive power required is ____. </t>
  </si>
  <si>
    <t xml:space="preserve">Apparent Power  </t>
  </si>
  <si>
    <t xml:space="preserve">Power Factor  </t>
  </si>
  <si>
    <t xml:space="preserve">Load Factor    </t>
  </si>
  <si>
    <t xml:space="preserve">Maximum 
Demand </t>
  </si>
  <si>
    <t xml:space="preserve">Power factor is the ratio of ____ and apparent power. </t>
  </si>
  <si>
    <t>Active power</t>
  </si>
  <si>
    <t xml:space="preserve">Reactive power </t>
  </si>
  <si>
    <t xml:space="preserve">The kVAr rating required for improving the power factor of a load operating at 500 kW and 0.85 power factor to 0.95 is ________. </t>
  </si>
  <si>
    <t>145kVAr</t>
  </si>
  <si>
    <t xml:space="preserve">500 kVAr </t>
  </si>
  <si>
    <t xml:space="preserve"> 50 kVAr    </t>
  </si>
  <si>
    <t xml:space="preserve">300 kVAr </t>
  </si>
  <si>
    <t xml:space="preserve"> If voltage applied to a 415 V rated capacitors drops by 10%, its VAR output drops by ____. </t>
  </si>
  <si>
    <t xml:space="preserve">Capacitors with automatic power factor controller when installed in a plant: </t>
  </si>
  <si>
    <t xml:space="preserve">reduces active power drawn from grid </t>
  </si>
  <si>
    <t>reduces the reactive power drawn from grid</t>
  </si>
  <si>
    <t xml:space="preserve">reduces the voltage of the plant </t>
  </si>
  <si>
    <t xml:space="preserve">increases the load current of the plant </t>
  </si>
  <si>
    <t xml:space="preserve">If the reactive power drawn by a particular load is zero, it means the load is operating at </t>
  </si>
  <si>
    <t xml:space="preserve">unity power factor </t>
  </si>
  <si>
    <t xml:space="preserve"> lagging power factor </t>
  </si>
  <si>
    <t xml:space="preserve">leading power factor </t>
  </si>
  <si>
    <t xml:space="preserve">none of
 the above </t>
  </si>
  <si>
    <t xml:space="preserve">The nearest kVAr compensation required for improving the power factor of a 500 kW load from 0.8 lag to unity power factor is </t>
  </si>
  <si>
    <t>375 kVAr</t>
  </si>
  <si>
    <t xml:space="preserve">100 kVAr </t>
  </si>
  <si>
    <t>Series capacitor are used for reducing line</t>
  </si>
  <si>
    <t xml:space="preserve">capacitive reactance  </t>
  </si>
  <si>
    <t>inductive reactance effect</t>
  </si>
  <si>
    <t xml:space="preserve">voltage    </t>
  </si>
  <si>
    <t>regulation</t>
  </si>
  <si>
    <t>Ferranti effect on long overhead lines is experienced when</t>
  </si>
  <si>
    <t>the line is lightly loaded</t>
  </si>
  <si>
    <t>the power factor is unit</t>
  </si>
  <si>
    <t>the power factor is leading</t>
  </si>
  <si>
    <t>the line is highly loaded</t>
  </si>
  <si>
    <t>If the power transmitted is to be increased, the surge impedance should be</t>
  </si>
  <si>
    <t>decreased</t>
  </si>
  <si>
    <t>increased</t>
  </si>
  <si>
    <t xml:space="preserve">zero   </t>
  </si>
  <si>
    <t>Consider a transmission line transmitting a fixed amount of power. The efficiency of transmission increases, when</t>
  </si>
  <si>
    <t>voltage decreases, power factor remains constant.</t>
  </si>
  <si>
    <t xml:space="preserve"> voltage increases and power factor also increases.</t>
  </si>
  <si>
    <t>voltage decreases, power factor decreases.</t>
  </si>
  <si>
    <t>voltage is constant, power factor decreases.</t>
  </si>
  <si>
    <t>Charging current in the transmission line</t>
  </si>
  <si>
    <t>lags the voltage by 90 degrees</t>
  </si>
  <si>
    <t xml:space="preserve"> leads the voltage by 45 degrees</t>
  </si>
  <si>
    <t>leads the voltage by 90 degrees</t>
  </si>
  <si>
    <t>leads the voltage by 180 degrees</t>
  </si>
  <si>
    <t>Why are shunt reactors connected at receiving end of long transmission line system?</t>
  </si>
  <si>
    <t>To increase terminal voltage</t>
  </si>
  <si>
    <t>To compensate voltage rise caused by capacitive charging at light load</t>
  </si>
  <si>
    <t>To improve power factor</t>
  </si>
  <si>
    <t xml:space="preserve">Power factor can be improved by installing such a device in parallel with load which takes </t>
  </si>
  <si>
    <t>lagging reactive power</t>
  </si>
  <si>
    <t>leading reactive power</t>
  </si>
  <si>
    <t>apparent power</t>
  </si>
  <si>
    <t>Shunt compensation in an EHV line is used to improve</t>
  </si>
  <si>
    <t>stability</t>
  </si>
  <si>
    <t>fault level</t>
  </si>
  <si>
    <t>voltage profile</t>
  </si>
  <si>
    <t>Match the line charging MVAr with the corresponding transmission line 1)800 kV 2) 400 kV 3) 220 kV - a)0.555 MVAr/km b) 0.135 MVAr/km c) 2.91 MVAr/km</t>
  </si>
  <si>
    <t xml:space="preserve"> 1-b, 2-a, 3-c</t>
  </si>
  <si>
    <t xml:space="preserve"> 1-a, 2-b, 3-c</t>
  </si>
  <si>
    <t>1-c, 2-a, 3-b</t>
  </si>
  <si>
    <t>1-c, 2-b, 3-a</t>
  </si>
  <si>
    <t xml:space="preserve">Which of the following statements  with respect to fault level of a bus is correct?                                                                (i). Ability to hold its voltage when the fault is at a different bus.  (ii) Helps in choosing the circuit breaker of appropriate current breaking capacity.  </t>
  </si>
  <si>
    <t>(ii)</t>
  </si>
  <si>
    <t>Both (i) &amp; (ii)</t>
  </si>
  <si>
    <t>A long line should be charged from…………..fault Level end.</t>
  </si>
  <si>
    <t>Low</t>
  </si>
  <si>
    <t>High</t>
  </si>
  <si>
    <t>Either end</t>
  </si>
  <si>
    <t>A long line having line reactor at one end should be charged from the end where there _________ line reactor.</t>
  </si>
  <si>
    <t>Is a</t>
  </si>
  <si>
    <t>Is no</t>
  </si>
  <si>
    <t>Generally A well connected substation has _________fault level.</t>
  </si>
  <si>
    <t>Infinite</t>
  </si>
  <si>
    <t>Capacitance of a transmission Lines depends on its</t>
  </si>
  <si>
    <t>Voltage level</t>
  </si>
  <si>
    <t>Length</t>
  </si>
  <si>
    <t>Height</t>
  </si>
  <si>
    <t>The smaller the lagging reactive power drawn by a circuit, its p.f will be</t>
  </si>
  <si>
    <t>Better</t>
  </si>
  <si>
    <t>Poorer</t>
  </si>
  <si>
    <t>Unit</t>
  </si>
  <si>
    <t>KVAr is equal to</t>
  </si>
  <si>
    <t>kW tan Φ</t>
  </si>
  <si>
    <t>kW sin Φ</t>
  </si>
  <si>
    <t>kVA cos Φ</t>
  </si>
  <si>
    <t>The best location of the power factor correction equipment to be installed in the transmission line is at</t>
  </si>
  <si>
    <t>the sending end</t>
  </si>
  <si>
    <t>the receiving end</t>
  </si>
  <si>
    <t>any place</t>
  </si>
  <si>
    <t>Which protection is used to prevent grid disturbance due to big loss of generation?</t>
  </si>
  <si>
    <t>Under Frequency Relay</t>
  </si>
  <si>
    <t>Rate of Change of Frequency</t>
  </si>
  <si>
    <t xml:space="preserve">The generator rotor winding is usually </t>
  </si>
  <si>
    <t>Grounded with resistance</t>
  </si>
  <si>
    <t>Grounded with a capacitor</t>
  </si>
  <si>
    <t>Grounded solidly</t>
  </si>
  <si>
    <t>Not grounded</t>
  </si>
  <si>
    <t>The large generators are usually grounded through a ..</t>
  </si>
  <si>
    <t>Resistor</t>
  </si>
  <si>
    <t>Reactor</t>
  </si>
  <si>
    <t>Distribution transformer</t>
  </si>
  <si>
    <t>Conductor</t>
  </si>
  <si>
    <t>The ---------- relay will prevent over heating of Generator rotor due to prolonged out-of-balance operation</t>
  </si>
  <si>
    <t>over current</t>
  </si>
  <si>
    <t>overfluxing</t>
  </si>
  <si>
    <t>negative sequence</t>
  </si>
  <si>
    <t>over voltage</t>
  </si>
  <si>
    <t>The extent of unbalance in the Generator / Motor currents are indicated by ---------- currents</t>
  </si>
  <si>
    <t>Positive sequence</t>
  </si>
  <si>
    <t xml:space="preserve">Negative sequence </t>
  </si>
  <si>
    <t xml:space="preserve">Harmonic </t>
  </si>
  <si>
    <t>Saturation</t>
  </si>
  <si>
    <t>The setting of a negative sequence relay is I2**2 * T =15, indicates that the relay picks up in --------seconds when the Negative sequence current is equal to 1.0 p.u.</t>
  </si>
  <si>
    <t>The 81f over frequency relay having 110% setting picsup at ---- Hz</t>
  </si>
  <si>
    <t xml:space="preserve">The loss of field of a generator results in generator </t>
  </si>
  <si>
    <t>run as induction generator</t>
  </si>
  <si>
    <t>run as motor</t>
  </si>
  <si>
    <t>no effect</t>
  </si>
  <si>
    <t>What is the Unit of System Inertia Constant ?</t>
  </si>
  <si>
    <t>Kg - m2</t>
  </si>
  <si>
    <t>m per sec 2</t>
  </si>
  <si>
    <t>sec</t>
  </si>
  <si>
    <t>SPS   is used to protect</t>
  </si>
  <si>
    <t>Line</t>
  </si>
  <si>
    <t xml:space="preserve">Transformer </t>
  </si>
  <si>
    <t xml:space="preserve">Substation </t>
  </si>
  <si>
    <t>Power System</t>
  </si>
  <si>
    <t>Which relay can be used to protect the generator / Transformer against overfluxing ?</t>
  </si>
  <si>
    <t>Over-Voltage Relay</t>
  </si>
  <si>
    <t>Under frequency Relay</t>
  </si>
  <si>
    <t>Over-Fluxing Relays</t>
  </si>
  <si>
    <t xml:space="preserve">How many stages of over-voltage protection is normally used in Indian Power System? </t>
  </si>
  <si>
    <t xml:space="preserve">One </t>
  </si>
  <si>
    <t>Two</t>
  </si>
  <si>
    <t>Three</t>
  </si>
  <si>
    <t>Four</t>
  </si>
  <si>
    <t>What Type of Auto-Reclosing arrangement is used in Indian Power System?</t>
  </si>
  <si>
    <t>High Speed Single pole reclosing (HSAR)</t>
  </si>
  <si>
    <t>High Speed Three pole reclosing (HTAR)</t>
  </si>
  <si>
    <t>Delayed Three Pole reclosing (DAR)</t>
  </si>
  <si>
    <t>Delayed auto reclosing (DAR) with dead line (DL) and synchronism check (SC)</t>
  </si>
  <si>
    <t>Which is desirable for Over voltage Protection ?</t>
  </si>
  <si>
    <t>High drop off to Pickup Ratio</t>
  </si>
  <si>
    <t>Low drop off to Pickup Ratio</t>
  </si>
  <si>
    <t>Not affected by drop-off to Pickup Ratio</t>
  </si>
  <si>
    <t>High Pick up to drop off ratio</t>
  </si>
  <si>
    <t>SOTF Stands for</t>
  </si>
  <si>
    <t>Switch on to Fault</t>
  </si>
  <si>
    <t>Switch off To Fault</t>
  </si>
  <si>
    <t>Switch on Transformer</t>
  </si>
  <si>
    <t xml:space="preserve">Negative sequence Protection is used for </t>
  </si>
  <si>
    <t xml:space="preserve">Line </t>
  </si>
  <si>
    <t>Busbar</t>
  </si>
  <si>
    <t>In electrical protection system code 86 denotes</t>
  </si>
  <si>
    <t>An auxiliary relay</t>
  </si>
  <si>
    <t>Trip relay</t>
  </si>
  <si>
    <t>Over voltage relay</t>
  </si>
  <si>
    <t>Breaker</t>
  </si>
  <si>
    <t>LFP in generators stands for</t>
  </si>
  <si>
    <t>Low forward power</t>
  </si>
  <si>
    <t>Light forward power</t>
  </si>
  <si>
    <t>Low frequency power</t>
  </si>
  <si>
    <t>Light frequency power</t>
  </si>
  <si>
    <t xml:space="preserve">Which of the following is a Unit protection </t>
  </si>
  <si>
    <t>Distance protection</t>
  </si>
  <si>
    <t>Over-current protection</t>
  </si>
  <si>
    <t>Differential protection</t>
  </si>
  <si>
    <t xml:space="preserve">Which of the following protection is not applied to transformer </t>
  </si>
  <si>
    <t>Over current protection</t>
  </si>
  <si>
    <t>Pole slipping</t>
  </si>
  <si>
    <t>REF protection</t>
  </si>
  <si>
    <t xml:space="preserve"> In distance protection using Permissive Under Reach scheme, Zone-1 is set to cover</t>
  </si>
  <si>
    <t>100% of the protected line length</t>
  </si>
  <si>
    <t>60% of protected line length</t>
  </si>
  <si>
    <t>80% of the protected line length</t>
  </si>
  <si>
    <t>120% of the protected line length</t>
  </si>
  <si>
    <t xml:space="preserve">The time delay for Zone-3 in distance protection </t>
  </si>
  <si>
    <t>100-200 ms</t>
  </si>
  <si>
    <t>500-800ms</t>
  </si>
  <si>
    <t>1000-1200ms</t>
  </si>
  <si>
    <t>No time delay</t>
  </si>
  <si>
    <t>A fuse in secondary circuit is not provided for</t>
  </si>
  <si>
    <t>Current transformers</t>
  </si>
  <si>
    <t>Potential transformers</t>
  </si>
  <si>
    <t>CVT</t>
  </si>
  <si>
    <t>Relay</t>
  </si>
  <si>
    <t>For LBB relay to operate which of the following is required</t>
  </si>
  <si>
    <t>Initiation &amp; current flow in CT secondary</t>
  </si>
  <si>
    <t>Only current flow</t>
  </si>
  <si>
    <t>Initiation, Time delay &amp; current in CT Secondary</t>
  </si>
  <si>
    <t>Dead time for autoreclose is</t>
  </si>
  <si>
    <t>1 minute</t>
  </si>
  <si>
    <t>1 sec</t>
  </si>
  <si>
    <t>5 minute</t>
  </si>
  <si>
    <t>10 milli sec</t>
  </si>
  <si>
    <t>Reclaim time for autoreclose is</t>
  </si>
  <si>
    <t>5 Sec</t>
  </si>
  <si>
    <t>25 Sec</t>
  </si>
  <si>
    <t>Over voltage protection is provided for</t>
  </si>
  <si>
    <t>Transformer</t>
  </si>
  <si>
    <t>Transmission line</t>
  </si>
  <si>
    <t>both b &amp; c</t>
  </si>
  <si>
    <t xml:space="preserve">Over voltage stage-I setting is </t>
  </si>
  <si>
    <t>Over Voltage Stage –II setting is</t>
  </si>
  <si>
    <t>140% and above</t>
  </si>
  <si>
    <t>Reverse Power protection is provided for</t>
  </si>
  <si>
    <t xml:space="preserve">Auto reclose function is used for reclosing of </t>
  </si>
  <si>
    <t xml:space="preserve">Transmission line </t>
  </si>
  <si>
    <t>Bus bar</t>
  </si>
  <si>
    <t>The differential protection relay compares the incoming &amp; outgoing</t>
  </si>
  <si>
    <t xml:space="preserve">voltage </t>
  </si>
  <si>
    <t>current</t>
  </si>
  <si>
    <t>power</t>
  </si>
  <si>
    <t>phase angle</t>
  </si>
  <si>
    <t xml:space="preserve">Over flux alarm in a transformer is set at </t>
  </si>
  <si>
    <t>Input quantities to a distance relay are</t>
  </si>
  <si>
    <t>Current &amp; voltage</t>
  </si>
  <si>
    <t>voltage</t>
  </si>
  <si>
    <t>The symbol 59 denotes</t>
  </si>
  <si>
    <t>Overvoltage relay</t>
  </si>
  <si>
    <t>Differential relay</t>
  </si>
  <si>
    <t>Over current relay</t>
  </si>
  <si>
    <t xml:space="preserve">Permissive Over Reach schemes are used for lines with </t>
  </si>
  <si>
    <t>Series compensation</t>
  </si>
  <si>
    <t>Shunt compensation</t>
  </si>
  <si>
    <t>Both a&amp; b</t>
  </si>
  <si>
    <t>The inrush current in a transformer contains predominantly</t>
  </si>
  <si>
    <t xml:space="preserve">7th  harmonic </t>
  </si>
  <si>
    <t>2nd harmonic</t>
  </si>
  <si>
    <t>5th Harmonic</t>
  </si>
  <si>
    <t>REF protection is applied for</t>
  </si>
  <si>
    <t>Sensitive Earth fault detection</t>
  </si>
  <si>
    <t xml:space="preserve">Over Voltage </t>
  </si>
  <si>
    <t>What is the primary function of turbine governors on power system generating units.</t>
  </si>
  <si>
    <t>Maintain constant speed (and therefore frequency)</t>
  </si>
  <si>
    <t>Maintain generation -load balance</t>
  </si>
  <si>
    <t>Both (a) and (b)</t>
  </si>
  <si>
    <t>neither (a) nor (b)</t>
  </si>
  <si>
    <t>The turbine governor of a generating unit is set to run at 50 Hz when rated load is applied. Assuming a 4 % droop characteristics, what is the frequency at zero load?</t>
  </si>
  <si>
    <t>50 Hz</t>
  </si>
  <si>
    <t>52.0 Hz</t>
  </si>
  <si>
    <t>0 Hz</t>
  </si>
  <si>
    <t>60 Hz</t>
  </si>
  <si>
    <t>50.5 Hz</t>
  </si>
  <si>
    <t>51.0 Hz</t>
  </si>
  <si>
    <t>400 MW</t>
  </si>
  <si>
    <t>300 MW</t>
  </si>
  <si>
    <t>PoC-Regulatory</t>
  </si>
  <si>
    <r>
      <rPr>
        <u/>
        <sz val="12"/>
        <rFont val="Arial"/>
        <family val="2"/>
      </rPr>
      <t xml:space="preserve">Which statement if True: </t>
    </r>
    <r>
      <rPr>
        <sz val="12"/>
        <rFont val="Arial"/>
        <family val="2"/>
      </rPr>
      <t xml:space="preserve">                                                         (1) Presently ISTS charges are being calculated both for peak &amp; other than peak scenarios; (2) The basic network for calculation of Loss Allocation Factor uses a truncated model at 400 kV level; (3) The hybrid methodology comprises of Marginal Pricing &amp; Average Pricing Methods; (4) There are 9 slabs for POC rates in Rs/MW/Month &amp; 9 slabs for POC losses in % for each application period;</t>
    </r>
  </si>
  <si>
    <r>
      <rPr>
        <u/>
        <sz val="12"/>
        <rFont val="Arial"/>
        <family val="2"/>
      </rPr>
      <t>No PoC Charge &amp; loss is applicable for</t>
    </r>
    <r>
      <rPr>
        <sz val="12"/>
        <rFont val="Arial"/>
        <family val="2"/>
      </rPr>
      <t xml:space="preserve"> (1) Solar Power Proiects (2) incremental gas based generation from e-bid RLNG upto 2017 (3) Wind generation(4)All of the above</t>
    </r>
  </si>
  <si>
    <r>
      <rPr>
        <u/>
        <sz val="12"/>
        <rFont val="Arial"/>
        <family val="2"/>
      </rPr>
      <t>Which of the statement(s) are correct?</t>
    </r>
    <r>
      <rPr>
        <sz val="12"/>
        <rFont val="Arial"/>
        <family val="2"/>
      </rPr>
      <t>(1)Any ISGS connected to 400 kV ISTS (including those connected to STU &amp;CTU both) shall be treated as a separate zone (2) A generator having LTA/MTOA to ISTS shall be treated as a DIC even if the generator is connected to STU network only. (3) If an ISGS is connected only to STU (by STU lines L1 &amp; L2) YTC of these STU lines can be recovered under Sharing Regulations</t>
    </r>
  </si>
  <si>
    <r>
      <rPr>
        <u/>
        <sz val="12"/>
        <rFont val="Arial"/>
        <family val="2"/>
      </rPr>
      <t>Which statemets(s) are correct?</t>
    </r>
    <r>
      <rPr>
        <sz val="12"/>
        <rFont val="Arial"/>
        <family val="2"/>
      </rPr>
      <t xml:space="preserve">                If CoD of a generator is delayed then (1)the generator shall be liable to pay injection charges corresponding to the LTA granted ; (2)withdrawal charges shall be payble by it @ average withdrawal PoC rate of the target region (3) The beneficiary shall be liable to pay withdrawal charges corresponding to the LTA granted ; (4) Both the generator &amp; its beneficiry shall share the PoC charge calculated @ average PoC rate of withdrawal region in the ratio 50:50;                        </t>
    </r>
  </si>
  <si>
    <r>
      <rPr>
        <u/>
        <sz val="12"/>
        <rFont val="Arial"/>
        <family val="2"/>
      </rPr>
      <t xml:space="preserve">Which statemets(s) are correct? </t>
    </r>
    <r>
      <rPr>
        <sz val="12"/>
        <rFont val="Arial"/>
        <family val="2"/>
      </rPr>
      <t xml:space="preserve">                                               Before CoD of a generator (1) It is liable to pay injecton PoC charge as per actual injection during testing (2) liable to pay WD PoC charge during drawal of start-up power (3) The amount so collected shall be reimbursed to DICs in next quarter(4) Amount so collected shall be reimbursed to DICs in the next month</t>
    </r>
  </si>
  <si>
    <r>
      <rPr>
        <u/>
        <sz val="12"/>
        <rFont val="Arial"/>
        <family val="2"/>
      </rPr>
      <t xml:space="preserve">Which statemets(s) are correct? </t>
    </r>
    <r>
      <rPr>
        <sz val="12"/>
        <rFont val="Arial"/>
        <family val="2"/>
      </rPr>
      <t>(1) The PoC rates for STOA  transactions are computed separately in Paise/kWh (2) STOA injection PoC chagre for ISGS is transferred to its beneficiary DICs as per allocation  (3) Injection POC and withdrawal POC charges are calculted seperately for STOA  (4) No Reliability Support Charge (RSC) is applicable to STOA  tracsactions</t>
    </r>
  </si>
  <si>
    <r>
      <t xml:space="preserve">Actual withdrawal for startup and commissioning activities </t>
    </r>
    <r>
      <rPr>
        <b/>
        <sz val="12"/>
        <rFont val="Arial"/>
        <family val="2"/>
      </rPr>
      <t>by a generator (DIC)</t>
    </r>
    <r>
      <rPr>
        <sz val="12"/>
        <rFont val="Arial"/>
        <family val="2"/>
      </rPr>
      <t xml:space="preserve"> in a time block having no approved withdrawal,  is charged at ______times the zonal PoC withdrawal rate of thatdemand zone </t>
    </r>
  </si>
  <si>
    <r>
      <rPr>
        <u/>
        <sz val="12"/>
        <rFont val="Arial"/>
        <family val="2"/>
      </rPr>
      <t>Which Statements are correct?</t>
    </r>
    <r>
      <rPr>
        <sz val="12"/>
        <rFont val="Arial"/>
        <family val="2"/>
      </rPr>
      <t xml:space="preserve">                                            For HVDC bipole, specifically set up for transfer of power to a target region the  Monthly Transmission Charge is (1) totally borne by target region DICs (2) 90% recovered from Target region DICs &amp; 10% under RSC from all DICs  </t>
    </r>
  </si>
  <si>
    <t>PowerExchange</t>
  </si>
  <si>
    <t>Short Term Open Access Means Open Access for a period upto …. Month at a time (as per CERC STOA Regulations)</t>
  </si>
  <si>
    <t>Term Ahead market” means a market where physical delivery of electricity occurs on a date</t>
  </si>
  <si>
    <t>While cancellation or curtailment of any transaction, the order followed should be</t>
  </si>
  <si>
    <t>1.Long term       2.Bilateral Transactions 3.CollectiveTransactions                 4.  Medium term</t>
  </si>
  <si>
    <t xml:space="preserve">1.Bilateral Transactions 2.CollectiveTransactions                       3.  Medium term              4. Long term    </t>
  </si>
  <si>
    <t>1.Long term       2.Collective Transactions 3.Bilateral Transactions                 4.  Medium term</t>
  </si>
  <si>
    <t>An application for inter-State scheduling for Bilateral Transactions during the third month shall be made</t>
  </si>
  <si>
    <t>up to five (7) days prior to the close of the first month</t>
  </si>
  <si>
    <t>Penalty(in percentage) for each day  in case of default in payment of short term open access charges is</t>
  </si>
  <si>
    <t>In case of refunds arising due to curtailment/revision of Bilateral transactions during the previous month, the same shall disbursed to the concerned applicants</t>
  </si>
  <si>
    <t>Net worth requirement of a Power Exchenge is</t>
  </si>
  <si>
    <t>Rs. 25 crores</t>
  </si>
  <si>
    <t>Rs. 50 crores</t>
  </si>
  <si>
    <t>Rs. 100 crores</t>
  </si>
  <si>
    <t>Rs. 10 crores</t>
  </si>
  <si>
    <t>Congestion revenue generated because of market splitting is</t>
  </si>
  <si>
    <t>Retained by power Exchange</t>
  </si>
  <si>
    <t>Deposited with CERC</t>
  </si>
  <si>
    <t>Transferred to a Regulatory Fund</t>
  </si>
  <si>
    <t>Returned to members</t>
  </si>
  <si>
    <t>Which of the following services can not be provided by a memebr of Power Exchange who is not a trading licensee</t>
  </si>
  <si>
    <t>IT infrastructure</t>
  </si>
  <si>
    <t>Advisory services</t>
  </si>
  <si>
    <t>Standing clearance from SLDC</t>
  </si>
  <si>
    <t>Credit</t>
  </si>
  <si>
    <t>A member of Power Exchange can not hold more than …..% share in the Exchange</t>
  </si>
  <si>
    <t xml:space="preserve">Mismatch between schedule and actual drawal /injection at drawal / injection point is settled </t>
  </si>
  <si>
    <t>Bilaterally</t>
  </si>
  <si>
    <t>through Power Exchange</t>
  </si>
  <si>
    <t>through UI mechanism</t>
  </si>
  <si>
    <t>Total number of Power Exchange(s) given approval / in-principle approval by CERC</t>
  </si>
  <si>
    <t>Clearing Corporation is mandatory before launching of the following type of contract</t>
  </si>
  <si>
    <t>Term ahead</t>
  </si>
  <si>
    <t>Day ahead</t>
  </si>
  <si>
    <t>Derivatives</t>
  </si>
  <si>
    <t>At least ……% of Settlement Gaurantee Fund has be kept in safe liquid investments</t>
  </si>
  <si>
    <t>Member service charge for providing service to clients in day ahead and term ahead market can not exceed</t>
  </si>
  <si>
    <t>Which of the following is true</t>
  </si>
  <si>
    <t>Power Exchange contracts are standardised, whereas OTC contracts may be customised</t>
  </si>
  <si>
    <t>OTC contracts are standardised, whereas Power Exchange contracts may be customised</t>
  </si>
  <si>
    <t>Both Power Exchange and OTC contracts are standardised</t>
  </si>
  <si>
    <t>Both Power Exchange and OTC contracts are customised</t>
  </si>
  <si>
    <t>Registration of Power Exchange os done for a period of</t>
  </si>
  <si>
    <t>At least ……… of directors of Power Exchange should be independent directors</t>
  </si>
  <si>
    <t>half</t>
  </si>
  <si>
    <t>one third</t>
  </si>
  <si>
    <t>one fourth</t>
  </si>
  <si>
    <t>one fifth</t>
  </si>
  <si>
    <t>Power Exchange is not mandatorily required to constitute the following Committee</t>
  </si>
  <si>
    <t>Risk Management Committee</t>
  </si>
  <si>
    <t>Market surveillance Committee</t>
  </si>
  <si>
    <t>SGF Management Committee</t>
  </si>
  <si>
    <t>Coordination Committee</t>
  </si>
  <si>
    <t>Application for inter-state Term ahead contract is submitted to</t>
  </si>
  <si>
    <t>Definition of Ancillary Services has been given in</t>
  </si>
  <si>
    <t>Electricity Act, 2003</t>
  </si>
  <si>
    <t>Indian Electricity Grid Code, 2010</t>
  </si>
  <si>
    <t>UI Regulations, 2009</t>
  </si>
  <si>
    <t>NLDC\RLDCs have been entrusted the responsibility of identifying Ancillary Services as per</t>
  </si>
  <si>
    <t>Residual amount in………….is to be used for providing ancillary services</t>
  </si>
  <si>
    <t>Reactive Power pool</t>
  </si>
  <si>
    <t>UI pool</t>
  </si>
  <si>
    <t>Congestion revenue account</t>
  </si>
  <si>
    <t>Reagonal Energy Account</t>
  </si>
  <si>
    <t>Free / Restricted Governor Mode in India is………</t>
  </si>
  <si>
    <t>Mandated as per IEGC</t>
  </si>
  <si>
    <t>Provided through bilateral contracts</t>
  </si>
  <si>
    <t>Provided as a balancing service</t>
  </si>
  <si>
    <t>Absent by design</t>
  </si>
  <si>
    <t>Which of the following provides primary frequency response</t>
  </si>
  <si>
    <t>Governors</t>
  </si>
  <si>
    <t>Automatic Generation Control</t>
  </si>
  <si>
    <t>Capacitors</t>
  </si>
  <si>
    <t>Synchronous Condensors</t>
  </si>
  <si>
    <t>Secondary control in India is…………….</t>
  </si>
  <si>
    <t>Tertiary Control in India is………..                                                                                         I)Automatic Action                 II)Provided through bilateral contracts                                                                       III)Provided by PX                          IV)Provided by manual action</t>
  </si>
  <si>
    <t>I and II</t>
  </si>
  <si>
    <t>III and IV</t>
  </si>
  <si>
    <t>II and IV</t>
  </si>
  <si>
    <t xml:space="preserve">IV </t>
  </si>
  <si>
    <t>Black Start Capability Service in India is…………….</t>
  </si>
  <si>
    <t>If governor droop of a synchronous machine is 4%, what frequency change is expected to unload the machine from full load to no load</t>
  </si>
  <si>
    <t>1 Hz</t>
  </si>
  <si>
    <t>1.5 Hz</t>
  </si>
  <si>
    <t>2 Hz</t>
  </si>
  <si>
    <t>2.5 Hz</t>
  </si>
  <si>
    <t>………….turbines are most suitable for load following</t>
  </si>
  <si>
    <t>Steam</t>
  </si>
  <si>
    <t xml:space="preserve">Wind </t>
  </si>
  <si>
    <t>As per Indian Electricity Grid Code(IEGC), VAr exchange with grid is priced at voltages below……..</t>
  </si>
  <si>
    <t>As per Indian Electricity Grid Code(IEGC), VAr exchange with grid is priced at voltages above……..</t>
  </si>
  <si>
    <t>Which among the following cannot supply dynamic reactive support?</t>
  </si>
  <si>
    <t>Static Var Compensator</t>
  </si>
  <si>
    <t>Synchronous Condensor</t>
  </si>
  <si>
    <t>Transmission Lines</t>
  </si>
  <si>
    <t>Which among the following can both supply and absorb Vars?</t>
  </si>
  <si>
    <t>For a transmission line VAr generation is equal to Var absorbtion at</t>
  </si>
  <si>
    <t>SIL</t>
  </si>
  <si>
    <t>Thermal Loading</t>
  </si>
  <si>
    <t>1.2 times SIL</t>
  </si>
  <si>
    <t>SIL of a 400 kV Twin Moose conductor is…..MW</t>
  </si>
  <si>
    <t>Losses during sysnchronous condenser operation of a generator are due to……</t>
  </si>
  <si>
    <t>Friction Losses</t>
  </si>
  <si>
    <t>Windage Losses</t>
  </si>
  <si>
    <t>Auxillary Consumption</t>
  </si>
  <si>
    <t>Which of the following generators have maximum Var absorbtion capability?</t>
  </si>
  <si>
    <t>………………….generators cannot supply reactive Vars</t>
  </si>
  <si>
    <t>Generally……………..stations have capability to self start</t>
  </si>
  <si>
    <t xml:space="preserve">Generally Auxillary Consumption of Coal fired stations is </t>
  </si>
  <si>
    <t>1-4%</t>
  </si>
  <si>
    <t>3-6%</t>
  </si>
  <si>
    <t>6-9%</t>
  </si>
  <si>
    <t>&gt;10%</t>
  </si>
  <si>
    <t xml:space="preserve">Generally Auxillary Consumption of Hydro stations is of the order of </t>
  </si>
  <si>
    <t>As per IEGC How many black start mock execrcises are mandated for different subsystems annually?</t>
  </si>
  <si>
    <t>Which of the following is expected to facilitate availability of more peaking capacity?</t>
  </si>
  <si>
    <t>Frequency Support / Load Generation Balancing service (LGBS)</t>
  </si>
  <si>
    <t>Network Control Ancillary Service(NCAS)</t>
  </si>
  <si>
    <t>Voltage Control Ancillary Service(VCAS)</t>
  </si>
  <si>
    <t>System Restart Ancillary Service(SRAS)</t>
  </si>
  <si>
    <t>Responisibility for administration of the Ancillary Services Market is assigned to</t>
  </si>
  <si>
    <t>Regulator</t>
  </si>
  <si>
    <t>Load Generation Balancing service (LGBS) would be triggered by….</t>
  </si>
  <si>
    <t>Transmission Company</t>
  </si>
  <si>
    <t>Load Generation Balancing service (LGBS) would be triggered on ……. Basis</t>
  </si>
  <si>
    <t>Day Ahead</t>
  </si>
  <si>
    <t>Month Ahead</t>
  </si>
  <si>
    <t>Real Time</t>
  </si>
  <si>
    <t>Week Ahead</t>
  </si>
  <si>
    <t>Long-term customer who has not availed access rights for at least 12 years and wants to relinquish his rights such customer shall pay an amount equal to a certain percentage of the estimated transmission charges (net present value) for the stranded transmission capacity for the period falling short of 12 (twelve) years of access rights. This % is</t>
  </si>
  <si>
    <t>Medium-term open access means right to use ISTS for periods</t>
  </si>
  <si>
    <t>exceeding 6 months but not exceeding 1 year</t>
  </si>
  <si>
    <t>exceeding 3 months but not exceeding 1 year</t>
  </si>
  <si>
    <t>exceeding 1 year but not exceeding 5 years</t>
  </si>
  <si>
    <t xml:space="preserve">The study to be carried out by CTU when an applicant seeks connectivity is called </t>
  </si>
  <si>
    <t>In case of collective transaction, operating charges shall be payable by the power exchange to NLDC at the rate of  -----    Rs per day for each State involved</t>
  </si>
  <si>
    <t>In case of Bilateral transaction, SLDC operating charges shall be payable by the applicant to RLDC at the rate of ----     Rs per day only if the operating charges have not been notified by the respective State Commission</t>
  </si>
  <si>
    <t>3years</t>
  </si>
  <si>
    <t>5years</t>
  </si>
  <si>
    <t>Whether Captive Power Plants(CPPs) based on RE Source not recognised by MNRE would be eligible for REC ?</t>
  </si>
  <si>
    <t>CGP based on renewable energy sources, including renewable
energy generating plant not fulfilling the conditions of CGP as prescribed in the
Electricity Rules, 2005 but having self-consumption,shall be eligible for the entire energy generated from such plant for participating in
the REC scheme if they fulfill these conditions</t>
  </si>
  <si>
    <t>What is the wind potential in India</t>
  </si>
  <si>
    <t xml:space="preserve">around 48000Mw  </t>
  </si>
  <si>
    <t xml:space="preserve">around 20000Mw  </t>
  </si>
  <si>
    <t xml:space="preserve">around 100000Mw  </t>
  </si>
  <si>
    <t>more than 2 lac MW</t>
  </si>
  <si>
    <t>What is the relation between wind velocity and power</t>
  </si>
  <si>
    <t>A company was issued 100 RECs on 01-03-2011. Out of them 60 were sold on 30-03-2011.  Upto what period can the company retain the  balance REC?</t>
  </si>
  <si>
    <t xml:space="preserve">  28-02-12    </t>
  </si>
  <si>
    <t>Whether Auxiliary consumption of the any RE generator (including RE CPP or Bagasse based cogeneration power plants) is entitled for issuance of REC?</t>
  </si>
  <si>
    <t>What is Floor Price for Solar RECs?</t>
  </si>
  <si>
    <t>Rs 9300 per REC</t>
  </si>
  <si>
    <t>Rs 12000 per REC</t>
  </si>
  <si>
    <t>SCADA_EMS</t>
  </si>
  <si>
    <t>Which of the following is not representative of the current state of Power System?</t>
  </si>
  <si>
    <t>Bus Voltage magnitude</t>
  </si>
  <si>
    <t>Frequency</t>
  </si>
  <si>
    <t>Load Power Factor</t>
  </si>
  <si>
    <t xml:space="preserve">Vector angle of Bus Voltage </t>
  </si>
  <si>
    <t>AC Power flow over a line does not depend upon.</t>
  </si>
  <si>
    <t>Bus Voltage magnitude of two buses connecting the line</t>
  </si>
  <si>
    <t>Reactance of the Line</t>
  </si>
  <si>
    <t>Resistance of the Line</t>
  </si>
  <si>
    <t>Angular separation between the two buses connecting the line</t>
  </si>
  <si>
    <t>Which of the following statement(s) is true for iterative technique in Power flow solution?</t>
  </si>
  <si>
    <t>Solution of non-linear equation</t>
  </si>
  <si>
    <t>There are multiple solutions possible</t>
  </si>
  <si>
    <t>There are n-unknown and less than n-equations</t>
  </si>
  <si>
    <t>All of above.</t>
  </si>
  <si>
    <t>Inaccurate State Estimation in a rapidly changing power system is due to</t>
  </si>
  <si>
    <t>SCADA measurements are not time synchronized</t>
  </si>
  <si>
    <t>Data acquisition is slower as compared to power system dynamics</t>
  </si>
  <si>
    <t>Periodicity of State Estimation is comparatively large</t>
  </si>
  <si>
    <t>Which is true for Power Flow solution of a network</t>
  </si>
  <si>
    <t>In a coupled power flow solution, active and reactive power are dependent on V and  δ</t>
  </si>
  <si>
    <t>In a de-coupled power flow solution, Reactive power is only dependent on V</t>
  </si>
  <si>
    <t>In a fast de-coupled power flow solution, resistance is neglected</t>
  </si>
  <si>
    <t xml:space="preserve">Which of these is true for network modeling in SCADA </t>
  </si>
  <si>
    <t>Device Oriented model is used</t>
  </si>
  <si>
    <t>SCADA analog measurements</t>
  </si>
  <si>
    <t>SCADA digital measurements</t>
  </si>
  <si>
    <t>CIM stands for</t>
  </si>
  <si>
    <t>Control Information Model</t>
  </si>
  <si>
    <t>Common Information Model</t>
  </si>
  <si>
    <t>Communication Information Model</t>
  </si>
  <si>
    <t>Centralized Information Model</t>
  </si>
  <si>
    <t>Which is not true for load forecast (LF)</t>
  </si>
  <si>
    <t>There is a provision in IEGC for SLDC to carry out LF</t>
  </si>
  <si>
    <t xml:space="preserve">LF can be daily/weekly/monthly/yearly basis. </t>
  </si>
  <si>
    <t>Similar Day Forecast algorithm is not applicable to LF</t>
  </si>
  <si>
    <t>In general LF, hourly sample is used</t>
  </si>
  <si>
    <t>What is the indicator of the load-generation balance in power system</t>
  </si>
  <si>
    <t>System frequency</t>
  </si>
  <si>
    <t>Voltage profile</t>
  </si>
  <si>
    <t>Active power loss in the system</t>
  </si>
  <si>
    <t>Controls in Scada system are implemented using</t>
  </si>
  <si>
    <t>Communication Channel</t>
  </si>
  <si>
    <t>Remote Terminal Units (RTU)</t>
  </si>
  <si>
    <t>Human Machine Interface(HMI)</t>
  </si>
  <si>
    <t>Which of these are components of Data Aquisition system</t>
  </si>
  <si>
    <t xml:space="preserve">Sensors/transducers </t>
  </si>
  <si>
    <t>Analog-to-digital converters</t>
  </si>
  <si>
    <t>The equipment that presents the processed data to operator is the</t>
  </si>
  <si>
    <t>Data Server</t>
  </si>
  <si>
    <t>Operator Console/HMI</t>
  </si>
  <si>
    <t>Network Management System</t>
  </si>
  <si>
    <t>Historical Information System</t>
  </si>
  <si>
    <t xml:space="preserve">Scada Functions are </t>
  </si>
  <si>
    <t>Data Acquisition</t>
  </si>
  <si>
    <t>Data Processing</t>
  </si>
  <si>
    <t>Alarms</t>
  </si>
  <si>
    <t>In the Master Station packets are received by</t>
  </si>
  <si>
    <t>PLC</t>
  </si>
  <si>
    <t>Communication Front End</t>
  </si>
  <si>
    <t xml:space="preserve">Operator Console </t>
  </si>
  <si>
    <t>The system that provides the inter-connection of all the servers, workstation, peripherals with redundant ethernet switch.</t>
  </si>
  <si>
    <t>WAN</t>
  </si>
  <si>
    <t>LAN</t>
  </si>
  <si>
    <t>DMZ</t>
  </si>
  <si>
    <t>The system that monitors the interfaces to the SCADA/EMS servers, workstations, devices,  all SCADA/EMS gateway and routers and gathers performance statistics like resource utilisation is</t>
  </si>
  <si>
    <t>NMS</t>
  </si>
  <si>
    <t>Which is not a protocol used  by RTU for communicating with control centre</t>
  </si>
  <si>
    <t>Profibus</t>
  </si>
  <si>
    <t>Modbus</t>
  </si>
  <si>
    <t>CIM</t>
  </si>
  <si>
    <t xml:space="preserve">IEC 60870-5-101 </t>
  </si>
  <si>
    <t>Define the range of values that SCADA uses to determine whether the value retrieved for the analog is realistic.</t>
  </si>
  <si>
    <t>Normal limit</t>
  </si>
  <si>
    <t>Reasonability Limit</t>
  </si>
  <si>
    <t>Forbidden Limit</t>
  </si>
  <si>
    <t>Dead band Limits</t>
  </si>
  <si>
    <t>The function that allows you to store time series of any set of analog, status, and accumulator SCADA measurements, as well as changes to limits on recorded analog measurements</t>
  </si>
  <si>
    <t>Historical Data Management System</t>
  </si>
  <si>
    <t>Operator Console</t>
  </si>
  <si>
    <t>Human Machine Interface</t>
  </si>
  <si>
    <t>Historical Data Recorder</t>
  </si>
  <si>
    <t>Sequence of Events</t>
  </si>
  <si>
    <t>Network Managemetn System</t>
  </si>
  <si>
    <t>Which of the facilities shall allow operators to insert, edit or delete  free formatted text for providing critcal information to next operator.</t>
  </si>
  <si>
    <t>Trend</t>
  </si>
  <si>
    <t>Tabular display</t>
  </si>
  <si>
    <t>Tagging</t>
  </si>
  <si>
    <t>Analog data is defined in SCADA as the following data type</t>
  </si>
  <si>
    <t>Periodic</t>
  </si>
  <si>
    <t>By Exception</t>
  </si>
  <si>
    <t>Floating</t>
  </si>
  <si>
    <t>Digital data is acquired in SCADA</t>
  </si>
  <si>
    <t>Periodically</t>
  </si>
  <si>
    <t>In general, periodicity  of Analog data scan is</t>
  </si>
  <si>
    <t>Below 10 seconds</t>
  </si>
  <si>
    <t>15 to 20 seconds</t>
  </si>
  <si>
    <t>30 to 40 
seconds</t>
  </si>
  <si>
    <t>more than 
1 minute</t>
  </si>
  <si>
    <t>What is the full form of RTU?</t>
  </si>
  <si>
    <t>Remote 
Telemetry Unit</t>
  </si>
  <si>
    <t>Regional 
Telemetry Unit</t>
  </si>
  <si>
    <t>Remote   
Terminal Unit</t>
  </si>
  <si>
    <t>Regional 
Terminal Unit</t>
  </si>
  <si>
    <t>In general critical RTU  reports on</t>
  </si>
  <si>
    <t>Dual Channel</t>
  </si>
  <si>
    <t>Single channel</t>
  </si>
  <si>
    <t>In PLCC what is the maximum speed of data transfer?</t>
  </si>
  <si>
    <t xml:space="preserve">100 baud    </t>
  </si>
  <si>
    <t>500 baud</t>
  </si>
  <si>
    <t>1200 baud</t>
  </si>
  <si>
    <t>1000 baud</t>
  </si>
  <si>
    <t>If  a line flow crosses its raw high/low limits then data quality is</t>
  </si>
  <si>
    <t>Good</t>
  </si>
  <si>
    <t>Suspect</t>
  </si>
  <si>
    <t>Replace</t>
  </si>
  <si>
    <t>From HDR which of the following 
data can be retrieved?</t>
  </si>
  <si>
    <t>Only Analog</t>
  </si>
  <si>
    <t>Only Digital</t>
  </si>
  <si>
    <t>SOE has time stamp with?</t>
  </si>
  <si>
    <t xml:space="preserve">milli seconds 
accuracy                          </t>
  </si>
  <si>
    <t xml:space="preserve">Nano seconds 
accuracy                         </t>
  </si>
  <si>
    <t>Seconds 
accuracy</t>
  </si>
  <si>
    <t>What  type of flag appears when data is uninitialised ?</t>
  </si>
  <si>
    <t xml:space="preserve">Good </t>
  </si>
  <si>
    <t>Calculated</t>
  </si>
  <si>
    <t>Garbage</t>
  </si>
  <si>
    <t>Remote Suspect means  value suspect at?</t>
  </si>
  <si>
    <t>Control center where RTU is reporting</t>
  </si>
  <si>
    <t>Local Control center</t>
  </si>
  <si>
    <t>Any where</t>
  </si>
  <si>
    <t>The system that provides the inter-connection of all the servers,workstation,peripherals with redundant ethernet switch.</t>
  </si>
  <si>
    <t>Optical Fibre</t>
  </si>
  <si>
    <t>If the data is not retrieved in last scan it is marked as</t>
  </si>
  <si>
    <t>Over range</t>
  </si>
  <si>
    <t>Bad</t>
  </si>
  <si>
    <t>Uninitialized</t>
  </si>
  <si>
    <t xml:space="preserve">Which of these is not part of SLDC/RSCC SCADA system?    </t>
  </si>
  <si>
    <t>ISR server</t>
  </si>
  <si>
    <t>Resource Server</t>
  </si>
  <si>
    <t>ICCP server</t>
  </si>
  <si>
    <t>What is the advantage of  SCADA  system?</t>
  </si>
  <si>
    <t>To access the monitored system measurands both periodically and instantaneously</t>
  </si>
  <si>
    <t>Display trends of the measurands over a span of time.</t>
  </si>
  <si>
    <t>Initiates alarms for the abnormal states of devices.</t>
  </si>
  <si>
    <t>What are the components required for basic SCADA functions?</t>
  </si>
  <si>
    <t>Sensors , RTU</t>
  </si>
  <si>
    <t>Communication network</t>
  </si>
  <si>
    <t>SCADA master Station</t>
  </si>
  <si>
    <t>All the above.</t>
  </si>
  <si>
    <t>IT</t>
  </si>
  <si>
    <t>In MS Word Control menu box appears on the screen at</t>
  </si>
  <si>
    <t xml:space="preserve"> the mouse ponter</t>
  </si>
  <si>
    <t xml:space="preserve"> upper left corner of the window</t>
  </si>
  <si>
    <t xml:space="preserve"> the vertical scroll bar</t>
  </si>
  <si>
    <t>Upper right corner of the window</t>
  </si>
  <si>
    <t>Borders and shading option is in ............ in MS Word:</t>
  </si>
  <si>
    <t xml:space="preserve"> Format Menu</t>
  </si>
  <si>
    <t>View Menu</t>
  </si>
  <si>
    <t>Edit Menu</t>
  </si>
  <si>
    <t>Tool Menu</t>
  </si>
  <si>
    <t>When you save a document for the first time you have to click at :</t>
  </si>
  <si>
    <t xml:space="preserve"> Save</t>
  </si>
  <si>
    <t>Save As</t>
  </si>
  <si>
    <t>Rename</t>
  </si>
  <si>
    <t>Close</t>
  </si>
  <si>
    <t>MS-Office contains ;</t>
  </si>
  <si>
    <t xml:space="preserve"> MS-Word only</t>
  </si>
  <si>
    <t>MS-Excel only</t>
  </si>
  <si>
    <t>MS-Access only</t>
  </si>
  <si>
    <t xml:space="preserve">Which of the following companies developed MS Office 2000? </t>
  </si>
  <si>
    <t xml:space="preserve">Microsoft </t>
  </si>
  <si>
    <t xml:space="preserve">Novell </t>
  </si>
  <si>
    <t xml:space="preserve">Corel </t>
  </si>
  <si>
    <t xml:space="preserve">Lotus </t>
  </si>
  <si>
    <t>Which of the following is not a part of a standard MS Office suite?</t>
  </si>
  <si>
    <t xml:space="preserve">Word Processor </t>
  </si>
  <si>
    <t xml:space="preserve">Data base </t>
  </si>
  <si>
    <t xml:space="preserve">Image Editor </t>
  </si>
  <si>
    <t xml:space="preserve">File Manager </t>
  </si>
  <si>
    <t xml:space="preserve">Which of the following is the Word Processor in MS Office? </t>
  </si>
  <si>
    <t xml:space="preserve">Word Star </t>
  </si>
  <si>
    <t xml:space="preserve">Word Pad </t>
  </si>
  <si>
    <t xml:space="preserve">Word </t>
  </si>
  <si>
    <t xml:space="preserve">Word Perfect </t>
  </si>
  <si>
    <t xml:space="preserve">MS Word allows creation of ___ type of documents by default? </t>
  </si>
  <si>
    <t xml:space="preserve">.DOC </t>
  </si>
  <si>
    <t xml:space="preserve">.WPF </t>
  </si>
  <si>
    <t xml:space="preserve">.TXT </t>
  </si>
  <si>
    <t xml:space="preserve">.DOT </t>
  </si>
  <si>
    <t xml:space="preserve">Which of the following is not a special program in MS Office? </t>
  </si>
  <si>
    <t xml:space="preserve">Office Art </t>
  </si>
  <si>
    <t xml:space="preserve">Clip Art </t>
  </si>
  <si>
    <t xml:space="preserve">Word Art </t>
  </si>
  <si>
    <t xml:space="preserve">Paint Art </t>
  </si>
  <si>
    <t xml:space="preserve">Outlook Express is a ___ </t>
  </si>
  <si>
    <t xml:space="preserve">E-Mail Client </t>
  </si>
  <si>
    <t xml:space="preserve">Scheduler </t>
  </si>
  <si>
    <t xml:space="preserve">Address Book </t>
  </si>
  <si>
    <t xml:space="preserve"> ____ is an animated character that gives help in MSOffice? </t>
  </si>
  <si>
    <t xml:space="preserve">Office Worker </t>
  </si>
  <si>
    <t xml:space="preserve">Comic Assistant </t>
  </si>
  <si>
    <t xml:space="preserve">Office Assistant </t>
  </si>
  <si>
    <t xml:space="preserve">MS Office provides help in many ways. Which of these are more closer to the answer? </t>
  </si>
  <si>
    <t xml:space="preserve">What’s This </t>
  </si>
  <si>
    <t xml:space="preserve">Help Menu </t>
  </si>
  <si>
    <t xml:space="preserve">Which input device cannot be used to work in MSOffice? </t>
  </si>
  <si>
    <t xml:space="preserve">Scanner </t>
  </si>
  <si>
    <t xml:space="preserve">Light Pen </t>
  </si>
  <si>
    <t xml:space="preserve">Mouse </t>
  </si>
  <si>
    <t xml:space="preserve">Joy Stick </t>
  </si>
  <si>
    <t xml:space="preserve">Which menu in MSWord can be used to change page size &amp; typeface? </t>
  </si>
  <si>
    <t xml:space="preserve">View </t>
  </si>
  <si>
    <t xml:space="preserve">Tools </t>
  </si>
  <si>
    <t xml:space="preserve">Format </t>
  </si>
  <si>
    <t xml:space="preserve">Data </t>
  </si>
  <si>
    <t xml:space="preserve">MSOffice 2000 included a full-fledged Web designing software called ___ </t>
  </si>
  <si>
    <t xml:space="preserve">MS Word </t>
  </si>
  <si>
    <t xml:space="preserve">Front Page Express </t>
  </si>
  <si>
    <t xml:space="preserve">FrontPage 2000 </t>
  </si>
  <si>
    <t xml:space="preserve">Which key should be pressed to start a new paragraph in MSWord? </t>
  </si>
  <si>
    <t xml:space="preserve">Down Cursor Key </t>
  </si>
  <si>
    <t xml:space="preserve">Enter Key </t>
  </si>
  <si>
    <t xml:space="preserve">Shift + Enter </t>
  </si>
  <si>
    <t xml:space="preserve">Control + Enter </t>
  </si>
  <si>
    <t xml:space="preserve">Which of these toolbars allows changing of Fonts and their sizes in MS Word? </t>
  </si>
  <si>
    <t xml:space="preserve">Standard </t>
  </si>
  <si>
    <t xml:space="preserve">Formatting </t>
  </si>
  <si>
    <t xml:space="preserve">Print Preview </t>
  </si>
  <si>
    <t xml:space="preserve">Which bar is usually located below that Title Bar that provides categorized options? </t>
  </si>
  <si>
    <t xml:space="preserve">Menu bar </t>
  </si>
  <si>
    <t xml:space="preserve">Status Bar </t>
  </si>
  <si>
    <t xml:space="preserve">Tool bar </t>
  </si>
  <si>
    <t xml:space="preserve">Scroll bar </t>
  </si>
  <si>
    <t xml:space="preserve">Which of the following are valid Min. &amp; Max. zoom sizes in MSOffice </t>
  </si>
  <si>
    <t xml:space="preserve">10, 100 </t>
  </si>
  <si>
    <t xml:space="preserve">20, 250 </t>
  </si>
  <si>
    <t xml:space="preserve">10, 500 </t>
  </si>
  <si>
    <t xml:space="preserve">10, 1000 </t>
  </si>
  <si>
    <t xml:space="preserve">Which type of files cannot be navigated using ClipArt browser in MS Word? </t>
  </si>
  <si>
    <t xml:space="preserve">AVI </t>
  </si>
  <si>
    <t xml:space="preserve">BMP </t>
  </si>
  <si>
    <t xml:space="preserve">WAV </t>
  </si>
  <si>
    <t xml:space="preserve">MP3 </t>
  </si>
  <si>
    <t xml:space="preserve">Which of the following is the latest version of Microsoft Word? </t>
  </si>
  <si>
    <t xml:space="preserve">Word 97 </t>
  </si>
  <si>
    <t xml:space="preserve">Word 98 </t>
  </si>
  <si>
    <t xml:space="preserve">Word ME </t>
  </si>
  <si>
    <t xml:space="preserve">Word XP </t>
  </si>
  <si>
    <t xml:space="preserve">Which of the following is not a valid version of MS Office? </t>
  </si>
  <si>
    <t xml:space="preserve">Office 4 </t>
  </si>
  <si>
    <t xml:space="preserve">Office 97 </t>
  </si>
  <si>
    <t xml:space="preserve">Office 98 </t>
  </si>
  <si>
    <t xml:space="preserve">Office 2000 </t>
  </si>
  <si>
    <t xml:space="preserve">Which option in File pull-down menu is used to close a file in MSWord? </t>
  </si>
  <si>
    <t xml:space="preserve">New </t>
  </si>
  <si>
    <t xml:space="preserve">Quit </t>
  </si>
  <si>
    <t xml:space="preserve">Close </t>
  </si>
  <si>
    <t xml:space="preserve">Exit </t>
  </si>
  <si>
    <t>Which do you choose to create footer in MS Word?</t>
  </si>
  <si>
    <t>Format, header and footer</t>
  </si>
  <si>
    <t>view, footer</t>
  </si>
  <si>
    <t>insert, header and footer</t>
  </si>
  <si>
    <t>view, header and footer</t>
  </si>
  <si>
    <t>Which do you choose to create header in MS Word?</t>
  </si>
  <si>
    <t>view, header</t>
  </si>
  <si>
    <t>Which do you choose to shade words and paragraph in MS Word?</t>
  </si>
  <si>
    <t>format, borders and shading</t>
  </si>
  <si>
    <t>insert, borders and shading</t>
  </si>
  <si>
    <t>view, shading</t>
  </si>
  <si>
    <t>To view headers and footers, you must switch to ..................  in MS Word.</t>
  </si>
  <si>
    <t>normal view</t>
  </si>
  <si>
    <t>print layout view</t>
  </si>
  <si>
    <t>print preview mode</t>
  </si>
  <si>
    <t>both B and C</t>
  </si>
  <si>
    <t>Which of the following can you change using the page setup dialog box in MS Word?</t>
  </si>
  <si>
    <t>margins</t>
  </si>
  <si>
    <t>page orientation</t>
  </si>
  <si>
    <t>vertical alignment</t>
  </si>
  <si>
    <t>By default, your document prints with .....................  in MS Word:</t>
  </si>
  <si>
    <t>1 inch top and bottom margins</t>
  </si>
  <si>
    <t>a portrait orientation</t>
  </si>
  <si>
    <t>1.25 inches left and right margins</t>
  </si>
  <si>
    <t>Switching between portrait and landscape modes involves the .........................  in MS Word:</t>
  </si>
  <si>
    <t>header and footer toolbar</t>
  </si>
  <si>
    <t>page setup dialog box</t>
  </si>
  <si>
    <t>What happens when you insert an AutoShape by simply clicking in the document in MS Word?</t>
  </si>
  <si>
    <t>it appears near the insertion point</t>
  </si>
  <si>
    <t>it is inserted in its default size</t>
  </si>
  <si>
    <t>is selected</t>
  </si>
  <si>
    <t>What must be used to control the layering of objects in MS Word?</t>
  </si>
  <si>
    <t>formatting toolbar</t>
  </si>
  <si>
    <t>picture toolbar</t>
  </si>
  <si>
    <t>drawing toolbar</t>
  </si>
  <si>
    <t>image toolbar</t>
  </si>
  <si>
    <t>Which simplifies the process of formatting text if the same formatting is required in more than one location in MS Word?</t>
  </si>
  <si>
    <t>Auto Text</t>
  </si>
  <si>
    <t>Format Painter</t>
  </si>
  <si>
    <t>Font dialog box</t>
  </si>
  <si>
    <t>Which of the following is best for quick copy operation in MS Word?</t>
  </si>
  <si>
    <t>Copy and Paste</t>
  </si>
  <si>
    <t>Windows Clipboard</t>
  </si>
  <si>
    <t>Drag and Drop</t>
  </si>
  <si>
    <t>Which of the following operations moves text from clipboard in MS Word?</t>
  </si>
  <si>
    <t>Copy</t>
  </si>
  <si>
    <t>Paste</t>
  </si>
  <si>
    <t>Cut</t>
  </si>
  <si>
    <t>Which of the following provides a list ofx synonyms in MS Word?</t>
  </si>
  <si>
    <t>Find command</t>
  </si>
  <si>
    <t>Replace Command</t>
  </si>
  <si>
    <t>Thesaurus</t>
  </si>
  <si>
    <t>Spelling and Grammar</t>
  </si>
  <si>
    <t>Which of the following helps to reduce spelling error in the document in MS Word?</t>
  </si>
  <si>
    <t>Auto Format</t>
  </si>
  <si>
    <t>Auto Correct</t>
  </si>
  <si>
    <t>Smart Tags</t>
  </si>
  <si>
    <t>Auto text and Auto correct are ___________ tools in MS Word.</t>
  </si>
  <si>
    <t>styling</t>
  </si>
  <si>
    <t>editing</t>
  </si>
  <si>
    <t>designing</t>
  </si>
  <si>
    <t>Which of the following enables you to make multiple changes in a document at once in MS Word?</t>
  </si>
  <si>
    <t>Replace command</t>
  </si>
  <si>
    <t>copy command</t>
  </si>
  <si>
    <t>Which of the following commands should you always use before submitting a document to others in MS Word?</t>
  </si>
  <si>
    <t>Which of the following enables you to paste data multiple times in MS Word?</t>
  </si>
  <si>
    <t>windows clipboard</t>
  </si>
  <si>
    <t>office clipboard</t>
  </si>
  <si>
    <t>both A and B</t>
  </si>
  <si>
    <t>Which of the following do you use to change margins in MS Word?</t>
  </si>
  <si>
    <t>Standard toolbar</t>
  </si>
  <si>
    <t>paragraph dialog box</t>
  </si>
  <si>
    <t>The arrangement of elements such as Title and subtitle text, pictures, tables etc. is called .......... in MS Power Point.</t>
  </si>
  <si>
    <t xml:space="preserve">Layout </t>
  </si>
  <si>
    <t xml:space="preserve">Presentation </t>
  </si>
  <si>
    <t xml:space="preserve">Design </t>
  </si>
  <si>
    <t xml:space="preserve">Scheme </t>
  </si>
  <si>
    <t>A File which contains readymade styles that can be used for a presentation is called ............ in MS Power Point</t>
  </si>
  <si>
    <t xml:space="preserve">AutoStyle </t>
  </si>
  <si>
    <t xml:space="preserve">Template </t>
  </si>
  <si>
    <t xml:space="preserve">Wizard </t>
  </si>
  <si>
    <t xml:space="preserve">Pre formatting </t>
  </si>
  <si>
    <t xml:space="preserve">Power Point 2000 has ___ number of views </t>
  </si>
  <si>
    <t xml:space="preserve">The maximum Zoom percentage in Microsoft PowerPoint is </t>
  </si>
  <si>
    <t>After choosing a predefine template, ___ option has to be chosen to change the background color in MS Power Point</t>
  </si>
  <si>
    <t xml:space="preserve">Design Template </t>
  </si>
  <si>
    <t xml:space="preserve">Color Scheme </t>
  </si>
  <si>
    <t xml:space="preserve">Animation Scheme </t>
  </si>
  <si>
    <t xml:space="preserve">Color Effects </t>
  </si>
  <si>
    <t>Ellipse Motion is a predefined ____ in MS Power Point</t>
  </si>
  <si>
    <t>Animation Schemes can be applied to ____ in the presentation.</t>
  </si>
  <si>
    <t xml:space="preserve">All slides </t>
  </si>
  <si>
    <t xml:space="preserve">Select slides </t>
  </si>
  <si>
    <t xml:space="preserve">Current Slide </t>
  </si>
  <si>
    <t>A Chart can be put as a part of the presentation using ......... in MS Power Point</t>
  </si>
  <si>
    <t xml:space="preserve">Insert -&gt; Chart </t>
  </si>
  <si>
    <t xml:space="preserve">Insert -&gt; Pictures -&gt; Chart </t>
  </si>
  <si>
    <t xml:space="preserve">Edit -&gt; Chart </t>
  </si>
  <si>
    <t xml:space="preserve">View -&gt; Chart </t>
  </si>
  <si>
    <t xml:space="preserve">In MS Power Point we can replace a font on all slides with another font using the ___ option </t>
  </si>
  <si>
    <t xml:space="preserve">Edit -&gt; Fonts </t>
  </si>
  <si>
    <t xml:space="preserve">Tools -&gt; Fonts </t>
  </si>
  <si>
    <t xml:space="preserve">Tools -&gt; Replace Fonts </t>
  </si>
  <si>
    <t xml:space="preserve">Format -&gt; Replace Fonts </t>
  </si>
  <si>
    <t xml:space="preserve">Which option in PowerPoint allows to carry slides from one computer to another </t>
  </si>
  <si>
    <t xml:space="preserve">Save As </t>
  </si>
  <si>
    <t xml:space="preserve">Save and Go </t>
  </si>
  <si>
    <t xml:space="preserve">Pack and Go </t>
  </si>
  <si>
    <t xml:space="preserve">Web and Go </t>
  </si>
  <si>
    <t xml:space="preserve">Which view in Power Point can be used to enter Speaker Comments? </t>
  </si>
  <si>
    <t xml:space="preserve">Normal </t>
  </si>
  <si>
    <t xml:space="preserve">Slide Show </t>
  </si>
  <si>
    <t xml:space="preserve">Slide Sorter </t>
  </si>
  <si>
    <t xml:space="preserve">Notes Page view </t>
  </si>
  <si>
    <t xml:space="preserve">Which option can be used to set custom timings for slides in a presentation? </t>
  </si>
  <si>
    <t xml:space="preserve">Slider Timings </t>
  </si>
  <si>
    <t xml:space="preserve">Slider Timer </t>
  </si>
  <si>
    <t xml:space="preserve">Rehearsal </t>
  </si>
  <si>
    <t xml:space="preserve">Slide Show Setup </t>
  </si>
  <si>
    <t xml:space="preserve">Which option can be used to create a new slide show with the current slides but presented in a different order </t>
  </si>
  <si>
    <t xml:space="preserve">Custom Slide show </t>
  </si>
  <si>
    <t xml:space="preserve">Slide Show View </t>
  </si>
  <si>
    <t>The boxes that are displayed to indicate that the text, pictures or objects are placed in it is called ____ in MS Power Point</t>
  </si>
  <si>
    <t xml:space="preserve">Placeholder </t>
  </si>
  <si>
    <t xml:space="preserve">AutoText </t>
  </si>
  <si>
    <t xml:space="preserve">Text box </t>
  </si>
  <si>
    <t>In MS Power Point which of the following is an example for Automatic Text formatting</t>
  </si>
  <si>
    <t xml:space="preserve">Underlining Hyperlink </t>
  </si>
  <si>
    <t xml:space="preserve">Adjusting extra space </t>
  </si>
  <si>
    <t xml:space="preserve">Replacing two –‘s with an em hyphen </t>
  </si>
  <si>
    <t>Which type of fonts are best suite for titles and headlines in MS Power Point.</t>
  </si>
  <si>
    <t xml:space="preserve">Serif Fonts </t>
  </si>
  <si>
    <t xml:space="preserve">Sans Serif Fonts </t>
  </si>
  <si>
    <t xml:space="preserve">Text Fonts </t>
  </si>
  <si>
    <t xml:space="preserve">Picture Fonts </t>
  </si>
  <si>
    <t>Which type of fonts are best suite to display large amount of text in MS Power Point?</t>
  </si>
  <si>
    <t xml:space="preserve">Power Point can display data from which of the following add-in software of MS Office? </t>
  </si>
  <si>
    <t xml:space="preserve">Equation Editor </t>
  </si>
  <si>
    <t xml:space="preserve">Organization Chart </t>
  </si>
  <si>
    <t xml:space="preserve">Photo Album </t>
  </si>
  <si>
    <t xml:space="preserve">Which of the following is the latest version of Excel? </t>
  </si>
  <si>
    <t xml:space="preserve">Excel 2000 </t>
  </si>
  <si>
    <t xml:space="preserve">Excel 2002 </t>
  </si>
  <si>
    <t xml:space="preserve">Excel ME </t>
  </si>
  <si>
    <t xml:space="preserve">Excel XP </t>
  </si>
  <si>
    <t xml:space="preserve">Excel files have a default extension of </t>
  </si>
  <si>
    <t xml:space="preserve">XLS </t>
  </si>
  <si>
    <t xml:space="preserve">XLW </t>
  </si>
  <si>
    <t xml:space="preserve">WK1 </t>
  </si>
  <si>
    <t xml:space="preserve">Which of the following is a popular DOS based spreadsheet package? </t>
  </si>
  <si>
    <t xml:space="preserve">Smart Cell </t>
  </si>
  <si>
    <t xml:space="preserve">Excel </t>
  </si>
  <si>
    <t xml:space="preserve">Lotus 1-2-3 </t>
  </si>
  <si>
    <t xml:space="preserve">Which of the following is the oldest spread sheet package? </t>
  </si>
  <si>
    <t xml:space="preserve">VisiCalc </t>
  </si>
  <si>
    <t xml:space="preserve">StarCalc </t>
  </si>
  <si>
    <t xml:space="preserve">How many characters can be typed in a single cell in Excel? </t>
  </si>
  <si>
    <t xml:space="preserve">A Worksheet can have a maximum of ___ number of rows </t>
  </si>
  <si>
    <t>A typical worksheet has ___ number of columns in MS Excel.</t>
  </si>
  <si>
    <t>In MS Excel comments put in cells are called .........</t>
  </si>
  <si>
    <t xml:space="preserve">Smart Tip </t>
  </si>
  <si>
    <t xml:space="preserve">Cell Tip </t>
  </si>
  <si>
    <t xml:space="preserve">Web Tip </t>
  </si>
  <si>
    <t xml:space="preserve">Soft Tip </t>
  </si>
  <si>
    <t xml:space="preserve">In MS Excel comments can be added to cells using </t>
  </si>
  <si>
    <t xml:space="preserve">Edit -&gt; Comments </t>
  </si>
  <si>
    <t xml:space="preserve">Insert -&gt; Comment </t>
  </si>
  <si>
    <t xml:space="preserve">File -&gt; Comments </t>
  </si>
  <si>
    <t xml:space="preserve">View -&gt; Comments </t>
  </si>
  <si>
    <t>Which menu option can be used to split windows into two ............... in MS Excel?</t>
  </si>
  <si>
    <t xml:space="preserve">Format -&gt; Window </t>
  </si>
  <si>
    <t xml:space="preserve">View -&gt; Window -&gt; Split </t>
  </si>
  <si>
    <t xml:space="preserve">Window -&gt; Split </t>
  </si>
  <si>
    <t xml:space="preserve">View -&gt; Split </t>
  </si>
  <si>
    <t>Getting data from a cell located in a different sheet is called ___ in MS Excel?</t>
  </si>
  <si>
    <t xml:space="preserve">Accessing </t>
  </si>
  <si>
    <t xml:space="preserve">Referencing </t>
  </si>
  <si>
    <t xml:space="preserve">Updating </t>
  </si>
  <si>
    <t xml:space="preserve">Functioning </t>
  </si>
  <si>
    <t xml:space="preserve">Which of the following is not a valid data type in Excel </t>
  </si>
  <si>
    <t xml:space="preserve">Number </t>
  </si>
  <si>
    <t xml:space="preserve">Character </t>
  </si>
  <si>
    <t xml:space="preserve">Label </t>
  </si>
  <si>
    <t xml:space="preserve">Date/Time </t>
  </si>
  <si>
    <t>Which elements of a worksheet can be protected from accidental modification in MS Excel?</t>
  </si>
  <si>
    <t xml:space="preserve">Contents </t>
  </si>
  <si>
    <t xml:space="preserve">Objects </t>
  </si>
  <si>
    <t xml:space="preserve">Scenarios </t>
  </si>
  <si>
    <t xml:space="preserve">In MS Excel data can be arranged in a worksheet in an easy to understand manner using </t>
  </si>
  <si>
    <t xml:space="preserve">Auto Formatting </t>
  </si>
  <si>
    <t xml:space="preserve">Applying Styles </t>
  </si>
  <si>
    <t xml:space="preserve">Changing fonts </t>
  </si>
  <si>
    <t xml:space="preserve">Which area in an Excel window allows entering values and formulas </t>
  </si>
  <si>
    <t xml:space="preserve">Title Bar </t>
  </si>
  <si>
    <t xml:space="preserve">Menu Bar </t>
  </si>
  <si>
    <t xml:space="preserve">Formula Bar </t>
  </si>
  <si>
    <t xml:space="preserve">Standard Tool Bar </t>
  </si>
  <si>
    <t xml:space="preserve">Multiple calculations can be made in a single formula using </t>
  </si>
  <si>
    <t xml:space="preserve">Standard Formulas </t>
  </si>
  <si>
    <t xml:space="preserve">Array Formula </t>
  </si>
  <si>
    <t xml:space="preserve">Complex Formulas </t>
  </si>
  <si>
    <t xml:space="preserve">Smart Formula </t>
  </si>
  <si>
    <t xml:space="preserve">An Excel Workbook is a collection of </t>
  </si>
  <si>
    <t xml:space="preserve">Workbooks </t>
  </si>
  <si>
    <t xml:space="preserve">Worksheets </t>
  </si>
  <si>
    <t xml:space="preserve">Charts </t>
  </si>
  <si>
    <t xml:space="preserve">Worksheets and Charts </t>
  </si>
  <si>
    <t xml:space="preserve">A Client is </t>
  </si>
  <si>
    <t>A computer that requests the services 
Of another computer.</t>
  </si>
  <si>
    <t>A program that requests the 
Services of another program.</t>
  </si>
  <si>
    <t xml:space="preserve">The process of copying files from a remote computer on the internet to your computer is known as </t>
  </si>
  <si>
    <t>File using</t>
  </si>
  <si>
    <t xml:space="preserve">File uploading </t>
  </si>
  <si>
    <t>File downloading</t>
  </si>
  <si>
    <t>BPS stands for</t>
  </si>
  <si>
    <t>Bytes per second</t>
  </si>
  <si>
    <t>Bits per second</t>
  </si>
  <si>
    <t>To view web pages, you need</t>
  </si>
  <si>
    <t>Browser</t>
  </si>
  <si>
    <t>WWW.</t>
  </si>
  <si>
    <t>TCP/IP</t>
  </si>
  <si>
    <t xml:space="preserve">Live communication on the internet can be done using </t>
  </si>
  <si>
    <t>E-Mail</t>
  </si>
  <si>
    <t>Newsgroups</t>
  </si>
  <si>
    <t>IRC</t>
  </si>
  <si>
    <t>The protocol that web clients and servers use to communicate with each other is called</t>
  </si>
  <si>
    <t>HTML</t>
  </si>
  <si>
    <t>HTTP</t>
  </si>
  <si>
    <t>URL</t>
  </si>
  <si>
    <t>Web documents are stored as text files with the extention</t>
  </si>
  <si>
    <t>.htm.</t>
  </si>
  <si>
    <t>.html</t>
  </si>
  <si>
    <t>Using lynx, you can view</t>
  </si>
  <si>
    <t>Text</t>
  </si>
  <si>
    <t>Graphics</t>
  </si>
  <si>
    <t>Which of the following is a search engine?</t>
  </si>
  <si>
    <t>Alta Vista</t>
  </si>
  <si>
    <t>Yahoo</t>
  </si>
  <si>
    <t>Both  B and C</t>
  </si>
  <si>
    <t>The original developer of the WWW was</t>
  </si>
  <si>
    <t>Tim Berners-Lee</t>
  </si>
  <si>
    <t>Marc Andreesen</t>
  </si>
  <si>
    <t>Bill Gates</t>
  </si>
  <si>
    <t>Which of the following is a valid e-mail address?</t>
  </si>
  <si>
    <t>www.rishi.com</t>
  </si>
  <si>
    <t>rishi@user.com</t>
  </si>
  <si>
    <t>rishi.user.com</t>
  </si>
  <si>
    <t>Which one of the following is a popular mail client?</t>
  </si>
  <si>
    <t>Netscape Navigator</t>
  </si>
  <si>
    <t>Microsoft Internet Explorer</t>
  </si>
  <si>
    <t>Outlook Express</t>
  </si>
  <si>
    <t xml:space="preserve">Internet e-mail is based on standards, known as </t>
  </si>
  <si>
    <t>Protocols</t>
  </si>
  <si>
    <t>Networks</t>
  </si>
  <si>
    <t>In India, the organization responsible or providing Internet access is</t>
  </si>
  <si>
    <t>MTNL</t>
  </si>
  <si>
    <t>VSNL</t>
  </si>
  <si>
    <t>JTNL</t>
  </si>
  <si>
    <t xml:space="preserve">An organization responsible for providing Internet services to customers is commonly known as </t>
  </si>
  <si>
    <t>GIAS</t>
  </si>
  <si>
    <t>TCI/IP</t>
  </si>
  <si>
    <t>ISP</t>
  </si>
  <si>
    <t xml:space="preserve">The command to connect to an FTP site is </t>
  </si>
  <si>
    <t>open</t>
  </si>
  <si>
    <t>connect</t>
  </si>
  <si>
    <t>Which one of the following is a popular FTP client?</t>
  </si>
  <si>
    <t>CuteFTP</t>
  </si>
  <si>
    <t>MaxFTP</t>
  </si>
  <si>
    <t xml:space="preserve">An FTP site is also known as </t>
  </si>
  <si>
    <t>Protocol</t>
  </si>
  <si>
    <t>FTP Client</t>
  </si>
  <si>
    <t xml:space="preserve">The bye command is used to </t>
  </si>
  <si>
    <t>Disconnect from an FTP server</t>
  </si>
  <si>
    <t>Close the FTP client</t>
  </si>
  <si>
    <t>The FTP is a member protocol of the ................................ suite.</t>
  </si>
  <si>
    <t>SMTP</t>
  </si>
  <si>
    <t xml:space="preserve">IRC stands for </t>
  </si>
  <si>
    <t>Internet Real-time Communication</t>
  </si>
  <si>
    <t>Internet Relay Chat</t>
  </si>
  <si>
    <t>Internet Real-time Chat</t>
  </si>
  <si>
    <t xml:space="preserve">Channels can be described as </t>
  </si>
  <si>
    <t xml:space="preserve">Devices </t>
  </si>
  <si>
    <t>Discussion groups</t>
  </si>
  <si>
    <t xml:space="preserve">A popular chat client is </t>
  </si>
  <si>
    <t>mIRC</t>
  </si>
  <si>
    <t>PIRCH</t>
  </si>
  <si>
    <t xml:space="preserve">An emoticon is also known as </t>
  </si>
  <si>
    <t>Punctuation</t>
  </si>
  <si>
    <t>Acronym</t>
  </si>
  <si>
    <t>Smiley</t>
  </si>
  <si>
    <t>MUD stands for</t>
  </si>
  <si>
    <t>Multi-User Dungeon</t>
  </si>
  <si>
    <t>Multi-User Dimension</t>
  </si>
  <si>
    <t>Multi-User Domain</t>
  </si>
  <si>
    <t xml:space="preserve">HTML tags are enclosed in </t>
  </si>
  <si>
    <t>Angle brackets</t>
  </si>
  <si>
    <t>Parenthesis</t>
  </si>
  <si>
    <t>Curly braces</t>
  </si>
  <si>
    <t xml:space="preserve">An example of an HTML editor is </t>
  </si>
  <si>
    <t>Notepad</t>
  </si>
  <si>
    <t>HotDog</t>
  </si>
  <si>
    <t>Microsoft FrontPage</t>
  </si>
  <si>
    <t xml:space="preserve">A program that automatically interprets the HTML code and formats the document accordingly is known as </t>
  </si>
  <si>
    <t>Container</t>
  </si>
  <si>
    <t>Editor</t>
  </si>
  <si>
    <t>The insert comments to your HTML code, you can use the following tag</t>
  </si>
  <si>
    <t>&lt;comment&gt; ..........&lt;/comment&gt;</t>
  </si>
  <si>
    <t>&lt;! - - . . . . . - -&gt;</t>
  </si>
  <si>
    <t xml:space="preserve">The default alignment for paragraphs is </t>
  </si>
  <si>
    <t>Center</t>
  </si>
  <si>
    <t>Left</t>
  </si>
  <si>
    <t>Right</t>
  </si>
  <si>
    <t xml:space="preserve">Logical style tags are cimetimes also referred to as </t>
  </si>
  <si>
    <t>Physical style tags</t>
  </si>
  <si>
    <t>Soft-format style tags</t>
  </si>
  <si>
    <t>Hard-format style tags</t>
  </si>
  <si>
    <t xml:space="preserve">The &lt;B&gt; tag is an example of a </t>
  </si>
  <si>
    <t>Logical style tag</t>
  </si>
  <si>
    <t>Physical style tag</t>
  </si>
  <si>
    <t>Character entities are commonly known as</t>
  </si>
  <si>
    <t>Hyperlinks</t>
  </si>
  <si>
    <t>Tags</t>
  </si>
  <si>
    <t>Excape sequences</t>
  </si>
  <si>
    <t>Links are also known as</t>
  </si>
  <si>
    <t>Anchors</t>
  </si>
  <si>
    <t>Hotspots</t>
  </si>
  <si>
    <t xml:space="preserve">The parent directory is represented by </t>
  </si>
  <si>
    <t xml:space="preserve">/ </t>
  </si>
  <si>
    <t xml:space="preserve">. . / </t>
  </si>
  <si>
    <t>Parent</t>
  </si>
  <si>
    <t xml:space="preserve">Microsoft FrontPage offers features for </t>
  </si>
  <si>
    <t>Creating and modifying web pages</t>
  </si>
  <si>
    <t>Creating and maintaining 
Web sites</t>
  </si>
  <si>
    <t>The command to make a word bold can be accessed using</t>
  </si>
  <si>
    <t>The Font dialog box</t>
  </si>
  <si>
    <t>The Formatting toolbar</t>
  </si>
  <si>
    <t>You can create a link to</t>
  </si>
  <si>
    <t>A web page</t>
  </si>
  <si>
    <t>An image file</t>
  </si>
  <si>
    <t>A sound file</t>
  </si>
  <si>
    <t>The shortcut for creating a thumbnail for the selected image is</t>
  </si>
  <si>
    <t>CTRL + N</t>
  </si>
  <si>
    <t>CTRL+ T</t>
  </si>
  <si>
    <t>Shift + T</t>
  </si>
  <si>
    <t xml:space="preserve">You can save the thumbnail of an image </t>
  </si>
  <si>
    <t>Along with the original image file</t>
  </si>
  <si>
    <t>Along with the HTML file</t>
  </si>
  <si>
    <t>As a separate file</t>
  </si>
  <si>
    <t>What should be minimum requirement of random access memory (RAM) for internet access?</t>
  </si>
  <si>
    <t xml:space="preserve">8 MB </t>
  </si>
  <si>
    <t xml:space="preserve">16 MB </t>
  </si>
  <si>
    <t xml:space="preserve">32 MB </t>
  </si>
  <si>
    <t xml:space="preserve">64 MB </t>
  </si>
  <si>
    <t>A modem is not needed when accessing the Internet through</t>
  </si>
  <si>
    <t xml:space="preserve">LAN </t>
  </si>
  <si>
    <t xml:space="preserve">Wi Fi </t>
  </si>
  <si>
    <t xml:space="preserve">Cable </t>
  </si>
  <si>
    <t xml:space="preserve">None Of the above </t>
  </si>
  <si>
    <t>In order to use cable for browsing web you will need :</t>
  </si>
  <si>
    <t xml:space="preserve">A cable modem </t>
  </si>
  <si>
    <t xml:space="preserve">Network Interface Card (NIC) </t>
  </si>
  <si>
    <t xml:space="preserve">Both 1 &amp; 2 </t>
  </si>
  <si>
    <t>ADSL gives</t>
  </si>
  <si>
    <t xml:space="preserve">faster downloading speeds (receiving) than uploading speeds (sending). </t>
  </si>
  <si>
    <t xml:space="preserve">slower downloading speeds (receiving) than 
Uploading speeds (sending). </t>
  </si>
  <si>
    <t xml:space="preserve">same downloading speeds (receiving
) as uploading speeds (sending). </t>
  </si>
  <si>
    <t>What is the minimum bandwidth required for broadband connection?</t>
  </si>
  <si>
    <t>128 kbps</t>
  </si>
  <si>
    <t>256 kbps</t>
  </si>
  <si>
    <t>512 kbps</t>
  </si>
  <si>
    <t>2048 kbps</t>
  </si>
  <si>
    <t>The limit for ADSL service is</t>
  </si>
  <si>
    <t>8,000 feet</t>
  </si>
  <si>
    <t>10,000 feet</t>
  </si>
  <si>
    <t>18,000 feet</t>
  </si>
  <si>
    <t>20,000 feet</t>
  </si>
  <si>
    <t>Which of these is a variation of ADSL, but the modem can adjust the speed of the connection depending on the length and quality of the line.</t>
  </si>
  <si>
    <t>VDSL</t>
  </si>
  <si>
    <t>SDSL</t>
  </si>
  <si>
    <t>RADSL</t>
  </si>
  <si>
    <t>In cable modem internet access, cable modem termination system (CMTS) is at</t>
  </si>
  <si>
    <t>cable provider’s end</t>
  </si>
  <si>
    <t xml:space="preserve">customer end </t>
  </si>
  <si>
    <t>Both 1 &amp; 2</t>
  </si>
  <si>
    <t>analog to digital</t>
  </si>
  <si>
    <t>digital to analog</t>
  </si>
  <si>
    <t>It depends</t>
  </si>
  <si>
    <t>What is the domain used for non-profitable organizations</t>
  </si>
  <si>
    <t xml:space="preserve">.gov </t>
  </si>
  <si>
    <t>.org</t>
  </si>
  <si>
    <t>.net</t>
  </si>
  <si>
    <t>.in</t>
  </si>
  <si>
    <t>Today all modems are made in which technology</t>
  </si>
  <si>
    <t xml:space="preserve">X2 </t>
  </si>
  <si>
    <t xml:space="preserve">KFlex </t>
  </si>
  <si>
    <t xml:space="preserve">V.90 </t>
  </si>
  <si>
    <t xml:space="preserve">None of the above </t>
  </si>
  <si>
    <t>What is the full form of http?</t>
  </si>
  <si>
    <t xml:space="preserve">HyperText Transmission Protocol </t>
  </si>
  <si>
    <t xml:space="preserve">HyperText Transfer Protocol </t>
  </si>
  <si>
    <t xml:space="preserve">HyperTerminal Transport Protocol </t>
  </si>
  <si>
    <t xml:space="preserve">HyperTerminal Transfer Protocol </t>
  </si>
  <si>
    <t>IRC stands for</t>
  </si>
  <si>
    <t xml:space="preserve">Internet Related Chat </t>
  </si>
  <si>
    <t xml:space="preserve">Internet Relay Chat </t>
  </si>
  <si>
    <t xml:space="preserve">Internet Related Content </t>
  </si>
  <si>
    <t>Which of these are Types of Internet connections</t>
  </si>
  <si>
    <t>SLIP</t>
  </si>
  <si>
    <t>DIAS</t>
  </si>
  <si>
    <t>PPP</t>
  </si>
  <si>
    <t>Which of these are disadvantage of DSL connection?</t>
  </si>
  <si>
    <t xml:space="preserve">The speed is much higher than a regular modem </t>
  </si>
  <si>
    <t xml:space="preserve">You can leave your Internet connection open 
And still use the phone line for voice calls. </t>
  </si>
  <si>
    <t xml:space="preserve">A DSL connection works better when you are 
closer to the provider’s central office. </t>
  </si>
  <si>
    <t xml:space="preserve">DSL doesn’t necessarily require new wiring; it can use 
The phone line you already have. </t>
  </si>
  <si>
    <t>A new solution USB allows a user to install up to how many devices on the computer</t>
  </si>
  <si>
    <t xml:space="preserve">What is the name of the series of Laptop computers manufactured by IBM called? </t>
  </si>
  <si>
    <t xml:space="preserve">LapPad </t>
  </si>
  <si>
    <t xml:space="preserve">ThinkPad </t>
  </si>
  <si>
    <t xml:space="preserve">Aptiva </t>
  </si>
  <si>
    <t xml:space="preserve">Notepaq </t>
  </si>
  <si>
    <t xml:space="preserve">What is the name of the 64-bit Microprocessor developed by AMD? </t>
  </si>
  <si>
    <t xml:space="preserve">Opteron </t>
  </si>
  <si>
    <t xml:space="preserve">RISC-9000 </t>
  </si>
  <si>
    <t xml:space="preserve">iMac </t>
  </si>
  <si>
    <t xml:space="preserve">Athlon </t>
  </si>
  <si>
    <t xml:space="preserve">Which computer periperal manufacturer quotes - Empowering your PC </t>
  </si>
  <si>
    <t xml:space="preserve">Canon </t>
  </si>
  <si>
    <t xml:space="preserve">Epson </t>
  </si>
  <si>
    <t xml:space="preserve">Mercury </t>
  </si>
  <si>
    <t xml:space="preserve">Samsung </t>
  </si>
  <si>
    <t xml:space="preserve">Nortel is a company into manufactures </t>
  </si>
  <si>
    <t xml:space="preserve">Software </t>
  </si>
  <si>
    <t xml:space="preserve">Processors </t>
  </si>
  <si>
    <t xml:space="preserve">Cables </t>
  </si>
  <si>
    <t xml:space="preserve">Network equiptment </t>
  </si>
  <si>
    <t xml:space="preserve">Who among the following is a Personal Computer manufacturer from Taiwan </t>
  </si>
  <si>
    <t xml:space="preserve">Sony </t>
  </si>
  <si>
    <t xml:space="preserve">IBM </t>
  </si>
  <si>
    <t xml:space="preserve">Acer </t>
  </si>
  <si>
    <t xml:space="preserve">SCSI is a term related with </t>
  </si>
  <si>
    <t xml:space="preserve">Storage </t>
  </si>
  <si>
    <t xml:space="preserve">Network Data Transfer </t>
  </si>
  <si>
    <t xml:space="preserve">Keystroke Rate </t>
  </si>
  <si>
    <t xml:space="preserve">Picture resolution </t>
  </si>
  <si>
    <t xml:space="preserve">Which company did SCO sue for using code UNIX in its Operating System? </t>
  </si>
  <si>
    <t xml:space="preserve">RedHat </t>
  </si>
  <si>
    <t xml:space="preserve">SuSE </t>
  </si>
  <si>
    <t xml:space="preserve">What are the units used to count the speed of a printer? </t>
  </si>
  <si>
    <t xml:space="preserve">CPM </t>
  </si>
  <si>
    <t xml:space="preserve">DPI </t>
  </si>
  <si>
    <t xml:space="preserve">PPM </t>
  </si>
  <si>
    <t xml:space="preserve">BIT </t>
  </si>
  <si>
    <t xml:space="preserve">Which of the following organizations looks at standards for representation of data on the Internet ? </t>
  </si>
  <si>
    <t xml:space="preserve">ISOC </t>
  </si>
  <si>
    <t xml:space="preserve">W3C </t>
  </si>
  <si>
    <t xml:space="preserve">IEEE </t>
  </si>
  <si>
    <t xml:space="preserve">IETE </t>
  </si>
  <si>
    <t xml:space="preserve">What is the other name for a LAN Card? </t>
  </si>
  <si>
    <t xml:space="preserve">NIC </t>
  </si>
  <si>
    <t xml:space="preserve">Network Connector </t>
  </si>
  <si>
    <t xml:space="preserve">MODEM </t>
  </si>
  <si>
    <t xml:space="preserve">Internet Card </t>
  </si>
  <si>
    <t xml:space="preserve">Which of the following cables can transmit data at high speeds </t>
  </si>
  <si>
    <t xml:space="preserve">Coaxial Cable </t>
  </si>
  <si>
    <t xml:space="preserve">Optic Fibre Cable </t>
  </si>
  <si>
    <t xml:space="preserve">Twistedpair Cable </t>
  </si>
  <si>
    <t xml:space="preserve">UTP Cable </t>
  </si>
  <si>
    <t xml:space="preserve">What is the name of the latest Server Operating System developed by Microsoft? </t>
  </si>
  <si>
    <t xml:space="preserve">Windows NT </t>
  </si>
  <si>
    <t xml:space="preserve">Windows 2000 </t>
  </si>
  <si>
    <t xml:space="preserve">Windows XP </t>
  </si>
  <si>
    <t xml:space="preserve">Windows 2003 </t>
  </si>
  <si>
    <t xml:space="preserve">Which of the following is a term related with scanners? </t>
  </si>
  <si>
    <t xml:space="preserve">Laser </t>
  </si>
  <si>
    <t xml:space="preserve">TWAIN </t>
  </si>
  <si>
    <t xml:space="preserve">Catridge </t>
  </si>
  <si>
    <t xml:space="preserve">Media </t>
  </si>
  <si>
    <t xml:space="preserve">Who is the founder of BSD Unix? </t>
  </si>
  <si>
    <t xml:space="preserve">Bill Gates </t>
  </si>
  <si>
    <t xml:space="preserve">Dennis Ritche </t>
  </si>
  <si>
    <t xml:space="preserve">Bill Joy </t>
  </si>
  <si>
    <t xml:space="preserve">Linux Torvalds </t>
  </si>
  <si>
    <t xml:space="preserve">Who is the founder of Oracle Corporation? </t>
  </si>
  <si>
    <t xml:space="preserve">Lars Ellison </t>
  </si>
  <si>
    <t xml:space="preserve">Andrew S Grove </t>
  </si>
  <si>
    <t xml:space="preserve">Marc Andreeson </t>
  </si>
  <si>
    <t xml:space="preserve">What is the name of the software that allows us to browse through web pages called? </t>
  </si>
  <si>
    <t xml:space="preserve">Browser </t>
  </si>
  <si>
    <t xml:space="preserve">Mail Client </t>
  </si>
  <si>
    <t xml:space="preserve">FTP Client </t>
  </si>
  <si>
    <t xml:space="preserve">Messenger </t>
  </si>
  <si>
    <t xml:space="preserve">Macromedia is a name of a company related with </t>
  </si>
  <si>
    <t xml:space="preserve">Hardware </t>
  </si>
  <si>
    <t xml:space="preserve">Periperals </t>
  </si>
  <si>
    <t xml:space="preserve">Services </t>
  </si>
  <si>
    <t xml:space="preserve">What is the address given to a computer connected to a network called? </t>
  </si>
  <si>
    <t xml:space="preserve">System Address </t>
  </si>
  <si>
    <t xml:space="preserve">SYSID </t>
  </si>
  <si>
    <t xml:space="preserve">Process ID </t>
  </si>
  <si>
    <t xml:space="preserve">IP Address </t>
  </si>
  <si>
    <t xml:space="preserve">Direct X is a _____ </t>
  </si>
  <si>
    <t xml:space="preserve">Computer Part </t>
  </si>
  <si>
    <t xml:space="preserve">Software that drives Graphic hardware </t>
  </si>
  <si>
    <t xml:space="preserve">A User Interface </t>
  </si>
  <si>
    <t xml:space="preserve">When you purchase a product over a Mobile Phone, the transaction is called ___ </t>
  </si>
  <si>
    <t xml:space="preserve">Web Commerce </t>
  </si>
  <si>
    <t xml:space="preserve">e-Commerce </t>
  </si>
  <si>
    <t xml:space="preserve">m-Commerce </t>
  </si>
  <si>
    <t xml:space="preserve">Mobile Purchases </t>
  </si>
  <si>
    <t>Internet’s initial development was supported by</t>
  </si>
  <si>
    <t>ARPANET</t>
  </si>
  <si>
    <t>Bill Rogers</t>
  </si>
  <si>
    <t>Microsoft</t>
  </si>
  <si>
    <t>World Wide Web was proposed by</t>
  </si>
  <si>
    <t xml:space="preserve">Bill Rogers </t>
  </si>
  <si>
    <t>What are the uses of the Internet?</t>
  </si>
  <si>
    <t>Communication</t>
  </si>
  <si>
    <t>Information Retrieval</t>
  </si>
  <si>
    <t>Presentation of Information</t>
  </si>
  <si>
    <t>.net domain is used for</t>
  </si>
  <si>
    <t>educational institution</t>
  </si>
  <si>
    <t>Internet infrastructure and service providers</t>
  </si>
  <si>
    <t>International organizations</t>
  </si>
  <si>
    <t>Benefits of Email are?</t>
  </si>
  <si>
    <t>Speed</t>
  </si>
  <si>
    <t xml:space="preserve">Cost </t>
  </si>
  <si>
    <t>Record keeping</t>
  </si>
  <si>
    <t>WWW provides standardized access to</t>
  </si>
  <si>
    <t>GOPHER</t>
  </si>
  <si>
    <t>TELNET</t>
  </si>
  <si>
    <t>FTP</t>
  </si>
  <si>
    <t>Which of these are not a internet browser?</t>
  </si>
  <si>
    <t>Chrome</t>
  </si>
  <si>
    <t>Drupal</t>
  </si>
  <si>
    <t>Opera</t>
  </si>
  <si>
    <t>What does WWW stand for?</t>
  </si>
  <si>
    <t>World Wacky Web</t>
  </si>
  <si>
    <t>Wide World Wumpus</t>
  </si>
  <si>
    <t>World Wide Web</t>
  </si>
  <si>
    <t>Wide World of Why</t>
  </si>
  <si>
    <t xml:space="preserve">Which one of the following is a search engine? </t>
  </si>
  <si>
    <t>Java</t>
  </si>
  <si>
    <t>Altavista</t>
  </si>
  <si>
    <t xml:space="preserve">Internet </t>
  </si>
  <si>
    <t xml:space="preserve">What is the URL of the search engine? </t>
  </si>
  <si>
    <t>http://www.yahoo.com</t>
  </si>
  <si>
    <r>
      <t>http://www.altavista.net</t>
    </r>
    <r>
      <rPr>
        <sz val="12"/>
        <rFont val="Times New Roman"/>
        <family val="1"/>
        <charset val="1"/>
      </rPr>
      <t xml:space="preserve"> </t>
    </r>
  </si>
  <si>
    <t>http://www.yahooligans.org</t>
  </si>
  <si>
    <t xml:space="preserve">http ://www.altavista.com </t>
  </si>
  <si>
    <t xml:space="preserve">What does URL stand for? </t>
  </si>
  <si>
    <t>united route link</t>
  </si>
  <si>
    <t>uniform resource locators</t>
  </si>
  <si>
    <t>unknown redirection link</t>
  </si>
  <si>
    <t xml:space="preserve">up real late </t>
  </si>
  <si>
    <t xml:space="preserve">What is the name of the language you use to write a web page? </t>
  </si>
  <si>
    <t xml:space="preserve">HTTP  </t>
  </si>
  <si>
    <t xml:space="preserve">FTP  </t>
  </si>
  <si>
    <t xml:space="preserve">URL  </t>
  </si>
  <si>
    <t xml:space="preserve">HTML </t>
  </si>
  <si>
    <t xml:space="preserve">Launcher </t>
  </si>
  <si>
    <t>E-mail</t>
  </si>
  <si>
    <t>All web addresses start with which of the following?</t>
  </si>
  <si>
    <t>htp</t>
  </si>
  <si>
    <t>http://</t>
  </si>
  <si>
    <t xml:space="preserve"> http:/ </t>
  </si>
  <si>
    <t xml:space="preserve">WWW </t>
  </si>
  <si>
    <t>Internet is</t>
  </si>
  <si>
    <t>a local computer network</t>
  </si>
  <si>
    <t>a world wide network of computers</t>
  </si>
  <si>
    <t>an interconnected network of computers</t>
  </si>
  <si>
    <t>a world wide interconnected network of computers which use a 
common protocol to communicate with one another</t>
  </si>
  <si>
    <t>The facilities available in the internet are (i) electronic mail  (ii) remote login  (iii)file transfer (iv)word processing</t>
  </si>
  <si>
    <t>i, ii</t>
  </si>
  <si>
    <t>i, ii, iii</t>
  </si>
  <si>
    <t>i, ii, iv</t>
  </si>
  <si>
    <t>ii, iii and iv</t>
  </si>
  <si>
    <t>Internet requires</t>
  </si>
  <si>
    <t>an international agreement to connect computers</t>
  </si>
  <si>
    <t>a local area network</t>
  </si>
  <si>
    <t>a commonly agreed set of rules to communicate between computers</t>
  </si>
  <si>
    <t>a World Wide Web</t>
  </si>
  <si>
    <t>Each computer connected to the internet must</t>
  </si>
  <si>
    <t>be an IBM PC</t>
  </si>
  <si>
    <t>have a unique IP address</t>
  </si>
  <si>
    <t>be internet compatible</t>
  </si>
  <si>
    <t>have a modem connection</t>
  </si>
  <si>
    <t>IP address is currently</t>
  </si>
  <si>
    <t xml:space="preserve">4 bytes long </t>
  </si>
  <si>
    <t>available in plenty</t>
  </si>
  <si>
    <t>6 bytes long</t>
  </si>
  <si>
    <t>not assigned as it is all used up</t>
  </si>
  <si>
    <t>IP addresses are converted to</t>
  </si>
  <si>
    <t>a binary string</t>
  </si>
  <si>
    <t>alphanumeric string</t>
  </si>
  <si>
    <t>a hierarchy of domain names</t>
  </si>
  <si>
    <t>a hexadecimal string</t>
  </si>
  <si>
    <t>Internet uses</t>
  </si>
  <si>
    <t>Packet switching</t>
  </si>
  <si>
    <t>Circuit switching</t>
  </si>
  <si>
    <t>Telephone switching</t>
  </si>
  <si>
    <t>Telex switching</t>
  </si>
  <si>
    <t>Internet data is broken up as</t>
  </si>
  <si>
    <t>fixed length packets</t>
  </si>
  <si>
    <t>variable length packets</t>
  </si>
  <si>
    <t>not packetized</t>
  </si>
  <si>
    <t>64 bytes packets</t>
  </si>
  <si>
    <t>The packets of an internet message</t>
  </si>
  <si>
    <t>take a predetermined path</t>
  </si>
  <si>
    <t>take a path based on packet priority</t>
  </si>
  <si>
    <t>go along different paths based on path availability</t>
  </si>
  <si>
    <t>take the shortest path from source to destination</t>
  </si>
  <si>
    <t>The time taken by internet packets</t>
  </si>
  <si>
    <t>can be predetermined before transmission</t>
  </si>
  <si>
    <t>may be different for different packets</t>
  </si>
  <si>
    <t>is irrelevant for audio packets</t>
  </si>
  <si>
    <t>none ot aboves</t>
  </si>
  <si>
    <t>By an intranet we mean</t>
  </si>
  <si>
    <t>a LAN of an organization</t>
  </si>
  <si>
    <t>a Wide Area Network connecting all branches of 
An organization</t>
  </si>
  <si>
    <t>a corporate computer network</t>
  </si>
  <si>
    <t>a network connecting all computers of an organization and 
using the internet protocol</t>
  </si>
  <si>
    <t>By an extranet we mean</t>
  </si>
  <si>
    <t>an extra fast computer network</t>
  </si>
  <si>
    <t>the intranets of two co-operating organizations 
Interconnected via a secure leased line</t>
  </si>
  <si>
    <t>an extra network used by an organization for higher reliability</t>
  </si>
  <si>
    <t>an extra connection to internet provided to co-operating organizati</t>
  </si>
  <si>
    <t>is another name for internet</t>
  </si>
  <si>
    <t>world wide connection for computers</t>
  </si>
  <si>
    <t>a collection of linked information residing on 
Computers connected by the internet</t>
  </si>
  <si>
    <t>a collection of world wide information</t>
  </si>
  <si>
    <t>A world wide web contains web pages</t>
  </si>
  <si>
    <t>residing in many computers</t>
  </si>
  <si>
    <t>created using HTML</t>
  </si>
  <si>
    <t>with links to other web pages</t>
  </si>
  <si>
    <t>residing in many computers linked together using HTML</t>
  </si>
  <si>
    <r>
      <t xml:space="preserve"> </t>
    </r>
    <r>
      <rPr>
        <sz val="10"/>
        <rFont val="Arial"/>
        <family val="2"/>
      </rPr>
      <t>Regional Load Despatch Centre (RLDC)</t>
    </r>
  </si>
  <si>
    <r>
      <t xml:space="preserve"> </t>
    </r>
    <r>
      <rPr>
        <sz val="10"/>
        <rFont val="Arial"/>
        <family val="2"/>
      </rPr>
      <t xml:space="preserve">RPC Secretariat in consultation with NLDC and RLDC </t>
    </r>
  </si>
  <si>
    <r>
      <t xml:space="preserve"> </t>
    </r>
    <r>
      <rPr>
        <sz val="10"/>
        <rFont val="Arial"/>
        <family val="2"/>
      </rPr>
      <t xml:space="preserve">CTU  in consultation with NLDC and RLDC </t>
    </r>
  </si>
  <si>
    <r>
      <t xml:space="preserve"> </t>
    </r>
    <r>
      <rPr>
        <sz val="10"/>
        <color indexed="10"/>
        <rFont val="Arial"/>
        <family val="2"/>
      </rPr>
      <t>To be decided by Wind Generator</t>
    </r>
  </si>
  <si>
    <r>
      <t xml:space="preserve"> </t>
    </r>
    <r>
      <rPr>
        <sz val="10"/>
        <rFont val="Arial"/>
        <family val="2"/>
      </rPr>
      <t>voltage at the metering point is below 97%</t>
    </r>
  </si>
  <si>
    <r>
      <t xml:space="preserve"> </t>
    </r>
    <r>
      <rPr>
        <sz val="10"/>
        <rFont val="Arial"/>
        <family val="2"/>
      </rPr>
      <t>In case of voltage below 97% or greater than 103% at the metering point.</t>
    </r>
  </si>
  <si>
    <r>
      <t xml:space="preserve">  </t>
    </r>
    <r>
      <rPr>
        <sz val="10"/>
        <rFont val="Arial"/>
        <family val="2"/>
      </rPr>
      <t>Voltage at metering point is below 95 % or above 105 %</t>
    </r>
  </si>
  <si>
    <r>
      <t>First IEGC, which became effective from 1</t>
    </r>
    <r>
      <rPr>
        <vertAlign val="superscript"/>
        <sz val="10"/>
        <rFont val="Arial"/>
        <family val="2"/>
      </rPr>
      <t>st</t>
    </r>
    <r>
      <rPr>
        <sz val="10"/>
        <rFont val="Arial"/>
        <family val="2"/>
      </rPr>
      <t xml:space="preserve"> Feb, 2000 was </t>
    </r>
  </si>
  <si>
    <r>
      <t xml:space="preserve"> </t>
    </r>
    <r>
      <rPr>
        <sz val="10"/>
        <rFont val="Arial"/>
        <family val="2"/>
      </rPr>
      <t>A Regulation made by Central Electricity Authority (CEA)</t>
    </r>
  </si>
  <si>
    <r>
      <t xml:space="preserve"> </t>
    </r>
    <r>
      <rPr>
        <sz val="10"/>
        <rFont val="Arial"/>
        <family val="2"/>
      </rPr>
      <t>National Load Despatch Centre (NLDC)</t>
    </r>
  </si>
  <si>
    <r>
      <t xml:space="preserve"> </t>
    </r>
    <r>
      <rPr>
        <sz val="10"/>
        <rFont val="Arial"/>
        <family val="2"/>
      </rPr>
      <t>Central Electricity Authority (CEA)</t>
    </r>
  </si>
  <si>
    <r>
      <t xml:space="preserve"> </t>
    </r>
    <r>
      <rPr>
        <sz val="10"/>
        <rFont val="Arial"/>
        <family val="2"/>
      </rPr>
      <t>to enhance the overall operational reliability and economy of the Inter-State electric power network only</t>
    </r>
  </si>
  <si>
    <r>
      <t xml:space="preserve"> </t>
    </r>
    <r>
      <rPr>
        <sz val="10"/>
        <rFont val="Arial"/>
        <family val="2"/>
      </rPr>
      <t>to enhance the overall operational reliability of the entire electric power network spread over the geographical area of the interconnected system</t>
    </r>
  </si>
  <si>
    <r>
      <t xml:space="preserve"> </t>
    </r>
    <r>
      <rPr>
        <sz val="10"/>
        <rFont val="Arial"/>
        <family val="2"/>
      </rPr>
      <t>to enhance the overall operational economy of the entire electric power network spread over the geographical area of the interconnected system</t>
    </r>
  </si>
  <si>
    <r>
      <t xml:space="preserve"> </t>
    </r>
    <r>
      <rPr>
        <sz val="10"/>
        <rFont val="Arial"/>
        <family val="2"/>
      </rPr>
      <t>SLDC through respective State Transmission Utility</t>
    </r>
  </si>
  <si>
    <r>
      <t xml:space="preserve"> </t>
    </r>
    <r>
      <rPr>
        <sz val="10"/>
        <rFont val="Arial"/>
        <family val="2"/>
      </rPr>
      <t>RPC through respective State Electricity Boards/Distribution Licensees</t>
    </r>
  </si>
  <si>
    <r>
      <t>As per IEGC,</t>
    </r>
    <r>
      <rPr>
        <u/>
        <sz val="10"/>
        <rFont val="Arial"/>
        <family val="2"/>
      </rPr>
      <t xml:space="preserve"> </t>
    </r>
    <r>
      <rPr>
        <sz val="10"/>
        <rFont val="Arial"/>
        <family val="2"/>
      </rPr>
      <t xml:space="preserve">The Inter-State Generating Stations ( ISGS) </t>
    </r>
  </si>
  <si>
    <r>
      <t xml:space="preserve">As per provisions of IEGC, If a generating station is connected both to ISTS and the State network, scheduling and other functions performed by the system operator of a control area will be done by SLDC, </t>
    </r>
    <r>
      <rPr>
        <b/>
        <sz val="10"/>
        <rFont val="Arial"/>
        <family val="2"/>
      </rPr>
      <t>only if</t>
    </r>
    <r>
      <rPr>
        <sz val="10"/>
        <rFont val="Arial"/>
        <family val="2"/>
      </rPr>
      <t xml:space="preserve"> state has</t>
    </r>
  </si>
  <si>
    <r>
      <t>1</t>
    </r>
    <r>
      <rPr>
        <vertAlign val="superscript"/>
        <sz val="10"/>
        <rFont val="Arial"/>
        <family val="2"/>
      </rPr>
      <t>st</t>
    </r>
    <r>
      <rPr>
        <sz val="10"/>
        <rFont val="Arial"/>
        <family val="2"/>
      </rPr>
      <t xml:space="preserve"> short-term, 2</t>
    </r>
    <r>
      <rPr>
        <vertAlign val="superscript"/>
        <sz val="10"/>
        <rFont val="Arial"/>
        <family val="2"/>
      </rPr>
      <t>nd</t>
    </r>
    <r>
      <rPr>
        <sz val="10"/>
        <rFont val="Arial"/>
        <family val="2"/>
      </rPr>
      <t xml:space="preserve">  medium-term and then long-term customers.</t>
    </r>
  </si>
  <si>
    <r>
      <t>1</t>
    </r>
    <r>
      <rPr>
        <vertAlign val="superscript"/>
        <sz val="10"/>
        <rFont val="Arial"/>
        <family val="2"/>
      </rPr>
      <t>st</t>
    </r>
    <r>
      <rPr>
        <sz val="10"/>
        <rFont val="Arial"/>
        <family val="2"/>
      </rPr>
      <t xml:space="preserve"> long-term and then short-term customers.</t>
    </r>
  </si>
  <si>
    <r>
      <t>1</t>
    </r>
    <r>
      <rPr>
        <vertAlign val="superscript"/>
        <sz val="10"/>
        <rFont val="Arial"/>
        <family val="2"/>
      </rPr>
      <t>st</t>
    </r>
    <r>
      <rPr>
        <sz val="10"/>
        <rFont val="Arial"/>
        <family val="2"/>
      </rPr>
      <t xml:space="preserve"> medium-term, and then long-term customers.</t>
    </r>
  </si>
  <si>
    <t>Short Term Operating Reserve</t>
  </si>
  <si>
    <t>utilities, transmission companies &amp; ISOs/RTOs</t>
  </si>
  <si>
    <t>Control &amp; information systems</t>
  </si>
  <si>
    <t>Holding balancing services open day</t>
  </si>
  <si>
    <t>Exhibiting at the energy events</t>
  </si>
  <si>
    <t>Dynamic reserve for wind</t>
  </si>
  <si>
    <t>Network topology processing</t>
  </si>
  <si>
    <t>Observability Analysis</t>
  </si>
  <si>
    <t>Contingency Analysis</t>
  </si>
  <si>
    <t>Security Control system</t>
  </si>
  <si>
    <r>
      <rPr>
        <b/>
        <sz val="10"/>
        <rFont val="Arial"/>
        <family val="2"/>
      </rPr>
      <t>…………</t>
    </r>
    <r>
      <rPr>
        <sz val="11"/>
        <color theme="1"/>
        <rFont val="Calibri"/>
        <family val="2"/>
        <scheme val="minor"/>
      </rPr>
      <t xml:space="preserve">.has to observe instances when the desired load relief is not obtained from df/dt and under frequency load shedding/islanding schemes and report the same to </t>
    </r>
    <r>
      <rPr>
        <b/>
        <sz val="10"/>
        <rFont val="Arial"/>
        <family val="2"/>
      </rPr>
      <t>……..</t>
    </r>
  </si>
  <si>
    <r>
      <t>When system frequency is below 50.05 hz but above 49.90 hz and constituents can overdraw up to</t>
    </r>
    <r>
      <rPr>
        <b/>
        <sz val="10"/>
        <rFont val="Arial"/>
        <family val="2"/>
      </rPr>
      <t xml:space="preserve"> ………….</t>
    </r>
    <r>
      <rPr>
        <sz val="11"/>
        <color theme="1"/>
        <rFont val="Calibri"/>
        <family val="2"/>
        <scheme val="minor"/>
      </rPr>
      <t xml:space="preserve"> % of schedule subject to grid conditions</t>
    </r>
  </si>
  <si>
    <t>RLDC not to entertain</t>
  </si>
  <si>
    <r>
      <t xml:space="preserve">Wind/Solar plants can request upto </t>
    </r>
    <r>
      <rPr>
        <b/>
        <sz val="10"/>
        <rFont val="Arial"/>
        <family val="2"/>
      </rPr>
      <t>……</t>
    </r>
    <r>
      <rPr>
        <sz val="11"/>
        <color theme="1"/>
        <rFont val="Calibri"/>
        <family val="2"/>
        <scheme val="minor"/>
      </rPr>
      <t xml:space="preserve"> revisions in a day</t>
    </r>
  </si>
  <si>
    <r>
      <t>As per 4th amendment of IEGC derated capacity of a generator for COD or trial run should not be less than</t>
    </r>
    <r>
      <rPr>
        <b/>
        <sz val="10"/>
        <rFont val="Arial"/>
        <family val="2"/>
      </rPr>
      <t>……..</t>
    </r>
  </si>
  <si>
    <r>
      <t>Wind generators which are regional entity will bear UI charges if</t>
    </r>
    <r>
      <rPr>
        <b/>
        <sz val="10"/>
        <rFont val="Arial"/>
        <family val="2"/>
      </rPr>
      <t>…..</t>
    </r>
  </si>
  <si>
    <r>
      <t xml:space="preserve">Actual generation is beyond </t>
    </r>
    <r>
      <rPr>
        <sz val="10"/>
        <rFont val="Calibri"/>
        <family val="2"/>
      </rPr>
      <t>± 30% of schedule</t>
    </r>
  </si>
  <si>
    <r>
      <t xml:space="preserve">Actual generation is beyond </t>
    </r>
    <r>
      <rPr>
        <sz val="10"/>
        <rFont val="Calibri"/>
        <family val="2"/>
      </rPr>
      <t>± 40% of schedule</t>
    </r>
  </si>
  <si>
    <r>
      <t>Actual generation is beyond +</t>
    </r>
    <r>
      <rPr>
        <sz val="10"/>
        <rFont val="Calibri"/>
        <family val="2"/>
      </rPr>
      <t>30% of schedule</t>
    </r>
  </si>
  <si>
    <r>
      <t>Islanding schemes are to be prepared by</t>
    </r>
    <r>
      <rPr>
        <b/>
        <sz val="10"/>
        <rFont val="Arial"/>
        <family val="2"/>
      </rPr>
      <t xml:space="preserve"> ……</t>
    </r>
  </si>
  <si>
    <t>Who will bear deviation charges for ± 30% deviation from schedule in case of RE wind generators ?</t>
  </si>
  <si>
    <t>Wind generator</t>
  </si>
  <si>
    <t>Host state</t>
  </si>
  <si>
    <t>No charges are payable/receivable by wind generator for upto</t>
  </si>
  <si>
    <t>upto 50 MW/10% deviation from schedule whichever is lesser</t>
  </si>
  <si>
    <t xml:space="preserve"> ± 20% deviation from schedule</t>
  </si>
  <si>
    <t>upto 150 MW/12% deviation from schedule whichever is lesser</t>
  </si>
  <si>
    <t xml:space="preserve"> ± 30% deviation from schedule</t>
  </si>
  <si>
    <r>
      <t>Deviation charges borne by Host state for deviation from schedule of wind generators</t>
    </r>
    <r>
      <rPr>
        <b/>
        <sz val="10"/>
        <rFont val="Arial"/>
        <family val="2"/>
      </rPr>
      <t xml:space="preserve"> …….</t>
    </r>
  </si>
  <si>
    <t>is shared by all states and UTs in ratio of their peak demands in previous month based on data published by CEA</t>
  </si>
  <si>
    <t>shared by all states and UTs in form of Renewable Refulatory charge through Renewable Regulatory Fund</t>
  </si>
  <si>
    <t>Only B is true</t>
  </si>
  <si>
    <t>Both A and B are true</t>
  </si>
  <si>
    <t>Trial Run or Trial Operation in relation to a thermal Central Generating Station or inter-State Generating Station or a unit thereof shall mean successful running of the generating station or unit thereof on designated fuel at Maximum Continuous Rating or Installed Capacity or Name Plate Rating for a continuous period of -- hours and in case of a hydro Central Generating Station or inter-state Generating Station or a unit thereof for a continuous period of -- hours</t>
  </si>
  <si>
    <t>The technical minimum for operation in respect of a unit or units of a Central Generating Station of inter-State Generating Station shall be ----- of MCR loading or installed capacity of the unit of at generating station.</t>
  </si>
  <si>
    <t>Where the scheduled generation falls below the technical minimum schedule, the concerned CGS or ISGS shall have the option to go for reserve shut down and in such cases, start-up fuel cost over and above----  start / stop in a year shall be considered as additional compensation</t>
  </si>
  <si>
    <t>seven (7)</t>
  </si>
  <si>
    <t>three(3)</t>
  </si>
  <si>
    <t>five(5)</t>
  </si>
  <si>
    <t>four(4)</t>
  </si>
  <si>
    <t>CompBidding</t>
  </si>
  <si>
    <t>Congestion</t>
  </si>
  <si>
    <t xml:space="preserve">RLDC_F&amp;C </t>
  </si>
  <si>
    <t>VLPGO</t>
  </si>
  <si>
    <t xml:space="preserve">How many no. of largest Power Grid Operators are being represented by VLPGO association currently? </t>
  </si>
  <si>
    <t>Who is the Largest Power Grid operator among the VLPGO association ?</t>
  </si>
  <si>
    <t>Mid-west ISO (USA)</t>
  </si>
  <si>
    <t>SGCC (China)</t>
  </si>
  <si>
    <t>PJM interconnections (USA)</t>
  </si>
  <si>
    <t>PowerGrid (India)</t>
  </si>
  <si>
    <t>&gt; 50 %</t>
  </si>
  <si>
    <t>&gt; 75 %</t>
  </si>
  <si>
    <t>&gt; 40%</t>
  </si>
  <si>
    <t>&gt; 60 %</t>
  </si>
  <si>
    <t>Match the following Transmission System Operators w.r.t their country of operation.a. RTE                                                          1. China/ b. Terna                                                     2. France/c. Red Electrica                                       3. Italy/d. Tepco                                                    4. Spain/e. SGCC                                                      5. Japan</t>
  </si>
  <si>
    <t>a-4,b-3,c-2,d-5,e-1</t>
  </si>
  <si>
    <t>a-4,b-2,c-3,d-1,e-5</t>
  </si>
  <si>
    <t>a-2,b-5,c-4,d-3,e-1</t>
  </si>
  <si>
    <t>a-2,b-3,c-4,d-5,e-1</t>
  </si>
  <si>
    <t>The Indian Power Grid Operator is associated with the world wide Grid operators through __________</t>
  </si>
  <si>
    <t>CIGRE C3 &amp; C5 Committees</t>
  </si>
  <si>
    <t>TSO- Comparison Group</t>
  </si>
  <si>
    <t>VLPGO fomrned in _________</t>
  </si>
  <si>
    <t>September 2003</t>
  </si>
  <si>
    <t>August 2005</t>
  </si>
  <si>
    <t>October 2004</t>
  </si>
  <si>
    <t>January 2005</t>
  </si>
  <si>
    <t>VLPGO Organization consists of ___________</t>
  </si>
  <si>
    <t>Steering Board</t>
  </si>
  <si>
    <t>Governing Board</t>
  </si>
  <si>
    <t>Adhoc working groups</t>
  </si>
  <si>
    <t xml:space="preserve">All the above </t>
  </si>
  <si>
    <t>The world wide power system operators association which was formed followed by major balckouts in the world is ________</t>
  </si>
  <si>
    <t>CIGRE C2 Committee</t>
  </si>
  <si>
    <t>Main mission of Power Grid Operators worldwide is __________</t>
  </si>
  <si>
    <t>To accommodate increasing penetration of Renewable Energy</t>
  </si>
  <si>
    <t>High standards of power quality  &amp; reliability at min. cost remains</t>
  </si>
  <si>
    <t>Reliable and safe supply of energy</t>
  </si>
  <si>
    <t>Developing Smart Grid</t>
  </si>
  <si>
    <t>Which of the following expression is correct w.r.t  size of the transmission system of the following TSOs?</t>
  </si>
  <si>
    <t>PJM&gt; PGCIL&gt; ONS&gt; SO-UPS</t>
  </si>
  <si>
    <t>SGCC&gt; PGCIL&gt; PJM&gt; ONS</t>
  </si>
  <si>
    <t>Red Electrica&gt; KPX&gt; Tepco&gt; Eskom</t>
  </si>
  <si>
    <t>National Grid&gt; Terna&gt; Tepco&gt; ONS</t>
  </si>
  <si>
    <t>To qualify for membership in VLPGO, an organization shall be responsible for secutiry co-ordination of ______________ size of Power Grid.</t>
  </si>
  <si>
    <t>&gt; 60 GW</t>
  </si>
  <si>
    <t>&gt;75 GW</t>
  </si>
  <si>
    <t>&gt; 35 GW</t>
  </si>
  <si>
    <t>&gt; 50 GW</t>
  </si>
  <si>
    <t>Steering board of VLPGO consists of _____________</t>
  </si>
  <si>
    <t>CEO or equivlent from each VLPGO organization</t>
  </si>
  <si>
    <t>CEO or equivlent from top 5  VLPGO members w.r.t capacity of Grid</t>
  </si>
  <si>
    <t>Which of the following is not a task of  Steering board ?</t>
  </si>
  <si>
    <t>To approve VLPGO Protocol</t>
  </si>
  <si>
    <t>To approve VLPGO budget report</t>
  </si>
  <si>
    <t>The Presidency of VLPGO organization is held with which Power grid operator for the year 2011 ?</t>
  </si>
  <si>
    <t>Nationl Grid (UK)</t>
  </si>
  <si>
    <t>REE (Spain)</t>
  </si>
  <si>
    <t>VLPGO presidency is permanently held with the largest Power Grid operator among its members.</t>
  </si>
  <si>
    <t>True/ False</t>
  </si>
  <si>
    <t>Monitoring of VLPGO budget is the task of ____________</t>
  </si>
  <si>
    <t>Secretary of VLPGO organization</t>
  </si>
  <si>
    <t>Working Group on Budget</t>
  </si>
  <si>
    <t>Which of the following is not a task of Secretary of VLPGO ?</t>
  </si>
  <si>
    <t>Lead Special projects/ workshops</t>
  </si>
  <si>
    <t>Preapre annual budget and its periodical report on spending</t>
  </si>
  <si>
    <t>Maintain VLPGO document library and membership</t>
  </si>
  <si>
    <t>VLPGO Presidency shall be ______________</t>
  </si>
  <si>
    <t>held with the largest grid operator among its members</t>
  </si>
  <si>
    <t xml:space="preserve">One of the members of top 5 VLPGO members w.r.t capacity of Grid </t>
  </si>
  <si>
    <t>Member of Steering Board on annual rotational basis</t>
  </si>
  <si>
    <t>Member of Steering Board on rotational basis for 5 yrs</t>
  </si>
  <si>
    <t>A key aspect of VLPGO mission is to act on issues of common interest to its members. The selection of a Joint activity among the  proposed  is done by _________</t>
  </si>
  <si>
    <t>voting among members with 3/4 th majority</t>
  </si>
  <si>
    <t>the President of VLPGO</t>
  </si>
  <si>
    <t>the secretariat of VLPGO</t>
  </si>
  <si>
    <t>Voting among members with 2/3rd majority</t>
  </si>
  <si>
    <t>The VLPGO member hosting the annual meeting is assumed to be the VLPGO president for the following year</t>
  </si>
  <si>
    <t>True/False</t>
  </si>
  <si>
    <t>The Presidency of VLPGO organization will be held with which Power grid operator for the year 2012 ?</t>
  </si>
  <si>
    <t>National Grid (UK)</t>
  </si>
  <si>
    <t>KPX (South Korea)</t>
  </si>
  <si>
    <t>Under the framework of the VLPGO Association, The System Operator is expected to ________________________</t>
  </si>
  <si>
    <t>Facilitate the transition towards a Smarter Grid</t>
  </si>
  <si>
    <t>Act as a catalyst for Manufacturers and Vendors to make available best Technologists</t>
  </si>
  <si>
    <t>Share the worldwide experience and Best Practices to achieve a more Reliable,Secure and Economic Grid</t>
  </si>
  <si>
    <t>Enhance Power system Security</t>
  </si>
  <si>
    <t>How many Working groups have been created under VLPGO currently ?</t>
  </si>
  <si>
    <t>Joint activities of VLPGO involves ______________</t>
  </si>
  <si>
    <t>Joint Projects</t>
  </si>
  <si>
    <t>Work Groups</t>
  </si>
  <si>
    <t xml:space="preserve">Work Shops </t>
  </si>
  <si>
    <t>Match the following Transmission System Operators w.r.t  activities of the Working Groups?a. ONS                                                          1. Integration of Renewables/b. PJM                                                          2. WAMs/c. Red Electrica                                         3. Load Forecasting/d. KPX                                                           4. HVDC/e. National Grid                                        5. Smart Grids</t>
  </si>
  <si>
    <t>a-5,b-1,c-2,d-3,e-4</t>
  </si>
  <si>
    <t>a-2,b-4,c-3,d-1,e-5</t>
  </si>
  <si>
    <t>a-4,b-2,c-3,d-5,e-1</t>
  </si>
  <si>
    <t>The Transmission System Operators (TSO) Group is managed by _____________</t>
  </si>
  <si>
    <t>KEMA (Netherlands)</t>
  </si>
  <si>
    <t>Steering Committee of elected members</t>
  </si>
  <si>
    <t>RTE (France)</t>
  </si>
  <si>
    <t>No.of elected members in the Steering Committee of TSO group ______</t>
  </si>
  <si>
    <t>The Streeing Committee of TSO Group is supported by ____________</t>
  </si>
  <si>
    <t>ABB</t>
  </si>
  <si>
    <t xml:space="preserve">KEMA  </t>
  </si>
  <si>
    <t xml:space="preserve">SIEMENS </t>
  </si>
  <si>
    <t>PJM</t>
  </si>
  <si>
    <t>Membership of TSO Group is presently restricted to ______ bulk power system operators.</t>
  </si>
  <si>
    <t>Present TSO-Comparison Group Strength ______</t>
  </si>
  <si>
    <t>What is the tool being used by TSO Comparison group for comparing TSOs System Operation organization ?</t>
  </si>
  <si>
    <t>SWAT</t>
  </si>
  <si>
    <t>Advanced uni-directional Benchmark model</t>
  </si>
  <si>
    <t>Advanced  trapezoidal model</t>
  </si>
  <si>
    <t>Advanced multi-directional Benchmark model</t>
  </si>
  <si>
    <t>The key feature of the benchmark model of TSO- Comparison group is __________</t>
  </si>
  <si>
    <t>focuses on defining Best &amp; Worst TSOs</t>
  </si>
  <si>
    <t>focuses on pointing out Strenghts &amp; Weaknesses of a TSO</t>
  </si>
  <si>
    <t>focuses on identifying differences between TSOs</t>
  </si>
  <si>
    <t>How many key system operation processes of a Standard TSO are defined for benchmarking purposes ?</t>
  </si>
  <si>
    <t>What are the four key system operation processes of a Standard TSO along with the Support process in the order of time line ?</t>
  </si>
  <si>
    <t>Real Time Grid Operation, Scheduling, Operational Planning, After the Fact</t>
  </si>
  <si>
    <t>Scheduling, Operational Planning, Real Time Grid Operation, After the Fact</t>
  </si>
  <si>
    <t>Operation Planning, Scheduling, Real time Grid Operation, After the Fact</t>
  </si>
  <si>
    <t>Scheduling, Real Time Grid Operation, After the Fact, Operational Planning</t>
  </si>
  <si>
    <t>The Data collection in the process of Standard TSO is validated by ________, verified by __________________</t>
  </si>
  <si>
    <t>Group, KEMA</t>
  </si>
  <si>
    <t>KEMA, Group</t>
  </si>
  <si>
    <t>Members, KEMA</t>
  </si>
  <si>
    <t>KEMA, Members</t>
  </si>
  <si>
    <t>How many Benchmark models are developed for the system operation processes a Standard ISO ?</t>
  </si>
  <si>
    <t>What is the minimum no. of staff required for 24X7 operation of a Control Centre used for defining bench mark model as decided in the interim work shop of TSO Comparison Group  ?</t>
  </si>
  <si>
    <t>Two Benchmark Models,i.e. Cost Based and Performance Based Model have been identified for each System Operation Process</t>
  </si>
  <si>
    <t>What are the benefits of international interconnections ?</t>
  </si>
  <si>
    <t>Economoies of Scale</t>
  </si>
  <si>
    <t>Improving Reliability and Pooling of Reserves</t>
  </si>
  <si>
    <t>Economic Exchange</t>
  </si>
  <si>
    <t>Improving Load Factor and improving Load diversity</t>
  </si>
  <si>
    <t>International Council of Large Electric Systems (CIGRE) is based in _________</t>
  </si>
  <si>
    <t>France</t>
  </si>
  <si>
    <t>South Korea</t>
  </si>
  <si>
    <t>Denmark</t>
  </si>
  <si>
    <t>Netherlands</t>
  </si>
  <si>
    <t>How many no. of study Committees are formed in CIGRE ?</t>
  </si>
  <si>
    <t>CIGRE develops technical knowledge in the area of Electric Power Systems through the activities like _______________</t>
  </si>
  <si>
    <t>Conferences &amp; Meetings</t>
  </si>
  <si>
    <t>Permanent Studies by different Groups</t>
  </si>
  <si>
    <t>Publications</t>
  </si>
  <si>
    <t>Which of the following ISO models covers all the system operation activities ?</t>
  </si>
  <si>
    <t>Balancing ISO</t>
  </si>
  <si>
    <t>Deep ISO</t>
  </si>
  <si>
    <t>Operational ISO</t>
  </si>
  <si>
    <t>Either b or c</t>
  </si>
  <si>
    <t>OA-Connectivity-Regulatory</t>
  </si>
  <si>
    <t>DSM-Regulatory</t>
  </si>
  <si>
    <t>TCT14-19-Regulatory</t>
  </si>
  <si>
    <t>REC-Regulatory</t>
  </si>
  <si>
    <t>Regulatory_mix</t>
  </si>
  <si>
    <t>gridstandard</t>
  </si>
  <si>
    <t>Match the following for permissible voltage unbalance:a. 765 kV                                          1. 1%
b. 400 kV                                          2. 2%
c. 220 kV                                           3. 3%
d. 132 kV                                          4. 1.5%</t>
  </si>
  <si>
    <t>CEA Tech Std for Con</t>
  </si>
  <si>
    <t>According to competitve bidding guidelines issued by Ministry of Power, Adjustment shall be provided for heat rate degradation of the generating stations.. The statement is:</t>
  </si>
  <si>
    <t xml:space="preserve">Ensure financial viability of the sector and attract investments is an objective of the </t>
  </si>
  <si>
    <t xml:space="preserve">Promote Competition, efficiency in operations and improvement in quality of supply is a stated objective of the </t>
  </si>
  <si>
    <t xml:space="preserve">Ensure availability of electricity to consumers at reasonable and competitive rates is an objective of </t>
  </si>
  <si>
    <t xml:space="preserve">Promote transparency, consistency and predictability in regulatory approaches across jurisdictions and minimise perceptions of regulatory risks is an objective of the </t>
  </si>
  <si>
    <t>The no. of Electrical Regions into which the Country can be demarcated are:</t>
  </si>
  <si>
    <t xml:space="preserve">To specify the principles, procedures and criteria which shall be used in the planning and development of the ISTS and inter-regional links is an objective of the </t>
  </si>
  <si>
    <t>The term Load Despatch Centers was explicitly mentioned for the first time in the</t>
  </si>
  <si>
    <t>0, 1000</t>
  </si>
  <si>
    <t>-100, 1000</t>
  </si>
  <si>
    <t>-100, 1100</t>
  </si>
  <si>
    <t>0, 1100</t>
  </si>
  <si>
    <t>Short term open access schedules in case of Advance scheduling or “First-Cum-First Served basis” may be cancelled or revised</t>
  </si>
  <si>
    <t xml:space="preserve">Bulk Consumer in respect of connectivity for OA means one who intends to avail supply of a minimum load of </t>
  </si>
  <si>
    <t>Connectivity for a generating station, including a captive generating plant, a bulk consumer or an inter-state transmission licence means the state of getting connected to the</t>
  </si>
  <si>
    <t>How can short term open access schedules in case of Advance scheduling or “First-Cum-First Served basis” be cancelled or revised?</t>
  </si>
  <si>
    <t>Long term access means the right to use the inter-state transmission system for a period __________</t>
  </si>
  <si>
    <t xml:space="preserve">Medium-term open access means the right to use the inter-state transmission system for a period _________ </t>
  </si>
  <si>
    <t>100% subsidiary companies shall be allowed to transfer their connectivity and LTA to the parent company and vice versa one year after achieving commercial operation of Renewable Energy generating station(s) [True/False].</t>
  </si>
  <si>
    <t xml:space="preserve"> Absolute Error (%) as calculated for each 15 minute time block is</t>
  </si>
  <si>
    <t>corresponding to the grid frequency of “below 50.01 Hz but not below 50.0Hz</t>
  </si>
  <si>
    <t>corresponding to the grid frequency of “below 49.80 Hz but not below 49.79Hz</t>
  </si>
  <si>
    <t xml:space="preserve">corresponding to the grid frequency of “below 49.70 Hz </t>
  </si>
  <si>
    <t xml:space="preserve"> 49.90Hz and above and below 49.90 Hz separately.”  </t>
  </si>
  <si>
    <t xml:space="preserve"> 49.85Hz and above and below 49.85 Hz separately.”  </t>
  </si>
  <si>
    <t xml:space="preserve"> 50.0Hz and above and below 50.0 Hz separately.”  </t>
  </si>
  <si>
    <t xml:space="preserve"> 49.70Hz and above and below 49.70 Hz separately.”  </t>
  </si>
  <si>
    <t xml:space="preserve">If the boiler feed pump in a station is changed from Electric Driven to Turbine/Steam Driven then the Gross Heat Rate </t>
  </si>
  <si>
    <t>Voice over IP (Voice over Internet Protocol or VoIP) technology converts voice calls from</t>
  </si>
  <si>
    <t>Which of the following terms is a browser?</t>
  </si>
  <si>
    <t xml:space="preserve">RGMO on Open Cycle Gas Turbine/Combined Cycle generating stations having gas turbines of capacity more than 50 MW each came into  effect from </t>
  </si>
  <si>
    <t>All coal/lignite based thermal generating units of 200 MW and above, Open Cycle Gas Turbine/Combined Cycle generating stations having gas turbines of more than 50 MW each and all hydro units of 25 MW and above operating at or up to 100% of their Maximum Continuous Rating (MCR) shall have the capability of (and shall not in any way be prevented from) instantaneously picking up to -----,-----,-----,of their MCR, respectively, when the frequency falls suddenly.”</t>
  </si>
  <si>
    <t>For the purpose of ensuring primary response, RLDCs/SLDCs shall not schedule the generating station or unit(s) thereof beyond -------- corresponding to 100% of the Installed capacity of the generating station or unit(s) thereof</t>
  </si>
  <si>
    <t>distributed generation resource means a generating station feeding electricity into the electricity 
system at voltage level of</t>
  </si>
  <si>
    <t xml:space="preserve"> Which Section(s) of the Electricity Act 03 provide for tariff regulation and determination of tariff of generation, transmission, wheeling and retail sale of electricity by the Appropriate Commission ?</t>
  </si>
  <si>
    <t>Competitive Bidding guidelines have been framed under which provisions of the Electricity Act 03 ?</t>
  </si>
  <si>
    <t>CERC notified RLDC Fees and Charges, Regulation</t>
  </si>
  <si>
    <t>In context to RLDC Fees and Charges, a Buyer refers to a person buying power through_______</t>
  </si>
  <si>
    <t>In context to RLDC Fees and Charges, User doesnt refer to _______________  1. A generating station located in Bihar connected to ISTS and  serving more than 50% of IC to Orissa also in addition to home state  2. A central Sector generating station located in Andhra Pradesh and dedicated to the home state  3. An intra-state  transmission licensee 4. UMPP</t>
  </si>
  <si>
    <t>Which of the following includes Capital Cost of a Regional Load Despatch Centre(RLDC)?  1. Interest on Working Capital (IWC)     2. Interest During Construction (IDC)    3. Foreign Exchange Rate Variation (FERV)        4. Interest On Loan (IOL)</t>
  </si>
  <si>
    <t>The Salvage value for IT equipments and Softwares shall be considered as _________%.</t>
  </si>
  <si>
    <t>The Salvage value for the assets excluding IT equipments and Softwares shall be considered as _____%</t>
  </si>
  <si>
    <t>CERCs Notification for RLDC Fees and Charges allocates the annual charges for the System Operation function and Market Operation Function in the ratio ________</t>
  </si>
  <si>
    <t xml:space="preserve">As per the CERCs Notification for RLDC Fees and Charges, Market Operation Charges are recovered from </t>
  </si>
  <si>
    <t>no incentive</t>
  </si>
  <si>
    <t>What percentage of worlds electricity demand is being represented by VLPGO association ?</t>
  </si>
  <si>
    <t>CEOs representtaive from each VLPGO organization</t>
  </si>
  <si>
    <t>CEOs representative from top 5  VLPGO organizations w.r.t capacity of Grid</t>
  </si>
  <si>
    <t>To exchange information on the companys successes and challenges</t>
  </si>
  <si>
    <t>To approve working groups topics and work plans</t>
  </si>
  <si>
    <t>Preparation of annual meetings agenda</t>
  </si>
  <si>
    <t>CERCs Notification for RLDC Fees and Charges allocates the annual charges for the System Operation function and Market Operation Function in the ratio</t>
  </si>
  <si>
    <t>As per the CERCs Notification for RLDC Fees and Charges Generating Stations &amp; Sellers and Distribution Licensees &amp; Buyers share the System Operation Charges each at the rate of</t>
  </si>
  <si>
    <t xml:space="preserve">As per the CERCs Notification for RLDC Fees and Charges, Inter-State Transmission Licensees share the System Operation Charges at the rate of </t>
  </si>
  <si>
    <t xml:space="preserve">A Bulk consumer avails supply at </t>
  </si>
  <si>
    <t>Control area A having 1500 MW generation and 2000 MW load is connected to the neighboring control Area B having 3500 MW generation and 3000 MW load. What would be the flow on the tie line?</t>
  </si>
  <si>
    <t>Control area A having 1500 MW generation and 2000 MW load is connected to the neighboring control Area B having 3500 MW generation and 3000 MW load. What would happen to the frequency in Area A and Area B if the tie line trips? Assume nominal frequency as 50 Hz.</t>
  </si>
  <si>
    <t>Two machines, A &amp; B of equal capacity have speed droop settings of 3% and 6% respectively. How will they share an increase in load.</t>
  </si>
  <si>
    <t>Machine B picks up large portion of load</t>
  </si>
  <si>
    <t>Machine A picks up large portion of load</t>
  </si>
  <si>
    <t>If a generators excitation (field current) is reduced, VAR flow out of the generator-------------</t>
  </si>
  <si>
    <t xml:space="preserve">A generating unit running at 50 Hz and its rated  capacity of 300 MW  has 3 % speed droop. What will be the value of frequency if the units output requirement is reduced to 200 MW. </t>
  </si>
  <si>
    <t>A 500 MW generating unit running at 50 Hz and 300 MW load has 5 % speed droop. What will be the units output if the frequency drops to 49.5 Hz</t>
  </si>
  <si>
    <t>As per the provisions of the Sharing of Inter-State Charges Regulations, Target Region means the region to which a generator proposes to sell power after obtaining ------------------access from CTU</t>
  </si>
  <si>
    <t>Who is responsible for making Procedure for Sharing of ISTS Transmission charges &amp; Loss for approval of Commission?</t>
  </si>
  <si>
    <t>In 2017, a generator in WR has availed 100 MW LTA to NR as target region. From 1st Jan 2019, the generator was granted MTOA for 50 MW to Punjab. The generators liability to pay POC charge for this LTA shall be adjusted for ____MW in the bill raised in___.</t>
  </si>
  <si>
    <t>A DIC in WR is having 100 MW LTA to a target region NR. It avails STOA to ER for 120 MW in January 2019. It pays Rs 14.4 lakh towards transmission charge for STOA and Rs 10 lakh as part payment of POC charge towards target LTA in Jan2019. The max. offset in POC charge that the DIC will get in Feb19 is____.</t>
  </si>
  <si>
    <t xml:space="preserve">Stranded transmission capacity means the transmission capacity in the inter state transmission system which is likely to remain unutilized due to </t>
  </si>
  <si>
    <t>Who authorises an entity as Solar Power park developer, in respect of Long term Access?</t>
  </si>
  <si>
    <t xml:space="preserve"> Absolute Error shall mean the absolute value of the error in the actual generation of  wind  or  solar generators which are regional entities with reference to  the  scheduled generation  and the  Available Capacity 
(AvC)</t>
  </si>
  <si>
    <t xml:space="preserve"> Available  Capacity (AvC) for  wind  or  solar generators which are regional entities  is the cumulative capacity rating of the wind turbines  or solar inverters that are capable of generating power in a given time-block</t>
  </si>
  <si>
    <t>Charges for the Deviation for the generating stations whos tariff is determind by  Commission who use coal or lignite or gas supplied under Administered Price Mechanism  as fuel, the Cap rate w.r.t. deviation charges is :</t>
  </si>
  <si>
    <t>If t is the applicable tax rate, rate of pre-tax return on equity is _____</t>
  </si>
  <si>
    <t xml:space="preserve"> Milli seconds accurate time of status changes for devices monitored is provided by which application?</t>
  </si>
  <si>
    <t>In spinning reserve definition devices include</t>
  </si>
  <si>
    <t>PowerSystems_VLPGO</t>
  </si>
  <si>
    <t>Reduce to
 ¼ times</t>
  </si>
  <si>
    <t>A</t>
  </si>
  <si>
    <t>Clean development Mechanism (CDM) encourages the use of</t>
  </si>
  <si>
    <t>D</t>
  </si>
  <si>
    <t>B</t>
  </si>
  <si>
    <t>None of these options</t>
  </si>
  <si>
    <t>C</t>
  </si>
  <si>
    <t>None of  
these above</t>
  </si>
  <si>
    <t xml:space="preserve">     All of these options</t>
  </si>
  <si>
    <t>Both REC and PFC</t>
  </si>
  <si>
    <t>MoP and MNRE</t>
  </si>
  <si>
    <t xml:space="preserve">To which of the following does the Planning Code apply? </t>
  </si>
  <si>
    <t>Who would formulate perspective transmission plan for Inter-State transmission system as well as intra-State transmission system</t>
  </si>
  <si>
    <t xml:space="preserve">MoP </t>
  </si>
  <si>
    <t>Which of the following are instruments for promoting Renewable Energy?</t>
  </si>
  <si>
    <t>Generation Based Incentive (GBI)</t>
  </si>
  <si>
    <t>Renewable Energy Certificates(REC)</t>
  </si>
  <si>
    <t>Commercial</t>
  </si>
  <si>
    <t>Monopolistic</t>
  </si>
  <si>
    <t>Social Service</t>
  </si>
  <si>
    <t>National Electicity Plan</t>
  </si>
  <si>
    <t>Integrated Energy Policy</t>
  </si>
  <si>
    <t>How is the Southern Region connected to the NEW Grid ?</t>
  </si>
  <si>
    <t>Not connected</t>
  </si>
  <si>
    <t>Radially</t>
  </si>
  <si>
    <t>How is the structure of Load Despatch Centers in India described?</t>
  </si>
  <si>
    <t>Unrelated</t>
  </si>
  <si>
    <t>Networked</t>
  </si>
  <si>
    <t xml:space="preserve">Who is responsible for Supervision and Control over the inter-regional links? </t>
  </si>
  <si>
    <t>Who is responsible for Coordination of trans National exchange of Power?</t>
  </si>
  <si>
    <t xml:space="preserve">Which of the following is assigned the function of Providing Operational Feedback to facilitate planning to the CTU &amp; the Authority? </t>
  </si>
  <si>
    <t>Who is the apex body to ensure integrated operation of the power system in the concerned Region?</t>
  </si>
  <si>
    <t xml:space="preserve">Who is the apex body to ensure integrated operation of the power system in the concerned State? </t>
  </si>
  <si>
    <t>Who has been assigned the function of Keeping accounts of the quantity of electricity transmitted through the Regional Grid?</t>
  </si>
  <si>
    <t>Who has been assigned the function of Keeping accounts of the quantity of electricity transmitted through the State Grid?</t>
  </si>
  <si>
    <t>For which of the following is, Providing non-discriminatory open access to its transmission system mandated under the Electricity Act 2003?</t>
  </si>
  <si>
    <t xml:space="preserve">The National Electricity Plan in accordance with the National Electricity Policy is prepared and notified once in 5 years by ______ </t>
  </si>
  <si>
    <t>Which of the following agencies is responsible for formulation of long-term, medium-term, short-term and perspective plans?</t>
  </si>
  <si>
    <t>To specify the principles, procedures and criteria which shall be used in the planning and development of the ISTS and inter-regional links is an objective of the _______</t>
  </si>
  <si>
    <t>Which of the following agencies prepares the perspective transmission plan?</t>
  </si>
  <si>
    <t>Which of the following have to be considered during the transmission planning exercise?</t>
  </si>
  <si>
    <t>STUs plan their systems to further evacuate power from the ISTS based on plans prepared by ___</t>
  </si>
  <si>
    <t>Which of the following data is covered under Standard Planning data (as mandated under the Planning Code)?</t>
  </si>
  <si>
    <t>Which agency prepares the Regional Outage Plan in coordination with NLDC?</t>
  </si>
  <si>
    <t>Interconnection to Grid facilitates _____</t>
  </si>
  <si>
    <t>Reliability of supply and reduction in reserve capacity requirement</t>
  </si>
  <si>
    <t>prevent outages</t>
  </si>
  <si>
    <t>Which is the statutory body responsible for the coordinated development of the Indian power sector?</t>
  </si>
  <si>
    <t>Which Indian Electrical region is having power evacuation problem through the chicken neck area?</t>
  </si>
  <si>
    <t>Western</t>
  </si>
  <si>
    <t>Which of the following countries is synchronously connected to India?</t>
  </si>
  <si>
    <t>Which of the following agencies specifies the Grid Standards?</t>
  </si>
  <si>
    <t>Which of the following agencies specifies the Technical standards for construction of electrical plants, electric lines and connectivity to the grid?</t>
  </si>
  <si>
    <t>What is the need of developing Transmission High ways of high capacity ?</t>
  </si>
  <si>
    <t>To transmit power to power deficit regions from power-rich regions</t>
  </si>
  <si>
    <t>The capacity of small hydro power plants which comes under category of Renewable Energy is ___</t>
  </si>
  <si>
    <t>Which kind of the power generation comes under the category of Thermal generation ?
1. Coal
2.  Gas
3. Diesel
4. Nuclear
5. Lignite</t>
  </si>
  <si>
    <t>Transmission and Distribution</t>
  </si>
  <si>
    <t>All of these acts</t>
  </si>
  <si>
    <t>Which entity is designated as the CTU?</t>
  </si>
  <si>
    <t>Whole of India except J&amp;K</t>
  </si>
  <si>
    <t>Whole of India except Southern Region</t>
  </si>
  <si>
    <t>Whole of India except North-Eastern Region</t>
  </si>
  <si>
    <t xml:space="preserve">CERC was established under the provisions of ___ </t>
  </si>
  <si>
    <t>On which of the following fields does the Study Committee C2 of the International council on Large Electric Systems (CIGRE)  deal with?</t>
  </si>
  <si>
    <t>On which of the following fields does the Study Committee C5, of the International Council on Large Electric Systems (CIGRE)  deal with?</t>
  </si>
  <si>
    <t xml:space="preserve">Which of the following schemes recently announced by the NMEEE aims at enhancing energy efficiency in the 144 thermal power plants notified by the central government? </t>
  </si>
  <si>
    <t>Power Plant Automation</t>
  </si>
  <si>
    <t>Perform Achieve and Trade</t>
  </si>
  <si>
    <t>Plant Monitoring and Diagnostics</t>
  </si>
  <si>
    <t>Distribution Automation</t>
  </si>
  <si>
    <t>Which parameter of the thermal stations shall be monitored, under the PAT (Perform, Achieve and Trade) scheme, announced by the NMEEE?</t>
  </si>
  <si>
    <t>Carbon emissions</t>
  </si>
  <si>
    <t>auxilliary consumption</t>
  </si>
  <si>
    <t>net heat rate</t>
  </si>
  <si>
    <t>Gross heat rate</t>
  </si>
  <si>
    <t>Which of the following activities could result in reduction of ATC losses?</t>
  </si>
  <si>
    <t>installation of LT ariel bunched conductors</t>
  </si>
  <si>
    <t>augmentation and bifurcation of 11 kV distribution lines</t>
  </si>
  <si>
    <t>upgradation of revenue management system</t>
  </si>
  <si>
    <t>The countrys first +/- 800 kV HVDC line is between</t>
  </si>
  <si>
    <t>Biswanath Chariyali and Agra</t>
  </si>
  <si>
    <t>Biswanath Chariyali and Bina</t>
  </si>
  <si>
    <t>Champa and Kurukshetra</t>
  </si>
  <si>
    <t>Talcher and Kolar</t>
  </si>
  <si>
    <t>Where is the 1200 kV UHVAC test station commissioned?</t>
  </si>
  <si>
    <t>Agra</t>
  </si>
  <si>
    <t>Bina</t>
  </si>
  <si>
    <t>Bhopal</t>
  </si>
  <si>
    <t>Chandrapur</t>
  </si>
  <si>
    <t>Which of the following statements about the Shunglu Committee Report is/are true?</t>
  </si>
  <si>
    <t>The report focuses on both qualitative and quantitative aspects of discom operations</t>
  </si>
  <si>
    <t>It suggests setting of special purpose vehicles to take over discom loans</t>
  </si>
  <si>
    <t>It suggests establishment of distribution franchisees in more than 250 towns</t>
  </si>
  <si>
    <t>Which industrial consumers  have been notified by the MoP to be deemed open access consumers?</t>
  </si>
  <si>
    <t>1 MW and above</t>
  </si>
  <si>
    <t>5 MW and above</t>
  </si>
  <si>
    <t>10 MW and above</t>
  </si>
  <si>
    <t>15 MW and above</t>
  </si>
  <si>
    <t>Which of the following have been some key developments in the wind segment, in the recent past and effective from 1st April, 2012?</t>
  </si>
  <si>
    <t>Downward revision in the floor and forebearance prices of the RECs</t>
  </si>
  <si>
    <t>downward revision of the tariffs</t>
  </si>
  <si>
    <t>withdrawal of tax  benefits in the form of accelerated
depreciation</t>
  </si>
  <si>
    <t>What could be the possible  reason(s) for the decreasing  trend in trading power prices?</t>
  </si>
  <si>
    <t>Poor financial 
health of discoms</t>
  </si>
  <si>
    <t>plants operating 
at lower than achievable plant load factors</t>
  </si>
  <si>
    <t>developers tying up power via the long term route</t>
  </si>
  <si>
    <t xml:space="preserve">The super critical power 
plants have efficiencies of </t>
  </si>
  <si>
    <t>around 30%</t>
  </si>
  <si>
    <t xml:space="preserve">around 35% </t>
  </si>
  <si>
    <t>around 41%</t>
  </si>
  <si>
    <t>around 50%</t>
  </si>
  <si>
    <t>EC_Act</t>
  </si>
  <si>
    <t>Energy consumption per unit of GDP is called as:</t>
  </si>
  <si>
    <t>Energy Ratio</t>
  </si>
  <si>
    <t>Energy Intensity</t>
  </si>
  <si>
    <t>Per Capita Consumption</t>
  </si>
  <si>
    <t xml:space="preserve">None of these options </t>
  </si>
  <si>
    <t>As per EC act, the definition of energy audit does not consider</t>
  </si>
  <si>
    <t xml:space="preserve">Monitoring </t>
  </si>
  <si>
    <t>Verification</t>
  </si>
  <si>
    <t>Analysis</t>
  </si>
  <si>
    <t xml:space="preserve">Duration of Audit </t>
  </si>
  <si>
    <t>The legal framework for energy efficiency in India is given by</t>
  </si>
  <si>
    <t xml:space="preserve">Electricity Act 2003 </t>
  </si>
  <si>
    <t>Energy Conservation Act 2001</t>
  </si>
  <si>
    <t>Electricity (Supply) Act 1958</t>
  </si>
  <si>
    <t>Indian Electricity Act 1910</t>
  </si>
  <si>
    <t xml:space="preserve">The first amendment to the Energy Conservation Act was made in </t>
  </si>
  <si>
    <t>The nodal agency at the centre for implementing the EC act is</t>
  </si>
  <si>
    <t>The minimum connected load for a building as defined in the amended EC act is</t>
  </si>
  <si>
    <t>100 kW</t>
  </si>
  <si>
    <t>100kVA</t>
  </si>
  <si>
    <t>500 kW</t>
  </si>
  <si>
    <t>500 kVA</t>
  </si>
  <si>
    <t>Star rating is a part of ______ programme of BEE</t>
  </si>
  <si>
    <t>DSM</t>
  </si>
  <si>
    <t>BLY</t>
  </si>
  <si>
    <t>S&amp;L</t>
  </si>
  <si>
    <t xml:space="preserve"> For the purpose calculating MTOE for a designated consumer the calorific value of oil is taken as       </t>
  </si>
  <si>
    <t xml:space="preserve">10,500 kCal/kg </t>
  </si>
  <si>
    <t xml:space="preserve">10,000 kCal/kg  </t>
  </si>
  <si>
    <t>10,400 kCal/kg</t>
  </si>
  <si>
    <t>9,800 kCal/kg</t>
  </si>
  <si>
    <t>DSM is of benefit to</t>
  </si>
  <si>
    <t>Governemnt</t>
  </si>
  <si>
    <t>User</t>
  </si>
  <si>
    <t>The major portion of subsidy under Bachat Lamp Yojana (BLY) is met by revenues from</t>
  </si>
  <si>
    <t xml:space="preserve">Electricity Boards </t>
  </si>
  <si>
    <t>CDM</t>
  </si>
  <si>
    <t xml:space="preserve">Central Budget </t>
  </si>
  <si>
    <t>The norms for energy consumption in ECBC is defined as energy consumption per____</t>
  </si>
  <si>
    <t>Day</t>
  </si>
  <si>
    <t>Hour</t>
  </si>
  <si>
    <t>Square Foot</t>
  </si>
  <si>
    <t xml:space="preserve">Square Meter </t>
  </si>
  <si>
    <t xml:space="preserve">The major source of electrical power generation in India is </t>
  </si>
  <si>
    <t xml:space="preserve">Thermal </t>
  </si>
  <si>
    <t xml:space="preserve">Hydel </t>
  </si>
  <si>
    <t xml:space="preserve">Availability based tariff is applicable to </t>
  </si>
  <si>
    <t>Oil</t>
  </si>
  <si>
    <t>Coal</t>
  </si>
  <si>
    <t>Natural Gas</t>
  </si>
  <si>
    <t xml:space="preserve">Electricity </t>
  </si>
  <si>
    <t xml:space="preserve">Energy intensity is the ratio of </t>
  </si>
  <si>
    <t xml:space="preserve">fuel consumption / GDP  </t>
  </si>
  <si>
    <t xml:space="preserve">GDP/fuel consumption </t>
  </si>
  <si>
    <t xml:space="preserve">GDP/energy consumption   </t>
  </si>
  <si>
    <t>energy consumption/GDP</t>
  </si>
  <si>
    <t xml:space="preserve">Designated consumers as specified in the schedule of EC Act means </t>
  </si>
  <si>
    <t xml:space="preserve">Industrial Clusters </t>
  </si>
  <si>
    <t xml:space="preserve">any consumer consuming fuel &amp; electricity  </t>
  </si>
  <si>
    <t>Energy Intensive Industries &amp; other Establishments</t>
  </si>
  <si>
    <t>Electricity consumers</t>
  </si>
  <si>
    <t xml:space="preserve">For Successful implementation of  National Mission for Enhanced Energy Efficiency, which of the following initiatives are taken? </t>
  </si>
  <si>
    <t>Perform , Achieve &amp; Trade, Market Transformation for Energy Efficiency</t>
  </si>
  <si>
    <t>Energy Efficiency Financing Platform</t>
  </si>
  <si>
    <t xml:space="preserve">Framework For Energy Efficient Economic Development </t>
  </si>
  <si>
    <t xml:space="preserve">Purpose of Demand Side Management (DSM) in Agriculture is  </t>
  </si>
  <si>
    <t xml:space="preserve">Reducing the overall power consumption </t>
  </si>
  <si>
    <t xml:space="preserve">Improving efficiencies of ground water extraction </t>
  </si>
  <si>
    <t>Reducing the subsidy burden of the states without sacrificing the service obligation to the sector</t>
  </si>
  <si>
    <t>Under which extraordinary circumstances is the appropriate government empowered to direct  a genarating company to operate and maintain any generating station in accordance to their directions</t>
  </si>
  <si>
    <t>a natural disaster/ calamity</t>
  </si>
  <si>
    <t>threat to security of the state</t>
  </si>
  <si>
    <t>any circumstance arising in public interst</t>
  </si>
  <si>
    <t>all of these options</t>
  </si>
  <si>
    <t>The National Policy for stand alone systems for rural areas shall be notified by</t>
  </si>
  <si>
    <t xml:space="preserve">Central Government in consultation with the state governments </t>
  </si>
  <si>
    <t xml:space="preserve">The EC Act2001 is applicabe to </t>
  </si>
  <si>
    <t>Whole India Except North Eastern States</t>
  </si>
  <si>
    <t>Whole India Except Jammu &amp; Kashmir</t>
  </si>
  <si>
    <t>Whole India Except Union Teritories</t>
  </si>
  <si>
    <t xml:space="preserve">The purpose  of State Energy Conservation Fund is </t>
  </si>
  <si>
    <t>to disburse the loans to organizations within the state</t>
  </si>
  <si>
    <t>to meet the expenses incurred for implementing the provisions of EC Act2001</t>
  </si>
  <si>
    <t>to promote efficent use of energy within the state</t>
  </si>
  <si>
    <t>to meet the expenses incurred and promote efficient use of energy within the state for effective implementation of EC Act2001</t>
  </si>
  <si>
    <t>Chairperson of the Appellate
Tribunal under EC Act2001 are</t>
  </si>
  <si>
    <t>A retired judge of
the Supreme Court or the Chief Justice of a High Court</t>
  </si>
  <si>
    <t>A judge of
the Supreme Court or the Chief Justice of a High Court</t>
  </si>
  <si>
    <t>Chairman of the Central Electricity Authority</t>
  </si>
  <si>
    <t>Director-General of the
Central Power Research Institute</t>
  </si>
  <si>
    <t>As per Energy Conservation Act, 2001 Cycle means</t>
  </si>
  <si>
    <t>the period of three years available to a designated consumer to
comply with the energy consumption norms and standards</t>
  </si>
  <si>
    <t>the period of five years available to a designated consumer to
comply with the energy consumption norms and standards</t>
  </si>
  <si>
    <t>the period of two years available to a designated consumer to
comply with the energy consumption norms and standards</t>
  </si>
  <si>
    <t>the period of ten years available to a designated consumer to
comply with the energy consumption norms and standards</t>
  </si>
  <si>
    <t>Specific Energy Consumption is the ratio of</t>
  </si>
  <si>
    <t>net energy output from the
designated consumers boundary to the total quantity of energy  input to the
designated consumers boundary,</t>
  </si>
  <si>
    <t>net energy input into the designated consumers boundary to the total quantity of output exported from the designated consumers boundary</t>
  </si>
  <si>
    <t>energy output to energy input</t>
  </si>
  <si>
    <t>eneergy output to the fuel consumption</t>
  </si>
  <si>
    <t>Form C in EC Act 2001 is</t>
  </si>
  <si>
    <t xml:space="preserve">Certificate of Check -  Verification </t>
  </si>
  <si>
    <t>Performance Assessment Report</t>
  </si>
  <si>
    <t>Physical verification Report</t>
  </si>
  <si>
    <t>Certification of verification</t>
  </si>
  <si>
    <t>PAT means in EC Act 2001 is</t>
  </si>
  <si>
    <t>Profit After Trade</t>
  </si>
  <si>
    <t>Perfom After Trade</t>
  </si>
  <si>
    <t>Perfrom Achieve Trade</t>
  </si>
  <si>
    <t>Profit Achieve Trade</t>
  </si>
  <si>
    <t>Chapter VII in EC Act deals</t>
  </si>
  <si>
    <t xml:space="preserve">Power of State  Government to Facilitate and Enforce  Efficient  Use of Energy and its Conservation
</t>
  </si>
  <si>
    <t>Finance , Accounts and Audit of  Bureau</t>
  </si>
  <si>
    <t xml:space="preserve">Power of Central  Government to Facilitate and Enforce  Efficient  Use of Energy and its Conservation
</t>
  </si>
  <si>
    <t>Penalties and  Adjudication</t>
  </si>
  <si>
    <t>Industry which is not included in Designated consumer list  as per EC Act is</t>
  </si>
  <si>
    <t>Hydel Power stations</t>
  </si>
  <si>
    <t>Thermal Power stations</t>
  </si>
  <si>
    <t>Wind Power stations</t>
  </si>
  <si>
    <t>Nuclear power stations</t>
  </si>
  <si>
    <t>The minimum connected load for a building to be covered by  the ammended EC Act is</t>
  </si>
  <si>
    <t>100kW</t>
  </si>
  <si>
    <t>500kW</t>
  </si>
  <si>
    <t>500kVA</t>
  </si>
  <si>
    <t>The norms for energy consumption in ECBC is defined as energy consuption per</t>
  </si>
  <si>
    <t>square meter</t>
  </si>
  <si>
    <t>hour</t>
  </si>
  <si>
    <t>day</t>
  </si>
  <si>
    <t>square foot</t>
  </si>
  <si>
    <t>The number of ammendments made to the EC Act till date is</t>
  </si>
  <si>
    <t>The elegibility to get energy saving ceertificates</t>
  </si>
  <si>
    <t xml:space="preserve">A firm registered under the Indian
Partnership Act, 1932 </t>
  </si>
  <si>
    <t>A firm registered under the Indian
Partnership Act, 1942</t>
  </si>
  <si>
    <t>A firm registered under the Indian
Partnership Act, 1952</t>
  </si>
  <si>
    <t>A firm registered under the Indian
EC Act, 2001</t>
  </si>
  <si>
    <t>Star rating is a part of  _____________ program of BEE</t>
  </si>
  <si>
    <t>PAT</t>
  </si>
  <si>
    <t>Who will specify the qualifications for the accredited energy auditors;</t>
  </si>
  <si>
    <t>The powers to alter the list of Energy Intensive Industries specified in the Schedule is with</t>
  </si>
  <si>
    <t>Functional autonomy for LDCs can be ensured through ___</t>
  </si>
  <si>
    <t>Traditionally, prior to the 1998 ammendment of the Electricity Supply Act 1948, the funding requirements of LDCs at the Regional Level were met through ____</t>
  </si>
  <si>
    <t>In order to ensure functional autonomy of LDCs, it is very important to have ____</t>
  </si>
  <si>
    <t>direct control of Ministry</t>
  </si>
  <si>
    <t>Which is the Committee that was set up by Ministry of Power, Government of India to look into various aspects associated with ring fencing of LDCs and funcitonal autonomy?</t>
  </si>
  <si>
    <t>As per Section 28(4) for the Electricity Act 2003, from which of the following may RLDCs levy and collect fees and charges from? 
1. Generating Companies
2. Inter-State Transmission Licensees
3. Trading Licensees</t>
  </si>
  <si>
    <t>As per Section 32(3) for the Electricity Act 2003, from which of the following may SLDCs levy and collect fees and charges from?
1. Generating Companies
2. Intra-State Transmission Licensees
3. Trading Licensees</t>
  </si>
  <si>
    <t>Which of the following agencies specifies the fees and charges that can be levied and collected by the RLDCs?</t>
  </si>
  <si>
    <t>Which of the following agencies specifies the fees and charges that can be levied and collected by the SLDCs?</t>
  </si>
  <si>
    <t xml:space="preserve">ULDC Tariff DOES NOT cover charges for   
1. SCADA/EMS Systems
2. Associated Communication Systems
3. Auxillary Systems such as UPS, DG Sets. Etc.
4. Manpower/HR Expenses  </t>
  </si>
  <si>
    <t>Distinct from ULDC, which of the following is a service provided by an LDC?
1. SCADA/EMS Systems
2. Associated Communication Systems
3. Operational Planning and System Studies related to Transfer Capability Assesment
4. Auxillary Systems such as UPS, DG Sets. Etc.
5. Real time operation and responding to emergencies in the grid.</t>
  </si>
  <si>
    <t>Distinct from ULDC, which of the following is a service provided by an LDC?
1. SCADA/EMS Systems
2. Associated Communication Systems
3.  Auxillary Systems such as UPS, DG Sets. Etc.
4. Post Despatch Analysis of Operation and tripping
5. Real time operation and responding to emergencies in the grid.</t>
  </si>
  <si>
    <t>Distinct from ULDC, which of the following is a service provided by an LDC?
1. SCADA/EMS Systems
2. Associated Communication Systems 
3. Metering &amp; Settlement
4. Auxillary Systems such as UPS, DG Sets. Etc.
5. Real time operation and responding to emergencies in the grid.</t>
  </si>
  <si>
    <t>Distinct from ULDC, which of the following is a service provided by an LDC?
1. Real Time Grid Operation
2. Responding to emergencies 
3. Metering &amp; Settlement
4. Post Despatch Analysis of operation and tripping
5. Feedback to Planners</t>
  </si>
  <si>
    <t xml:space="preserve">Revenue streams necessary to make LDCs financially independent include___ </t>
  </si>
  <si>
    <t xml:space="preserve">A significant portion of LDC Costs is contributed by 
1. SCADA/EMS costs including IT infrastructure
2. Manpower Costs
3. O &amp; M Costs   </t>
  </si>
  <si>
    <t>Rolling plans for CAPEX are to be submitted by LDC to the Appropriate Regulatory Commission every …. Years</t>
  </si>
  <si>
    <t>Which of the following agencies regulate the Fees and Charges for the LDCs?</t>
  </si>
  <si>
    <t>Appropriate Government</t>
  </si>
  <si>
    <t>Appropriate Regulatory Commission</t>
  </si>
  <si>
    <t>Appropriate Ministry/Department  of Power / Energy</t>
  </si>
  <si>
    <t>Forum of Load Despatchers (FOLD) is a body constituted by ____</t>
  </si>
  <si>
    <t>Membership of Forum of Load Despatchers (FOLD) is derived from personnel working in the ____</t>
  </si>
  <si>
    <t>SLDC / RLDC / NLDC</t>
  </si>
  <si>
    <t xml:space="preserve">Secretariat functions to the Forum of Load Despatchers (FOLD) are provided by ____ </t>
  </si>
  <si>
    <t>What is the rationale behind unbundling of generation, transmission and distribution?</t>
  </si>
  <si>
    <t>A vertically integrated utility represents a ____</t>
  </si>
  <si>
    <t>Highly competitive scenario</t>
  </si>
  <si>
    <t>Hetiropoly</t>
  </si>
  <si>
    <t>Which of the following is a major focus of conflict of interest ?</t>
  </si>
  <si>
    <t>In the time frame of short term operations, the system operator exercises influence over ____</t>
  </si>
  <si>
    <t>Both Generation and Transmission</t>
  </si>
  <si>
    <t>Neither Generation nor Transmission</t>
  </si>
  <si>
    <t>In a competitive environment, the system operator needs to be independent of ____</t>
  </si>
  <si>
    <t>What is the central objective of restructuring and ring fencing of LDCs?</t>
  </si>
  <si>
    <t xml:space="preserve">Integrated planning and development of the transmission system is a potential source of conflict of interest for _____ </t>
  </si>
  <si>
    <t>Tradors</t>
  </si>
  <si>
    <t>Which of the following are areas requiring functional autonomy?
1. Non discriminatory open access
2. Outage Planning
3. Switching Instructions 
4. Rescheduling of generation</t>
  </si>
  <si>
    <t>Which of the following are areas requiring functional autonomy?
1. Non discriminatory open access
2. Outage Planning
3. Availability Certification
4. Rescheduling of generation</t>
  </si>
  <si>
    <t>Which of the following are areas requiring functional autonomy?
1. Incident analysis and investigation
2. Outage Planning
3. Availability Certification
4. Rescheduling of generation</t>
  </si>
  <si>
    <t>A key aspect to neutral system operation is ______</t>
  </si>
  <si>
    <t>Which is the Committee that was set up by Ministry of Power, Government of India to look into various aspects associated with CAPEX and issues related to emoluments of personnel working in LDCs?</t>
  </si>
  <si>
    <t xml:space="preserve">Which is the  Committee that was setup by Ministry of Power, Government of India to look into various aspects associated with manpower selection, recruitment procedure and tenure of personnel working in LDCs? </t>
  </si>
  <si>
    <t xml:space="preserve">Which is the  Committee that was setup by Ministry of Power, Government of India to look into various aspects associated with training and certification of personnel working in LDCs? </t>
  </si>
  <si>
    <t>POSOCO is a fully owned subsidiary of ____</t>
  </si>
  <si>
    <t>None of ABove</t>
  </si>
  <si>
    <t>Under whuch of the following agencies do the State Electricity Regulatory Commissions Work?</t>
  </si>
  <si>
    <t>State Load Despatch Centers are mandated to work __</t>
  </si>
  <si>
    <t>Under Central Electricity Regulatory Commission</t>
  </si>
  <si>
    <t>Under State Electricity Regulatory Commission</t>
  </si>
  <si>
    <t xml:space="preserve">Regional Load Despatch Centers are mandated to work ___ </t>
  </si>
  <si>
    <t xml:space="preserve">National Load Despatch Center is mandated to work ___ </t>
  </si>
  <si>
    <t>Load Despatch Centers were designated as apex bodies for integrated system operation by ___1).Indian Electricity Act, 1910  2).1998 Amendment to the Electricity (Supply) Act, 1948  3)Electricity Regulatory Commission Act 1998  4) None of the above</t>
  </si>
  <si>
    <t>The concept of development of the power systems on a Regional basis was formulated in the year ___</t>
  </si>
  <si>
    <t>As per the GB Pradhan Committee the Standard Operating Procedures (SOPs) are to be laid down by __</t>
  </si>
  <si>
    <t>Who is responsible for laying down the Code of Ethics for the LDC Personnel?</t>
  </si>
  <si>
    <t>Replacement of obsolete control center equipment such as SCADA / EMS, IT Infrastructure requires ____</t>
  </si>
  <si>
    <t>R&amp;M Expenses</t>
  </si>
  <si>
    <t xml:space="preserve">Capital Expenditure plans cover ____ </t>
  </si>
  <si>
    <t>The following is/are the component(s) of charges for servicing of CAPEX:</t>
  </si>
  <si>
    <t>Charges for Human Resources include  
1. Salary, Perquisites, Incentives   
2. Training &amp; Certification Charges   
3.  Depreciation    
4. Interest on Loan</t>
  </si>
  <si>
    <t>Interest on Working Capital is covered under ___</t>
  </si>
  <si>
    <t>Interest on capital</t>
  </si>
  <si>
    <t xml:space="preserve">Services rendered by LDCs comprise of ___ </t>
  </si>
  <si>
    <t>Both system operation and market operation</t>
  </si>
  <si>
    <t>What are the expenses identified under a separate head for the first time in the RLDC Fees and Charges order by CERC?</t>
  </si>
  <si>
    <t>CERCs Notification for RLDC Fees and Charges allocates the annual charges for the System Operation function and Market Operation Function in the ratio:</t>
  </si>
  <si>
    <t>As per the CERCs Notification for RLDC Fees and Charges (Generating Stations + Sellers) and (Distribution Licensees + Buyers) share the System Operation Charges each at the rate of:</t>
  </si>
  <si>
    <t xml:space="preserve">As per the CERCs Notification for RLDC Fees and Charges, Inter-State Transmission Licensees share the System Operation Charges at the rate of: </t>
  </si>
  <si>
    <t xml:space="preserve">As per the CERCs Notification for RLDC Fees and Charges, Market Operation Charges are recovered from: </t>
  </si>
  <si>
    <t>Under the Electricity Act 2003, SLDCs are barred from:</t>
  </si>
  <si>
    <t>Under the Electricity Act 2003, RLDCs are barred from:</t>
  </si>
  <si>
    <t>HR Capacity building</t>
  </si>
  <si>
    <t>Community Functions</t>
  </si>
  <si>
    <t>Which of the following is/are the roles played by the System Operator in Electric Supply Industry in India?</t>
  </si>
  <si>
    <t>All of these roles</t>
  </si>
  <si>
    <t xml:space="preserve">Switching Operations are performed by: </t>
  </si>
  <si>
    <t>Both ISO and TSO</t>
  </si>
  <si>
    <t>Neither ISO nor TSO</t>
  </si>
  <si>
    <t>Maintenance of Transmission Assets is carried out by:</t>
  </si>
  <si>
    <t>Who owns the Transmission assets ?</t>
  </si>
  <si>
    <t>Legal_Regulatory_Framework</t>
  </si>
  <si>
    <t>Under which of the following agencies do the State Electricity Regulatory Commissions work?</t>
  </si>
  <si>
    <t>They are  Independent 
entities</t>
  </si>
  <si>
    <t>Open Access refers to:</t>
  </si>
  <si>
    <t>Connection of equipment</t>
  </si>
  <si>
    <t xml:space="preserve">Implementation of the Act: </t>
  </si>
  <si>
    <t>Judgment of the appellate tribunal can be appealed against in:</t>
  </si>
  <si>
    <t>Consumer court</t>
  </si>
  <si>
    <t>Under offences and penalty clause, consumer is categorized as:</t>
  </si>
  <si>
    <t>Bulk / Retail consumer</t>
  </si>
  <si>
    <t xml:space="preserve"> Captive generation refers to generation of electricity ____</t>
  </si>
  <si>
    <t>Cross subsidy is that part of electricity cost realized from ___</t>
  </si>
  <si>
    <t>Grid Operator refers to:</t>
  </si>
  <si>
    <t>All LD Operators</t>
  </si>
  <si>
    <t>Appeal  for the order of the State Commission or the Central Commission can be preferred before which authority?</t>
  </si>
  <si>
    <t>Supreme 
Court</t>
  </si>
  <si>
    <t>What is the time limitation for filing  Appeal before the Appellate  Tribunal?</t>
  </si>
  <si>
    <t>Revision against the order of the appropriate commission can be filed within how many days of the date of order?</t>
  </si>
  <si>
    <t>Unscheduled Interchange</t>
  </si>
  <si>
    <t>Unintentional interchange</t>
  </si>
  <si>
    <t>Both Transmission and Distribution</t>
  </si>
  <si>
    <t>Which was the first State in the Country to establish its Regulatory Commission?</t>
  </si>
  <si>
    <t>The National Electricity Plan is notified</t>
  </si>
  <si>
    <t>once in two years</t>
  </si>
  <si>
    <t>once in five years</t>
  </si>
  <si>
    <t>as and when felt appropriate</t>
  </si>
  <si>
    <t>Non-compliance of directions issued by RLDCs/ SLDCs evokes a penalty of maximum</t>
  </si>
  <si>
    <t>Rs. 5 lakhs</t>
  </si>
  <si>
    <t>Rs. 10 lakhs</t>
  </si>
  <si>
    <t>Rs. 15 lakhs</t>
  </si>
  <si>
    <t>Rs. 20 lakhs</t>
  </si>
  <si>
    <t>The National Load Despatch Centre is located at New Delhi and its back up at</t>
  </si>
  <si>
    <t>Mumbai</t>
  </si>
  <si>
    <t>Bangalore</t>
  </si>
  <si>
    <t>Kolkatta</t>
  </si>
  <si>
    <t>there is no back up</t>
  </si>
  <si>
    <t>Why is Electricity Act 2003 called a consolidating Act?</t>
  </si>
  <si>
    <t>It is gap-filling</t>
  </si>
  <si>
    <t>It is inter-sectoral</t>
  </si>
  <si>
    <t>It replaces all 
previous Acts</t>
  </si>
  <si>
    <t>SEB-consolidation</t>
  </si>
  <si>
    <t>Which of the following is the main aim of the IE Act 2003 from its Preamble?</t>
  </si>
  <si>
    <t>Govt.-strengthening</t>
  </si>
  <si>
    <t>Competition</t>
  </si>
  <si>
    <t>SEB-centric</t>
  </si>
  <si>
    <t>job creation</t>
  </si>
  <si>
    <t>Which of the following new organisations has been created under the Act.</t>
  </si>
  <si>
    <t xml:space="preserve"> CERC</t>
  </si>
  <si>
    <t>How is unbundling to be effected on dismantling conventional SEB?</t>
  </si>
  <si>
    <t>4 parts</t>
  </si>
  <si>
    <t>5parts</t>
  </si>
  <si>
    <t>3 parts</t>
  </si>
  <si>
    <t>2 parts</t>
  </si>
  <si>
    <t>Who is entrusted with the framing of Electricity Policy?</t>
  </si>
  <si>
    <t>What is the role of CERC in the formulaton of electricity policy?</t>
  </si>
  <si>
    <t>Initiator</t>
  </si>
  <si>
    <t>modifier</t>
  </si>
  <si>
    <t>Appellate</t>
  </si>
  <si>
    <t>Advisor</t>
  </si>
  <si>
    <t>Can a State Government lay down a policy for power sector under the Act?</t>
  </si>
  <si>
    <t>Sometimes</t>
  </si>
  <si>
    <t>Always</t>
  </si>
  <si>
    <t>Never</t>
  </si>
  <si>
    <t>after consulting CERC</t>
  </si>
  <si>
    <t>In which list of the Constitution does electricity appear?</t>
  </si>
  <si>
    <t>In no list</t>
  </si>
  <si>
    <t>Union list</t>
  </si>
  <si>
    <t>Concurrent List</t>
  </si>
  <si>
    <t>State List</t>
  </si>
  <si>
    <t>What do you understand by the term,subordinate legislation?</t>
  </si>
  <si>
    <t>By State Legislatures</t>
  </si>
  <si>
    <t>By Parliament Committees</t>
  </si>
  <si>
    <t>Govt. Controls</t>
  </si>
  <si>
    <t>Rules and Regulations</t>
  </si>
  <si>
    <t>Can the CEA lay down Regulations?</t>
  </si>
  <si>
    <t>Who is the Appellate Authority against the orders of CERC/SERCs?</t>
  </si>
  <si>
    <t>Central Govt.</t>
  </si>
  <si>
    <t>Appelate Tribunal</t>
  </si>
  <si>
    <t>Who is to frame the Tariff policy?</t>
  </si>
  <si>
    <t>State Govt.</t>
  </si>
  <si>
    <t>The role of CERC in the formulation of  Tariff policy is that of a /an ______</t>
  </si>
  <si>
    <t>Whose guidelines are to be followed by the SERCs in fixing the tariff?</t>
  </si>
  <si>
    <t>State Govt.s</t>
  </si>
  <si>
    <t>Central Govt.s</t>
  </si>
  <si>
    <t>CERCs</t>
  </si>
  <si>
    <t>Advisory Committees</t>
  </si>
  <si>
    <t>Who is to lay down the guidelines for Competitive bidding for tariff purposes?</t>
  </si>
  <si>
    <t>Central Govt</t>
  </si>
  <si>
    <t>Which organisation publishes Electricity Supply Code?</t>
  </si>
  <si>
    <t>Which of the following is the appropriate reason for private sector participation under the Act?</t>
  </si>
  <si>
    <t>Replace Public Sector</t>
  </si>
  <si>
    <t>Replace the foreign Companies</t>
  </si>
  <si>
    <t>Complement public sector</t>
  </si>
  <si>
    <t>Efficiency</t>
  </si>
  <si>
    <t xml:space="preserve"> Can a captive generator supply surplus power to the grid?</t>
  </si>
  <si>
    <t>after consulting CTU/STU</t>
  </si>
  <si>
    <t>Which of the following lays down the Performance Standards in the Power Sector?</t>
  </si>
  <si>
    <t>Who is the authority  above the orders of the Appellate Tribunal?</t>
  </si>
  <si>
    <t>Competition Commission</t>
  </si>
  <si>
    <t>Who has powers to nominate a state arbitrator under the Act?</t>
  </si>
  <si>
    <t>Who appoints  Electricity Ombudsman in a State?</t>
  </si>
  <si>
    <t>49.9-50.05</t>
  </si>
  <si>
    <t>As per IEGC, the operating voltage range for 400 kV system is</t>
  </si>
  <si>
    <t xml:space="preserve">MAX        MIN
440kV          360kV   </t>
  </si>
  <si>
    <t xml:space="preserve">MAX        MIN
420kV         380kV   </t>
  </si>
  <si>
    <t xml:space="preserve">MAX        MIN
416kV          386kV   </t>
  </si>
  <si>
    <t>Grid code  5.4.2 (b) says “ the SLDC/ SEB/SEB/Distribution licencee  and bulk consumer shall ensure that requisite load shedding  is carried out in its control area  so that there is no overdrawl when frequency is ----------Hz or below.</t>
  </si>
  <si>
    <t>49.2 Hz</t>
  </si>
  <si>
    <t>49.8 Hz</t>
  </si>
  <si>
    <t>When system frequency is below 49.8 Hz but above 49.7 Hz the constituents can overdraw up to __________ % of schedule subject to grid conditions</t>
  </si>
  <si>
    <t xml:space="preserve">IEGC  is a set of rules and Guiding principles for planning and operation of  </t>
  </si>
  <si>
    <t>Inter-state Transmission System (ISTS) only</t>
  </si>
  <si>
    <t>Inter-state Generating Stations (ISGS) only</t>
  </si>
  <si>
    <t>Central Electricity Regulatory Commission(CERC) on report by any person or suo-motu</t>
  </si>
  <si>
    <r>
      <t xml:space="preserve"> </t>
    </r>
    <r>
      <rPr>
        <sz val="11"/>
        <color theme="1"/>
        <rFont val="Calibri"/>
        <family val="2"/>
        <scheme val="minor"/>
      </rPr>
      <t>Regional Load Despatch Centre (RLDC)</t>
    </r>
  </si>
  <si>
    <t>As per IEGC, provision of  which fund is made for facilitating renewable sources into the grid</t>
  </si>
  <si>
    <t>Renewable Regulatory Fund</t>
  </si>
  <si>
    <t xml:space="preserve"> Renewable Development Fund</t>
  </si>
  <si>
    <t>Power System Development Fund</t>
  </si>
  <si>
    <t>Renewable Generation Development Fund</t>
  </si>
  <si>
    <t xml:space="preserve"> 49.7 - 50.2 Hz.</t>
  </si>
  <si>
    <t xml:space="preserve">All thermal generating units of 200 MW and above </t>
  </si>
  <si>
    <t>As per IEGC, following type ( types) of trippings  of important elements specified by Regional grid shall be precisely intimated by the concerned SLDC/CTU/User to RLDC as soon as possible,</t>
  </si>
  <si>
    <t>Any trippling, whether manual or automatic</t>
  </si>
  <si>
    <t>As per IEGC, amended time to time, SLDC/ SEB/Distribution licensee/Bulk consumer  shall initiate action to restrict the drawal of its control area from the grid, within the net drawal schedule whenever the system frequency falls to</t>
  </si>
  <si>
    <t>49.6 Hz</t>
  </si>
  <si>
    <t xml:space="preserve">As per IEGC, amended time to time, the  SLDC/ SEB/Distribution licensee/Bulk consumer  shall ensure that requisite load shedding is carried out in its control area  so that </t>
  </si>
  <si>
    <t>There is less over drawal when  frequency  is 49.5 Hz. or below</t>
  </si>
  <si>
    <t xml:space="preserve">There is no overdrawl when  frequency  is 49.5 Hz. or below.  </t>
  </si>
  <si>
    <t>Overdrawal is reduced to 150 MW when  frequency  is 49.5 Hz. or below</t>
  </si>
  <si>
    <t xml:space="preserve">There is no overdrawl when  frequency  is 49.7 Hz. or below.  </t>
  </si>
  <si>
    <r>
      <t xml:space="preserve"> </t>
    </r>
    <r>
      <rPr>
        <sz val="11"/>
        <color theme="1"/>
        <rFont val="Calibri"/>
        <family val="2"/>
        <scheme val="minor"/>
      </rPr>
      <t xml:space="preserve">RPC Secretariat in consultation with NLDC and RLDC </t>
    </r>
  </si>
  <si>
    <r>
      <t xml:space="preserve"> </t>
    </r>
    <r>
      <rPr>
        <sz val="11"/>
        <color theme="1"/>
        <rFont val="Calibri"/>
        <family val="2"/>
        <scheme val="minor"/>
      </rPr>
      <t xml:space="preserve">CTU  in consultation with NLDC and RLDC </t>
    </r>
  </si>
  <si>
    <t>Mandatory for a particular category of wind generators</t>
  </si>
  <si>
    <r>
      <t xml:space="preserve"> </t>
    </r>
    <r>
      <rPr>
        <sz val="11"/>
        <color theme="1"/>
        <rFont val="Calibri"/>
        <family val="2"/>
        <scheme val="minor"/>
      </rPr>
      <t>To be decided by Wind Generator</t>
    </r>
  </si>
  <si>
    <r>
      <t xml:space="preserve"> </t>
    </r>
    <r>
      <rPr>
        <sz val="11"/>
        <color theme="1"/>
        <rFont val="Calibri"/>
        <family val="2"/>
        <scheme val="minor"/>
      </rPr>
      <t>voltage at the metering point is below 97%</t>
    </r>
  </si>
  <si>
    <r>
      <t xml:space="preserve"> </t>
    </r>
    <r>
      <rPr>
        <sz val="11"/>
        <color theme="1"/>
        <rFont val="Calibri"/>
        <family val="2"/>
        <scheme val="minor"/>
      </rPr>
      <t>In case of voltage below 97% or greater than 103% at the metering point.</t>
    </r>
  </si>
  <si>
    <r>
      <t xml:space="preserve">  </t>
    </r>
    <r>
      <rPr>
        <sz val="11"/>
        <color theme="1"/>
        <rFont val="Calibri"/>
        <family val="2"/>
        <scheme val="minor"/>
      </rPr>
      <t>Voltage at metering point is below 95 % or above 105 %</t>
    </r>
  </si>
  <si>
    <r>
      <t>First IEGC, which became effective from 1</t>
    </r>
    <r>
      <rPr>
        <vertAlign val="superscript"/>
        <sz val="10"/>
        <rFont val="Arial"/>
        <family val="2"/>
      </rPr>
      <t>st</t>
    </r>
    <r>
      <rPr>
        <sz val="11"/>
        <color theme="1"/>
        <rFont val="Calibri"/>
        <family val="2"/>
        <scheme val="minor"/>
      </rPr>
      <t xml:space="preserve"> Feb, 2000 was </t>
    </r>
  </si>
  <si>
    <r>
      <t xml:space="preserve"> </t>
    </r>
    <r>
      <rPr>
        <sz val="11"/>
        <color theme="1"/>
        <rFont val="Calibri"/>
        <family val="2"/>
        <scheme val="minor"/>
      </rPr>
      <t>A Regulation made by Central Electricity Authority (CEA)</t>
    </r>
  </si>
  <si>
    <r>
      <t xml:space="preserve"> </t>
    </r>
    <r>
      <rPr>
        <sz val="11"/>
        <color theme="1"/>
        <rFont val="Calibri"/>
        <family val="2"/>
        <scheme val="minor"/>
      </rPr>
      <t>National Load Despatch Centre (NLDC)</t>
    </r>
  </si>
  <si>
    <r>
      <t xml:space="preserve"> </t>
    </r>
    <r>
      <rPr>
        <sz val="11"/>
        <color theme="1"/>
        <rFont val="Calibri"/>
        <family val="2"/>
        <scheme val="minor"/>
      </rPr>
      <t>Central Electricity Authority (CEA)</t>
    </r>
  </si>
  <si>
    <r>
      <t xml:space="preserve"> </t>
    </r>
    <r>
      <rPr>
        <sz val="11"/>
        <color theme="1"/>
        <rFont val="Calibri"/>
        <family val="2"/>
        <scheme val="minor"/>
      </rPr>
      <t>to enhance the overall operational reliability and economy of the Inter-State electric power network only</t>
    </r>
  </si>
  <si>
    <r>
      <t xml:space="preserve"> </t>
    </r>
    <r>
      <rPr>
        <sz val="11"/>
        <color theme="1"/>
        <rFont val="Calibri"/>
        <family val="2"/>
        <scheme val="minor"/>
      </rPr>
      <t>to enhance the overall operational reliability of the entire electric power network spread over the geographical area of the interconnected system</t>
    </r>
  </si>
  <si>
    <r>
      <t xml:space="preserve"> </t>
    </r>
    <r>
      <rPr>
        <sz val="11"/>
        <color theme="1"/>
        <rFont val="Calibri"/>
        <family val="2"/>
        <scheme val="minor"/>
      </rPr>
      <t>to enhance the overall operational economy of the entire electric power network spread over the geographical area of the interconnected system</t>
    </r>
  </si>
  <si>
    <t>There should not be any reduction in generation in case of  improvement in grid frequency below 50.2 Hz.</t>
  </si>
  <si>
    <t>There should not be any increase in generation in case of  decrease  in grid frequency below 50 Hz.</t>
  </si>
  <si>
    <r>
      <t xml:space="preserve"> </t>
    </r>
    <r>
      <rPr>
        <sz val="11"/>
        <color theme="1"/>
        <rFont val="Calibri"/>
        <family val="2"/>
        <scheme val="minor"/>
      </rPr>
      <t>SLDC through respective State Transmission Utility</t>
    </r>
  </si>
  <si>
    <r>
      <t xml:space="preserve"> </t>
    </r>
    <r>
      <rPr>
        <sz val="11"/>
        <color theme="1"/>
        <rFont val="Calibri"/>
        <family val="2"/>
        <scheme val="minor"/>
      </rPr>
      <t>RPC through respective State Electricity Boards/Distribution Licensees</t>
    </r>
  </si>
  <si>
    <r>
      <t>Detailed plans and procedures for restoration after partial/total blackout of</t>
    </r>
    <r>
      <rPr>
        <sz val="10"/>
        <color indexed="17"/>
        <rFont val="Arial"/>
        <family val="2"/>
      </rPr>
      <t xml:space="preserve"> each User/STU/CTU system within a Region</t>
    </r>
    <r>
      <rPr>
        <sz val="11"/>
        <color theme="1"/>
        <rFont val="Calibri"/>
        <family val="2"/>
        <scheme val="minor"/>
      </rPr>
      <t xml:space="preserve">, are to be  finalized by the </t>
    </r>
  </si>
  <si>
    <t>RLDC in coordination with concerned User/STU/CTU .</t>
  </si>
  <si>
    <r>
      <t>As per IEGC,</t>
    </r>
    <r>
      <rPr>
        <u/>
        <sz val="10"/>
        <rFont val="Arial"/>
        <family val="2"/>
      </rPr>
      <t xml:space="preserve"> </t>
    </r>
    <r>
      <rPr>
        <sz val="11"/>
        <color theme="1"/>
        <rFont val="Calibri"/>
        <family val="2"/>
        <scheme val="minor"/>
      </rPr>
      <t xml:space="preserve">The Inter-State Generating Stations ( ISGS) </t>
    </r>
  </si>
  <si>
    <t>may deviate from the given schedules within the limits specified in the UI Regulations of CERC and  depending on the plant &amp; system conditions</t>
  </si>
  <si>
    <t>RLDC can revise the schedule on its own at any point of time</t>
  </si>
  <si>
    <t>As per IEGC, The wind generator would have to bear the UI charges if the actual generation is beyond</t>
  </si>
  <si>
    <t>+/- 50% of the schedule</t>
  </si>
  <si>
    <t>+/- 30% of the schedule</t>
  </si>
  <si>
    <t>+/- 20% of the schedule</t>
  </si>
  <si>
    <t>+/- 70% of the schedule</t>
  </si>
  <si>
    <t>As per IEGC, The Solar generator would have to bear the UI charges if the actual generation is beyond</t>
  </si>
  <si>
    <t>+/- 60% of the schedule</t>
  </si>
  <si>
    <t>Do not have to bear UI Charges</t>
  </si>
  <si>
    <t xml:space="preserve">As per IEGC,  net UI charges borne by the host State due to the solar /Wind generation, are </t>
  </si>
  <si>
    <t>to  be shared among all the States of the country</t>
  </si>
  <si>
    <r>
      <t xml:space="preserve"> </t>
    </r>
    <r>
      <rPr>
        <sz val="11"/>
        <color theme="1"/>
        <rFont val="Calibri"/>
        <family val="2"/>
        <scheme val="minor"/>
      </rPr>
      <t>to  be shared among all the Wind/Solar Generating States of the country</t>
    </r>
  </si>
  <si>
    <t>to be borne by Govt. of host State</t>
  </si>
  <si>
    <t>to be reimbursed to host State  by MNRE as grant.</t>
  </si>
  <si>
    <r>
      <t xml:space="preserve">As per provisions of IEGC, If a generating station is connected both to ISTS and the State network, scheduling and other functions performed by the system operator of a control area will be done by SLDC, </t>
    </r>
    <r>
      <rPr>
        <b/>
        <sz val="10"/>
        <rFont val="Arial"/>
        <family val="2"/>
      </rPr>
      <t>only if</t>
    </r>
    <r>
      <rPr>
        <sz val="11"/>
        <color theme="1"/>
        <rFont val="Calibri"/>
        <family val="2"/>
        <scheme val="minor"/>
      </rPr>
      <t xml:space="preserve"> state has</t>
    </r>
  </si>
  <si>
    <r>
      <t>1</t>
    </r>
    <r>
      <rPr>
        <vertAlign val="superscript"/>
        <sz val="10"/>
        <color indexed="10"/>
        <rFont val="Arial"/>
        <family val="2"/>
      </rPr>
      <t>st</t>
    </r>
    <r>
      <rPr>
        <sz val="10"/>
        <color indexed="10"/>
        <rFont val="Arial"/>
        <family val="2"/>
      </rPr>
      <t xml:space="preserve"> short-term, 2</t>
    </r>
    <r>
      <rPr>
        <vertAlign val="superscript"/>
        <sz val="10"/>
        <color indexed="10"/>
        <rFont val="Arial"/>
        <family val="2"/>
      </rPr>
      <t>nd</t>
    </r>
    <r>
      <rPr>
        <sz val="10"/>
        <color indexed="10"/>
        <rFont val="Arial"/>
        <family val="2"/>
      </rPr>
      <t xml:space="preserve">  medium-term and then long-term customers.</t>
    </r>
  </si>
  <si>
    <r>
      <t>1</t>
    </r>
    <r>
      <rPr>
        <vertAlign val="superscript"/>
        <sz val="10"/>
        <color indexed="10"/>
        <rFont val="Arial"/>
        <family val="2"/>
      </rPr>
      <t>st</t>
    </r>
    <r>
      <rPr>
        <sz val="10"/>
        <color indexed="10"/>
        <rFont val="Arial"/>
        <family val="2"/>
      </rPr>
      <t xml:space="preserve"> long-term and then short-term customers.</t>
    </r>
  </si>
  <si>
    <r>
      <t>1</t>
    </r>
    <r>
      <rPr>
        <vertAlign val="superscript"/>
        <sz val="10"/>
        <color indexed="10"/>
        <rFont val="Arial"/>
        <family val="2"/>
      </rPr>
      <t>st</t>
    </r>
    <r>
      <rPr>
        <sz val="10"/>
        <color indexed="10"/>
        <rFont val="Arial"/>
        <family val="2"/>
      </rPr>
      <t xml:space="preserve"> medium-term, and then long-term customers.</t>
    </r>
  </si>
  <si>
    <t>Moere than 5 days</t>
  </si>
  <si>
    <t>If the state has a share of 50% or less in an IPP, then the scheduling and other functions shall be performed by-----</t>
  </si>
  <si>
    <t>Either seller or Buyer</t>
  </si>
  <si>
    <t>1MW</t>
  </si>
  <si>
    <t>Metering_stds</t>
  </si>
  <si>
    <t>The meters connected at the point of interconnection of generating company, licensee directly connected to ISTS who have to be covered under ABT and have been permitted Open access are termed as ____ meters</t>
  </si>
  <si>
    <t>All interface meters installed at the point of interconnection with ISTS shall be owned by:</t>
  </si>
  <si>
    <t>All interface meters installed at the point of interconnection with Intra-state system shall be owned by:</t>
  </si>
  <si>
    <t xml:space="preserve">Sealing of consumer meters shall be done by ___ </t>
  </si>
  <si>
    <t>Accuracy class of Interface meters:</t>
  </si>
  <si>
    <t>Accuracy class of Energy accounting and audit meters:</t>
  </si>
  <si>
    <t>The accuracy class of CTs and VTs shall not be inferior to that of associated meters.</t>
  </si>
  <si>
    <t xml:space="preserve">Sealing of interface meters shall be done by: </t>
  </si>
  <si>
    <t>both supplier and buyer</t>
  </si>
  <si>
    <t>supplier only</t>
  </si>
  <si>
    <t>buyer only</t>
  </si>
  <si>
    <t>Accuracy class of Consumer meters upto 650 volts is:</t>
  </si>
  <si>
    <t>Accuracy class of Consumer meters above 650 volts up to 33kV is:</t>
  </si>
  <si>
    <t>Accuracy class of Consumer meters above 33kV is:</t>
  </si>
  <si>
    <t xml:space="preserve">Appropriate Load Despatch center refers to: </t>
  </si>
  <si>
    <t>any one of NLDC, RLDC, SLDC</t>
  </si>
  <si>
    <t>Where is the check meter installed in case of a transmission line between substations belonging to the same licensee?</t>
  </si>
  <si>
    <t>on both ends of the line</t>
  </si>
  <si>
    <t>on one end of the line</t>
  </si>
  <si>
    <t>there is no check meter in this case</t>
  </si>
  <si>
    <t>Checking of CT and VT connections may be done when, _____</t>
  </si>
  <si>
    <t>the difference between the main meter and the check meter for any month is more than 0.1%</t>
  </si>
  <si>
    <t>the difference between the main meter and the check meter for any month is more than 0.5%</t>
  </si>
  <si>
    <t>the difference between the main meter and the check meter for any week is more than 0.1%</t>
  </si>
  <si>
    <t>the difference between the main meter and the check meter for any week is more than 0.5%</t>
  </si>
  <si>
    <t>Checking the accuracy of a meter at the site is always done using a reference standard  meter of ____</t>
  </si>
  <si>
    <t>same accuracy class as the meter under test</t>
  </si>
  <si>
    <t xml:space="preserve"> accuracy class higher than the meter under test</t>
  </si>
  <si>
    <t xml:space="preserve"> accuracy class lower than the meter under test</t>
  </si>
  <si>
    <t>any one: either same accuracy or hier accuracy meter</t>
  </si>
  <si>
    <t>Metering regulations CEA classify meters based on:</t>
  </si>
  <si>
    <t>Purpose</t>
  </si>
  <si>
    <t xml:space="preserve"> Connected load</t>
  </si>
  <si>
    <t>Metering regulations cover which of the following aspects</t>
  </si>
  <si>
    <t>Testing of meters</t>
  </si>
  <si>
    <t>Sealing of meters</t>
  </si>
  <si>
    <t>Ownership of meters</t>
  </si>
  <si>
    <t xml:space="preserve">Type of meters to be used for open access customers </t>
  </si>
  <si>
    <t xml:space="preserve"> ABT  meter</t>
  </si>
  <si>
    <t>OA meter</t>
  </si>
  <si>
    <t xml:space="preserve">Interface </t>
  </si>
  <si>
    <t>As specified in OA regulations</t>
  </si>
  <si>
    <t>All meters should be of</t>
  </si>
  <si>
    <t>Static type</t>
  </si>
  <si>
    <t>May be of electromechanical type but were to be replaced by static meters by 31.03.2012</t>
  </si>
  <si>
    <t>Can be of static or electromechanical type but have to meet stipulation regarding accuracy</t>
  </si>
  <si>
    <t>Microprocessor based</t>
  </si>
  <si>
    <t xml:space="preserve">In case of Inter connecting transformers the standby interface meter is provided at </t>
  </si>
  <si>
    <t xml:space="preserve"> HV side</t>
  </si>
  <si>
    <t>LV side</t>
  </si>
  <si>
    <t xml:space="preserve"> Tertiary side</t>
  </si>
  <si>
    <t xml:space="preserve"> Interface meter not required for Inter connecting transformers</t>
  </si>
  <si>
    <t xml:space="preserve">Standby meter is not required in case of </t>
  </si>
  <si>
    <t>Generating stations</t>
  </si>
  <si>
    <t>Transmission and Distribution lines</t>
  </si>
  <si>
    <t>Transformers</t>
  </si>
  <si>
    <t xml:space="preserve">What kind of interface meter(s) are installed on all outgoing feeders of generating stations </t>
  </si>
  <si>
    <t>Main meter</t>
  </si>
  <si>
    <t xml:space="preserve">Check meters </t>
  </si>
  <si>
    <t xml:space="preserve">Both main and check meters </t>
  </si>
  <si>
    <t>Neither main meter nor check meter</t>
  </si>
  <si>
    <t>All interface meters shall be tested at least once in</t>
  </si>
  <si>
    <t>five years</t>
  </si>
  <si>
    <t>Two years</t>
  </si>
  <si>
    <t>Three years</t>
  </si>
  <si>
    <t>Ten years</t>
  </si>
  <si>
    <t>Interface meters connected at the points of interconnection with ISTS is to be owned by</t>
  </si>
  <si>
    <t>Requester seeking interconnection</t>
  </si>
  <si>
    <t>Transmission licensee to whose system connection is to be made</t>
  </si>
  <si>
    <t>STU of the State in which interconnection point is physically located</t>
  </si>
  <si>
    <t>Interface meters should be capable of measuring frequency in the range of</t>
  </si>
  <si>
    <t>47.5 – 52.5 Hz</t>
  </si>
  <si>
    <t>49-51 Hz</t>
  </si>
  <si>
    <t>49.5-50.5 Hz</t>
  </si>
  <si>
    <t>48.0 to 52.0 Hz</t>
  </si>
  <si>
    <t xml:space="preserve">Interface meter should have capability to store readings for a period of </t>
  </si>
  <si>
    <t>At least 7 days</t>
  </si>
  <si>
    <t>At least 31 days</t>
  </si>
  <si>
    <t>At least 10 days</t>
  </si>
  <si>
    <t>At least 62 days</t>
  </si>
  <si>
    <t>Interface meters are to be suitable for CTs having rated secondary current of</t>
  </si>
  <si>
    <t>10 A</t>
  </si>
  <si>
    <t>5 A</t>
  </si>
  <si>
    <t>1 A</t>
  </si>
  <si>
    <t>both- 5 A and 1 A</t>
  </si>
  <si>
    <t>Interface meters should be capable of recording Cumulative VArh for</t>
  </si>
  <si>
    <t>High voltage conditions</t>
  </si>
  <si>
    <t>Low voltage conditions</t>
  </si>
  <si>
    <t>Both- high voltage conditions and low voltage conditions- separately</t>
  </si>
  <si>
    <t>Irrespective of voltage conditions</t>
  </si>
  <si>
    <t>GridConnectivityStds</t>
  </si>
  <si>
    <t>One of the objectives of the Grid Connectivity Standards  is to:</t>
  </si>
  <si>
    <t>the new connection do not cause any adverse effect on the grid</t>
  </si>
  <si>
    <t>ensure the safe operation, integrity and reliability of the grid</t>
  </si>
  <si>
    <t>a requester is aware, in advance, of the standards and conditions his system has to meet</t>
  </si>
  <si>
    <t xml:space="preserve">With regard to harmonics, the notified Grid Connectivity Standards prescribe following: </t>
  </si>
  <si>
    <t xml:space="preserve"> Limit on Total Harmonic distortion</t>
  </si>
  <si>
    <t xml:space="preserve"> Limit on individual content of 2nd to 7th Harmonic</t>
  </si>
  <si>
    <t>Limit on any individual harmonic</t>
  </si>
  <si>
    <t>Both- limit on total harmonic distortion and limit on any individual harmonic distortion</t>
  </si>
  <si>
    <t>Bus bar protection is mandatory for sub-stations of</t>
  </si>
  <si>
    <t>110 kV and above</t>
  </si>
  <si>
    <t>For all generators and substations at 220 kV and above</t>
  </si>
  <si>
    <t>Automatic Voltage Regulator with digital control shall be mandatory in the generating unit of above</t>
  </si>
  <si>
    <t>500MW</t>
  </si>
  <si>
    <t xml:space="preserve">Range of power factor for generating units located near load centres as compared to generating units away from load centres is </t>
  </si>
  <si>
    <t>same</t>
  </si>
  <si>
    <t>Technical standards of CEA are silent of this aspect</t>
  </si>
  <si>
    <t xml:space="preserve">Overload capacity of hydro generating unit as compared to coal &amp; lignite based units is </t>
  </si>
  <si>
    <t>Lower</t>
  </si>
  <si>
    <t>Same</t>
  </si>
  <si>
    <t>Higher</t>
  </si>
  <si>
    <t xml:space="preserve">Grid Connectivity Standards make it mandatory to have ‘two sets of batteries, each equipped with its own charger’ for sub-stations of </t>
  </si>
  <si>
    <t>66 kV and above</t>
  </si>
  <si>
    <t>Electronically controlled governing system with appropriate speed/load characteristics to regulate frequency is to be provided in  generating units of following capacity</t>
  </si>
  <si>
    <t>&gt;=10 MW</t>
  </si>
  <si>
    <t>&gt;=500 MW</t>
  </si>
  <si>
    <t>&gt;=100 MW</t>
  </si>
  <si>
    <t>All generators</t>
  </si>
  <si>
    <t>Request for making connection to inter state transmission system is to be made to</t>
  </si>
  <si>
    <t>The licensee with whose system the inter-connection is proposed</t>
  </si>
  <si>
    <t xml:space="preserve">Grid Connectivity Standards make it mandatory to have Distubence Recorder (DR) and Event Logger (EL) with time synchronization facility for sub-station of </t>
  </si>
  <si>
    <t>Critical sub-stations identified by RLDC</t>
  </si>
  <si>
    <t>Tri-partite agreement for grid connectivity is required in case the interconnection is sought between requestor and</t>
  </si>
  <si>
    <t>The limit specified for the power factor of the distribution system and bulk consumer is</t>
  </si>
  <si>
    <t>Not mentioned in CEA’s technical standards</t>
  </si>
  <si>
    <t xml:space="preserve">Not less than 0.95 </t>
  </si>
  <si>
    <t>Not less than 0.9</t>
  </si>
  <si>
    <t>Not less than 0.85</t>
  </si>
  <si>
    <t xml:space="preserve">Grid Connectivity Standard </t>
  </si>
  <si>
    <t>Has no specific provision regarding wind generation</t>
  </si>
  <si>
    <t>Has no specific provision regarding solar generation</t>
  </si>
  <si>
    <t xml:space="preserve"> Has separate chapter on “Renewable Energy Resources’ </t>
  </si>
  <si>
    <t>Both- Has no specific provision regarding wind generation and Has no specific provision regarding solar generation</t>
  </si>
  <si>
    <t xml:space="preserve">LBB protection is mandatory for </t>
  </si>
  <si>
    <t>Generating units more than 100 MW and sub-stations at 220 kV and above</t>
  </si>
  <si>
    <t>Generating units more than 250 MW and sub-stations at 220 kV and above</t>
  </si>
  <si>
    <t>Generating units more than 100 MW and sub-stations at 132 kV and above</t>
  </si>
  <si>
    <t>All generators and sub-stations</t>
  </si>
  <si>
    <t>GridStandards</t>
  </si>
  <si>
    <t>A Bulk consumer avails supply at :</t>
  </si>
  <si>
    <t>Entity of the grid is :</t>
  </si>
  <si>
    <t>The steady state voltage limits in case of 220 kV and below:</t>
  </si>
  <si>
    <t>0.95 &amp; 1.1 p.u.</t>
  </si>
  <si>
    <t>0.9 &amp; 1.05 p.u</t>
  </si>
  <si>
    <t>0.95 &amp; 1.05 p.u</t>
  </si>
  <si>
    <t>0.9 &amp; 1.1 p.u.</t>
  </si>
  <si>
    <t>The steady state voltage limits in case of 400 kV are:</t>
  </si>
  <si>
    <t>The steady state voltage limits in case of 765 kV are:</t>
  </si>
  <si>
    <t xml:space="preserve">The temporary over voltage in case of load rejection in 220 kV shall be: </t>
  </si>
  <si>
    <t xml:space="preserve">The maximum possible voltage unbalance in 33 to 132 kV shall be: </t>
  </si>
  <si>
    <t xml:space="preserve">The maximum possible voltage unbalance in 220 kV shall be: </t>
  </si>
  <si>
    <t xml:space="preserve">The maximum possible voltage unbalance in 400 and 765 kV shall be: </t>
  </si>
  <si>
    <t xml:space="preserve">The maximum fault clearence time in case of 132 and 220 kV shall be: </t>
  </si>
  <si>
    <t xml:space="preserve">The maximum fault clearence time in case of 400 and 765 kV shall be: </t>
  </si>
  <si>
    <t>The total harmonic distortion in 33 to 132 kV system shall not exceed:</t>
  </si>
  <si>
    <t>The total harmonic distortion in 220 kV system shall not exceed:</t>
  </si>
  <si>
    <t>The total harmonic distortion in 400 kV system shall not exceed:</t>
  </si>
  <si>
    <t>The total harmonic distortion in 765 kV system shall not exceed:</t>
  </si>
  <si>
    <t>The entity responsible for operation planning to maintain frequency, voltage profile, line loading,etc is:</t>
  </si>
  <si>
    <t xml:space="preserve">The annual maintenance plan for inter-state tansmission system shall be prepared by: </t>
  </si>
  <si>
    <t xml:space="preserve">The annual maintenance plan for intra-state tansmission system shall be prepared by: </t>
  </si>
  <si>
    <t>The category GI-1 incident means no loss of Grid integrity at :</t>
  </si>
  <si>
    <t>The category GI-2 incident means no loss of Grid integrity at :</t>
  </si>
  <si>
    <t>The entity responsible for developing restoration procedure for inter state  system after a grid disturbance is :</t>
  </si>
  <si>
    <t xml:space="preserve">The compendium of grid disturbances shall be maintained by: </t>
  </si>
  <si>
    <t xml:space="preserve">With reference to CEAs Grid Connectivity Standards, the preferable switching scheme for a 132 kV substation is:  </t>
  </si>
  <si>
    <t>main and transfer scheme</t>
  </si>
  <si>
    <t>double main and transfer scheme</t>
  </si>
  <si>
    <t>one and half breaker scheme</t>
  </si>
  <si>
    <t>double bus double breaker scheme</t>
  </si>
  <si>
    <t xml:space="preserve">With reference to CEAs Grid Connectivity Standards, the preferable switching schemen for a 220 kV substation is: 
</t>
  </si>
  <si>
    <t>double main and transfer scheme or double main with breaker by pass scheme</t>
  </si>
  <si>
    <t>one and half breaker scheme or double main and transfer bus scheme</t>
  </si>
  <si>
    <t>With reference to CEAs Grid Connectivity Standards, the preferable switching scheme for a 400 kV substation is :</t>
  </si>
  <si>
    <t xml:space="preserve">With reference to CEAs Grid Connectivity Standards, the preferable switching scheme for a 765 kV substation is: </t>
  </si>
  <si>
    <t>The CEAs Grid Connectivity Standards suggest how many  220 V batteries to be provided at substaions of 220 kV?</t>
  </si>
  <si>
    <t>1 set</t>
  </si>
  <si>
    <t>2 sets</t>
  </si>
  <si>
    <t>3 sets</t>
  </si>
  <si>
    <t>to be decided by the licensee</t>
  </si>
  <si>
    <t>The entity responsible for periodically reviewing the performance of the grid is the :</t>
  </si>
  <si>
    <t>The entity responsible for periodically inspecting the under frequency relays and change of frequency with time relays is:</t>
  </si>
  <si>
    <t>Mock exercises for fire fighting shall be conducted by the entities, ___</t>
  </si>
  <si>
    <t>once every 3 months</t>
  </si>
  <si>
    <t>once in 2 years</t>
  </si>
  <si>
    <t>The CEAs Grid Standards Regulations recommends compulsory training for which of the following personnel?</t>
  </si>
  <si>
    <t>personnel involved in O &amp; M of transmission lines</t>
  </si>
  <si>
    <t>grid operators</t>
  </si>
  <si>
    <t>maintenance staff</t>
  </si>
  <si>
    <t>all of these personnel</t>
  </si>
  <si>
    <t>In case of a stuck breaker condition on a 400 kV system, the CEAs Grid Connectivity Standards suggest the disruption of not more than ----- feeders</t>
  </si>
  <si>
    <t>Grid Standards are applicable to which of the following entity?</t>
  </si>
  <si>
    <t>Generating company</t>
  </si>
  <si>
    <t>consumer connected below 33 kV</t>
  </si>
  <si>
    <t>Power exchange</t>
  </si>
  <si>
    <t>The responsibility to frame technical standards has been entrusted to CEA through:</t>
  </si>
  <si>
    <t>Rules made by Government</t>
  </si>
  <si>
    <t>IEGC frame by CERC</t>
  </si>
  <si>
    <t>Resolution of RPCs</t>
  </si>
  <si>
    <t>As per the Grid Standards what is the permissible frequency range (in Hz)</t>
  </si>
  <si>
    <t>49.7 to 50.2</t>
  </si>
  <si>
    <t>49.2 to 50.3 or a narrower frequency band specified in the grid code</t>
  </si>
  <si>
    <t>47.5 to 51.5 or a narrower frequency band specified in the Grid code</t>
  </si>
  <si>
    <t>For  system with nominal voltage of 132kV,  what is the minimum permissible voltage as per grid Standards</t>
  </si>
  <si>
    <t>110 kV</t>
  </si>
  <si>
    <t>125 kV</t>
  </si>
  <si>
    <t>122 kV</t>
  </si>
  <si>
    <t>115 kV</t>
  </si>
  <si>
    <t>Maximum voltage permissible as per grid Standards for 765 kV system is</t>
  </si>
  <si>
    <t>841.5 kV</t>
  </si>
  <si>
    <t>900 kV</t>
  </si>
  <si>
    <t>803.25 kV</t>
  </si>
  <si>
    <t xml:space="preserve">The permissible voltage unbalance for system with nominal voltage of 400 kV and above is </t>
  </si>
  <si>
    <t>Which of the following entity is responsible for  protection coordination</t>
  </si>
  <si>
    <t>The maximum fault clearance time for system voltage of 400 kV and above is</t>
  </si>
  <si>
    <t xml:space="preserve">100 milliseconds </t>
  </si>
  <si>
    <t>150 miliseconds</t>
  </si>
  <si>
    <t>100 microseconds</t>
  </si>
  <si>
    <t>300 milliseconds</t>
  </si>
  <si>
    <t>The maximum fault clearance time for system voltage of 220 kV is</t>
  </si>
  <si>
    <t>100 milliseconds</t>
  </si>
  <si>
    <t>160 milliseconds</t>
  </si>
  <si>
    <t xml:space="preserve">The purpose of islanding scheme is </t>
  </si>
  <si>
    <t>to arrange power supply to islands</t>
  </si>
  <si>
    <t>to save healthy system from total collapse in case of grid disturbance</t>
  </si>
  <si>
    <t>to have self sufficiency in power in island</t>
  </si>
  <si>
    <t>Better reliability in Islanded portion</t>
  </si>
  <si>
    <t>Coordination of annual maintenance for intra-state transmission elements is the responsibility of</t>
  </si>
  <si>
    <t>Operation coordination committeee of the state</t>
  </si>
  <si>
    <t>Entity can introduce or take  out the element of the grid without the concurrence of the  Appropriate Load Despatch Centre</t>
  </si>
  <si>
    <t>In case they feel it will help the grid</t>
  </si>
  <si>
    <t>In case of imminent risk of safety of plant and personnel</t>
  </si>
  <si>
    <t>in case of test charging</t>
  </si>
  <si>
    <t xml:space="preserve">Record of instructions given by LDCs is to be maintained for a period of at least </t>
  </si>
  <si>
    <t>9 months</t>
  </si>
  <si>
    <t xml:space="preserve">All Entities are required to set their under-frequency (UF) Relays and Rate of change of frequency with timeRelays in their respective systems, in accordance with the plan made by </t>
  </si>
  <si>
    <t>Permissible harmonic distortion limit is</t>
  </si>
  <si>
    <t>depends on fault level of location</t>
  </si>
  <si>
    <t>increases as nominal system voltage increases</t>
  </si>
  <si>
    <t>increases as nominal system voltage decreases</t>
  </si>
  <si>
    <t>is fixed irrespective of nominal system voltage</t>
  </si>
  <si>
    <t>Grid incidences are categories based on</t>
  </si>
  <si>
    <t>percentage of load loss</t>
  </si>
  <si>
    <t>percentage of generation loss</t>
  </si>
  <si>
    <t>voltage level of tripping</t>
  </si>
  <si>
    <t>number of states affected</t>
  </si>
  <si>
    <t>Grid disturbances are categories based on</t>
  </si>
  <si>
    <t>both- percentage of load loss and percentage of generation loss whichever is higher</t>
  </si>
  <si>
    <t>The severity amongst thefollowing category of grid disturbance is highest in</t>
  </si>
  <si>
    <t>GD 1</t>
  </si>
  <si>
    <t>GD 5</t>
  </si>
  <si>
    <t>GD 50</t>
  </si>
  <si>
    <t>GD 100</t>
  </si>
  <si>
    <t>When thirty percent to less than forty percent of the antecedent generation or load in a regional grid is lost, it comes under</t>
  </si>
  <si>
    <t>GD 3</t>
  </si>
  <si>
    <t>GD 2</t>
  </si>
  <si>
    <t>GD 4</t>
  </si>
  <si>
    <t>GD 30</t>
  </si>
  <si>
    <t>In a grid disturbance, generation loss is 19% but load loss is 22%. This grid disturbance will be classified as</t>
  </si>
  <si>
    <t>GD 20</t>
  </si>
  <si>
    <t>Cant say</t>
  </si>
  <si>
    <t>The primary responsibility of reporting the grid disturbance lies with</t>
  </si>
  <si>
    <t xml:space="preserve">Operational data including equipment and system parameters logged manually and electronically has to be preserved for </t>
  </si>
  <si>
    <t>at least two years</t>
  </si>
  <si>
    <t>at least one year</t>
  </si>
  <si>
    <t>at least three years</t>
  </si>
  <si>
    <t>at least 6 months</t>
  </si>
  <si>
    <t xml:space="preserve">Each transmission licensee is required to have Emergency Restoration System for restoration of transmission lines of </t>
  </si>
  <si>
    <t>strategic 220 kV lines</t>
  </si>
  <si>
    <t>both- 400 kV and above and strategic 220 kV lines</t>
  </si>
  <si>
    <t xml:space="preserve">Thermo-vision scanning for hot spots on all overhead lines and sub-station equipment at voltage level of 220 kV and above shall be carried out </t>
  </si>
  <si>
    <t>at least once a year</t>
  </si>
  <si>
    <t>at least six months</t>
  </si>
  <si>
    <t>at least in two years</t>
  </si>
  <si>
    <t>no time frame is given</t>
  </si>
  <si>
    <t xml:space="preserve">The penalty for non-compliance of CEAs Regulations can be imposed by </t>
  </si>
  <si>
    <t>Appropriate Commission</t>
  </si>
  <si>
    <t>Appellate Tribunal for Electricity</t>
  </si>
  <si>
    <t>The Electricity Act, 2003 has specific provision for handling default in compliance to</t>
  </si>
  <si>
    <t>Grid Connectivity Standard</t>
  </si>
  <si>
    <t>Grid Standard</t>
  </si>
  <si>
    <t xml:space="preserve">Regulations on  Installation &amp; Operation of Meters </t>
  </si>
  <si>
    <t>Safety Regulations</t>
  </si>
  <si>
    <t>A person can be appointed to investigate failure of licensee or generating company to comply regulations made under the Electricity Ac, 2003 by</t>
  </si>
  <si>
    <t>High Court of the State where corporate office of licensee or generating company is located</t>
  </si>
  <si>
    <t xml:space="preserve">Maximum Continuious Rating is determined </t>
  </si>
  <si>
    <t>after deducting station auxilary  load  on manufacturer guarented  rated MW</t>
  </si>
  <si>
    <t xml:space="preserve">at the Genrator Terminals manufacturer guarented  rated MW </t>
  </si>
  <si>
    <t>after deducting station auxilary  load  on manufacturer guarented  average MW/day</t>
  </si>
  <si>
    <t>at the Genrator Terminals manufacturer guarented  average MW/day</t>
  </si>
  <si>
    <t>Connection Agreement Shall contain….. Applicable to that  connection.</t>
  </si>
  <si>
    <t>General and  specific commercial conditions</t>
  </si>
  <si>
    <t>General and  specific commercial &amp; technical conditions</t>
  </si>
  <si>
    <t>General and  specific technical conditions</t>
  </si>
  <si>
    <t>specific Technical Conditions</t>
  </si>
  <si>
    <t>Substation Grounding shall be done in accordance with the norms of …. Standard.</t>
  </si>
  <si>
    <t>IEEE 519</t>
  </si>
  <si>
    <t>IEC 512</t>
  </si>
  <si>
    <t>IEEE 80</t>
  </si>
  <si>
    <t>Any one of IEEE519 or IEC512 or IEEE80</t>
  </si>
  <si>
    <t>Insulation Co ordination of Equipment and lines on both sides of a connection point belonging to the  requester and the grid shall be cordinated  in case of a distribution system</t>
  </si>
  <si>
    <t>State transmission Utitility</t>
  </si>
  <si>
    <t>Central transmission Utility</t>
  </si>
  <si>
    <t>Distrubution Licensee</t>
  </si>
  <si>
    <t>STU or CTU or DISCOM</t>
  </si>
  <si>
    <t>Basic Innsulation level (BIL) of various equipment in power system shall be detemined  in the .........Order of priority (select order from the list)                                                                    (1) avoid permenant Damage to Plant, (2) prevent failure of costly equipment (3) minimise interruptions of powersupply to consumers(4) minimise circuit interruptions(5) ensure saftey to public and operating personnel</t>
  </si>
  <si>
    <t>1,4,2,5,3</t>
  </si>
  <si>
    <t>5,1,2,4,3</t>
  </si>
  <si>
    <t>1,2,3,4,5</t>
  </si>
  <si>
    <t>4,3,1,2,5</t>
  </si>
  <si>
    <t>protection co ordination issuses shall be  finalized by the following agency..</t>
  </si>
  <si>
    <t>Concerned RLDC</t>
  </si>
  <si>
    <t>Concerned SLDC</t>
  </si>
  <si>
    <t>Concerned RPC</t>
  </si>
  <si>
    <t>Concerned STU</t>
  </si>
  <si>
    <t>Distrubance Recording and Event Logging Facilities  shall be provided in a  substation at a  voltage level of</t>
  </si>
  <si>
    <t xml:space="preserve">132 kV and above </t>
  </si>
  <si>
    <t>Generating Unit with  100MW rating  and above shall have  AVR with   ………. Control &amp; two seperate Channels having ……… inputs and……..  Changeover  facility</t>
  </si>
  <si>
    <t>Digital, independent &amp; Automatic</t>
  </si>
  <si>
    <t>Digital , same &amp; automatic</t>
  </si>
  <si>
    <t>Analog, same &amp; Manual</t>
  </si>
  <si>
    <t>Analog , independent &amp; Manual</t>
  </si>
  <si>
    <t>Automatic Voltage Regulator of a genrator of 100 MW and above shall  include a</t>
  </si>
  <si>
    <t>Power System stabilizer</t>
  </si>
  <si>
    <t>Power System  Simulator</t>
  </si>
  <si>
    <t>Power System Synthasizer</t>
  </si>
  <si>
    <t>Power System SynchroPhasor</t>
  </si>
  <si>
    <t>Short Circuit Ratio of generator shall be  as per …… Standard</t>
  </si>
  <si>
    <t xml:space="preserve">IEC 60050-415 </t>
  </si>
  <si>
    <t>IEC 62548</t>
  </si>
  <si>
    <t>IEC 34</t>
  </si>
  <si>
    <t>ISO/IEC 18031</t>
  </si>
  <si>
    <t xml:space="preserve">The Generating Transformer  winding shall have ….. Connection on LV side……...and ….. Connection on HV side </t>
  </si>
  <si>
    <t>Star, Delta</t>
  </si>
  <si>
    <t>Delta,Star</t>
  </si>
  <si>
    <t>Star,Star</t>
  </si>
  <si>
    <t>Delta,Delta</t>
  </si>
  <si>
    <t xml:space="preserve">The Generating transformer  windings   HV side  need to achieve Earth Fault Factor  of ….  </t>
  </si>
  <si>
    <t>1.0 or more</t>
  </si>
  <si>
    <t>1.0 or less</t>
  </si>
  <si>
    <t>1.4 or more</t>
  </si>
  <si>
    <t>The governers of thermal generating units shall have a  droop of ….</t>
  </si>
  <si>
    <t>0-5 %</t>
  </si>
  <si>
    <t>5-8%</t>
  </si>
  <si>
    <t>3-6 %</t>
  </si>
  <si>
    <t>The governers of HYDRO generating units shall have a  droop of ….</t>
  </si>
  <si>
    <t>0-5%</t>
  </si>
  <si>
    <t>0-8%</t>
  </si>
  <si>
    <t>0-10%</t>
  </si>
  <si>
    <t xml:space="preserve">Generating Units located near load center , shall be capable of  operating at  rated output for power factor varying  between…. To ……. </t>
  </si>
  <si>
    <t xml:space="preserve">0.85 lagging to 0.95 leading </t>
  </si>
  <si>
    <t>0.95 lagging to 0.95 leading</t>
  </si>
  <si>
    <t>0.85 lagging to 0.85 leading</t>
  </si>
  <si>
    <t xml:space="preserve"> Zero to unity </t>
  </si>
  <si>
    <t xml:space="preserve">Generating Units located far from  load center , shall be capable of  operating at  rated output for power factor varying  between…. To ……. </t>
  </si>
  <si>
    <t>0.90 lagging to 0.95 leading</t>
  </si>
  <si>
    <t>LBB protection is mandatory for substations at and above ….. Levels.</t>
  </si>
  <si>
    <t>Minimum Interrupting requirement in case of a Circuit Breaker in a state transmission is  specifed by ……</t>
  </si>
  <si>
    <t>Manufacturer</t>
  </si>
  <si>
    <t>Power Ministry</t>
  </si>
  <si>
    <t xml:space="preserve">AC Substations of 220 kV rating   Auxilary supply shall be arranged from   ……… independent sources  of High Tension(HT) feeders  </t>
  </si>
  <si>
    <t>two</t>
  </si>
  <si>
    <t xml:space="preserve">one </t>
  </si>
  <si>
    <t>one with two LT transformers</t>
  </si>
  <si>
    <t>The Total Harmonic Distortion for voltage at the Connection point of a bulk consumer  shall not excceed … with no individual  harmonic  higher than ….</t>
  </si>
  <si>
    <t xml:space="preserve"> 5 % , 3 %</t>
  </si>
  <si>
    <t>3 % , 5 %</t>
  </si>
  <si>
    <t>1.5 % ,  3%</t>
  </si>
  <si>
    <t>3% , 1.5 %</t>
  </si>
  <si>
    <t>The total Harmonic Distortion of a 11 kV consumer for current drawn from transmission system  at the connection point  shall not exceed …</t>
  </si>
  <si>
    <t>The Permissible limit  of Voltage Fluctuation of a 33 kV consumer for step  changes which may occur repetitively  is ….. &amp; occasional  is ….</t>
  </si>
  <si>
    <t>3 %, 5 %</t>
  </si>
  <si>
    <t>8 % , 10 %</t>
  </si>
  <si>
    <t>Substations</t>
  </si>
  <si>
    <t>Which of the following substation layouts sectionalizes the bus so that the entire substation is not shutdown in the event of a bus fault?</t>
  </si>
  <si>
    <t>Double Bus Double Breaker</t>
  </si>
  <si>
    <t>Generally, a well connected substation has _________fault level.</t>
  </si>
  <si>
    <t>What is the substation at the generating station end is called ?</t>
  </si>
  <si>
    <t>Step down substation</t>
  </si>
  <si>
    <t>Step up substation</t>
  </si>
  <si>
    <t>Switching substation</t>
  </si>
  <si>
    <t>What is certainly not available in a switching station ? Choose the best option</t>
  </si>
  <si>
    <t>Bus Reactor</t>
  </si>
  <si>
    <t>Line Reactor</t>
  </si>
  <si>
    <t>Series Capacitor</t>
  </si>
  <si>
    <t>What is NOT an advantage of the switching substation?</t>
  </si>
  <si>
    <t>Avoid switching surges</t>
  </si>
  <si>
    <t>Easy segregation of faulty zones</t>
  </si>
  <si>
    <t>Can be used as a pooling point</t>
  </si>
  <si>
    <t>Feeding power to the local area</t>
  </si>
  <si>
    <t>What is NOT TRUE for a substation having single bus arrangement and four feeders?</t>
  </si>
  <si>
    <t xml:space="preserve">Shut down of the complete substation has to be taken for maintenance of Line breaker </t>
  </si>
  <si>
    <t>It has a separate bus for each feeder</t>
  </si>
  <si>
    <t>In case of a bus fault total substation is out of service</t>
  </si>
  <si>
    <t>It is simple in design</t>
  </si>
  <si>
    <t>What is essentially TRUE for a SINGLE BUS AND TRANSFER SCHEME?</t>
  </si>
  <si>
    <t>In case of a fault on the Main bus all the feeders are automatically switched to the transfer bus</t>
  </si>
  <si>
    <t>Half of the feeders are connected to the Transfer Bus and rest to the other bus</t>
  </si>
  <si>
    <t>For maintenance of the main bus the feeders can be shifted to the Transfer bus without interruption of supply</t>
  </si>
  <si>
    <t>For maintenance of the main bus the feeders can be shifted to the Transfer bus but with interruption of supply</t>
  </si>
  <si>
    <t>Which switching scheme does not require a bus coupler?</t>
  </si>
  <si>
    <t>Double Main with transfer</t>
  </si>
  <si>
    <t>Double Bus</t>
  </si>
  <si>
    <t>Single Bus and Transfer</t>
  </si>
  <si>
    <t>Single Bus with sectionalizer</t>
  </si>
  <si>
    <t>Which switching arrangement does not require a separate bus bar protection?</t>
  </si>
  <si>
    <t>Double bus</t>
  </si>
  <si>
    <t>Which is the most widely used switching scheme at 400 kV level</t>
  </si>
  <si>
    <t>In which bus switching scheme the I-type as well as D-type arrangement exist?</t>
  </si>
  <si>
    <t>What is the primary function of earth mat in a substation?</t>
  </si>
  <si>
    <t>To act as a foundation for all equipments</t>
  </si>
  <si>
    <t xml:space="preserve">To act as a deterrent to rodents </t>
  </si>
  <si>
    <t xml:space="preserve">To limit step and touch potential for substation staff </t>
  </si>
  <si>
    <t>Provide a high impedance path to the fault currents</t>
  </si>
  <si>
    <t>In the Double Main and Transfer Scheme, what is the recommended practice, if the line circuit breaker is to be taken under emergency shutdown?</t>
  </si>
  <si>
    <t xml:space="preserve">The breaker maintenance is only possible when the line whose breaker is to be maintained is also taken under shut down </t>
  </si>
  <si>
    <t xml:space="preserve">The Main bus through which the line is charged should be taken under shut down </t>
  </si>
  <si>
    <t xml:space="preserve">The line can be kept charged through the transfer breaker while the line Circuit Breaker is under maintenance </t>
  </si>
  <si>
    <t>The line Circuit Breaker can be maintained only by taking shut down of the complete substation</t>
  </si>
  <si>
    <t>In a 400 kV substation having a breaker and a half scheme, how many breakers would have to be tripped to de energize a line which shares the dia with a ICT?</t>
  </si>
  <si>
    <t>What is the most likely scenario in case of a single bus fault in a switching substation having a breaker and a half scheme and the protection system operates perfectly?</t>
  </si>
  <si>
    <t>The complete substation would become dead to completely isolate the fault</t>
  </si>
  <si>
    <t>All the lines connected to the bus where fault has occurred would become dead</t>
  </si>
  <si>
    <t>Only the faulty bus would become dead without any interruption of supply</t>
  </si>
  <si>
    <t>All the buses in the substation would become dead but the lines would remain charged through the tie breaker</t>
  </si>
  <si>
    <t>Which is the first equipment that would be encountered as one enters a substation (say 400 kV) from the line end?</t>
  </si>
  <si>
    <t>Line CT</t>
  </si>
  <si>
    <t>Wavetrap</t>
  </si>
  <si>
    <t>Line CVT</t>
  </si>
  <si>
    <t>Lightening Arrestor</t>
  </si>
  <si>
    <t>Which is likely to be the most costly equipment in a substation?</t>
  </si>
  <si>
    <t>Inter Connecting Transformer</t>
  </si>
  <si>
    <t>CT</t>
  </si>
  <si>
    <t>Circuit Breaker</t>
  </si>
  <si>
    <t>Area of a substation is mainly determined by:</t>
  </si>
  <si>
    <t>Size of 
equipments</t>
  </si>
  <si>
    <t xml:space="preserve"> Number of 
equipments</t>
  </si>
  <si>
    <t>Switching 
schemes and number of bays</t>
  </si>
  <si>
    <t>Operating and 
electrical clearances</t>
  </si>
  <si>
    <t>Bus Couplers are provided  to:</t>
  </si>
  <si>
    <t>Tie different buses</t>
  </si>
  <si>
    <t>Segregate bus into
 number of sections</t>
  </si>
  <si>
    <t>Isolate fault in bus</t>
  </si>
  <si>
    <t xml:space="preserve">Synchronize </t>
  </si>
  <si>
    <t>Instrument transformers are necessary</t>
  </si>
  <si>
    <t>To operate 
protective relays</t>
  </si>
  <si>
    <t>To record the current and voltages</t>
  </si>
  <si>
    <t>To provide proportional current and voltage to relays, meters  and synchronizing</t>
  </si>
  <si>
    <t>To act as isolating device in high voltage system</t>
  </si>
  <si>
    <t>Surge arresters are provided to</t>
  </si>
  <si>
    <t>Limit the fault 
current</t>
  </si>
  <si>
    <t>To limit the voltage</t>
  </si>
  <si>
    <t>To divert lightning surges to ground</t>
  </si>
  <si>
    <t>To absorb switching and lighting surges and discharge</t>
  </si>
  <si>
    <t>Which is the most frequently occurring fault in power system</t>
  </si>
  <si>
    <t>Phase to phase 
fault</t>
  </si>
  <si>
    <t>3 Phase fault fault</t>
  </si>
  <si>
    <t>Single line to ground fault</t>
  </si>
  <si>
    <t xml:space="preserve"> Arcing fault</t>
  </si>
  <si>
    <t xml:space="preserve">Fault current depends 
upon: </t>
  </si>
  <si>
    <t>Bus fault level</t>
  </si>
  <si>
    <t xml:space="preserve"> System voltage</t>
  </si>
  <si>
    <t>Line length</t>
  </si>
  <si>
    <t xml:space="preserve"> Line conductor</t>
  </si>
  <si>
    <t>Electric shock depends upon:</t>
  </si>
  <si>
    <t>System fault 
current</t>
  </si>
  <si>
    <t>System Voltage</t>
  </si>
  <si>
    <t>Earth resistance</t>
  </si>
  <si>
    <t>Electrical energy absorbed by the body</t>
  </si>
  <si>
    <t>In a substation all non current carrying parts shall be connected to</t>
  </si>
  <si>
    <t>Adjacent 
equipment</t>
  </si>
  <si>
    <t>Separate Earth 
electrodes</t>
  </si>
  <si>
    <t>Earth mat</t>
  </si>
  <si>
    <t>Need not be earthed</t>
  </si>
  <si>
    <t>Grid conductors are provided to</t>
  </si>
  <si>
    <t>Increase earth potential</t>
  </si>
  <si>
    <t>Decrease potential
 gradient</t>
  </si>
  <si>
    <t>Reduce earth potential</t>
  </si>
  <si>
    <t>Reduce earth resistance</t>
  </si>
  <si>
    <t>Earth Potential rise can 
be controlled by</t>
  </si>
  <si>
    <t>Reducing the system voltage</t>
  </si>
  <si>
    <t>Increasing the 
earth resistance</t>
  </si>
  <si>
    <t>Increasing the area</t>
  </si>
  <si>
    <t>Reducing the fault current and the earth resistance</t>
  </si>
  <si>
    <t>DC Transmission is not a part of:</t>
  </si>
  <si>
    <t xml:space="preserve">What is the purpose of AC Filters in HVDC System? </t>
  </si>
  <si>
    <t>Reactive Power requirement for each terminal of HVDC system is generally of the order of :</t>
  </si>
  <si>
    <t>Why is a Smoothing Reactor required in HVDC System?</t>
  </si>
  <si>
    <t>Smoothing DC ripples and  limiting fault current</t>
  </si>
  <si>
    <t>Which of the following is a part of Valve Hall in HVDC System?</t>
  </si>
  <si>
    <t>HVDC Valves are generally:</t>
  </si>
  <si>
    <t>Earth electrode is an essential part of ____</t>
  </si>
  <si>
    <t>Where are HVDC systems advantageous?</t>
  </si>
  <si>
    <t>Short distance transmission</t>
  </si>
  <si>
    <t>Long distance transmission and connection of asynchronous grids</t>
  </si>
  <si>
    <t>Snubber circuit in a HVDC system is a part of :</t>
  </si>
  <si>
    <t>DC filters in HVDC system are generally used for:</t>
  </si>
  <si>
    <t>Harmonic reduction and reactive power supply</t>
  </si>
  <si>
    <t>HVDC current is generally controlled by :</t>
  </si>
  <si>
    <t>Inverter</t>
  </si>
  <si>
    <t>Which of the following is an advantage of HVDC system?</t>
  </si>
  <si>
    <t xml:space="preserve">Converter transformer is exposed to: </t>
  </si>
  <si>
    <t xml:space="preserve">In which region is the HVDC Rihand-Dadri Bipole located? </t>
  </si>
  <si>
    <t>East</t>
  </si>
  <si>
    <t>South</t>
  </si>
  <si>
    <t>North</t>
  </si>
  <si>
    <t>West</t>
  </si>
  <si>
    <t>In which region is the HVDC Chandrapur-Phadke Bipole  located?</t>
  </si>
  <si>
    <t>In which region is the HVDC Balia-Bhiwadi pole-1 located?</t>
  </si>
  <si>
    <t xml:space="preserve">Which of the two regions does the HVDC back-to-back station at Vindhyachal connect? </t>
  </si>
  <si>
    <t>North-East</t>
  </si>
  <si>
    <t>East-South</t>
  </si>
  <si>
    <t>North - West</t>
  </si>
  <si>
    <t>West-South</t>
  </si>
  <si>
    <t>Which of the two regions does the HVDC back-to-back station at Gazuwaka/Vizag connect?</t>
  </si>
  <si>
    <t>Which of the two regions does the HVDC back-to-back station at Bhadravati connect?</t>
  </si>
  <si>
    <t>Which of the two regions does the HVDC back-to-back station at Sasaram/Pusauli connect?</t>
  </si>
  <si>
    <t>Which was the first HVDC Bipole transmission system commissioned in India?</t>
  </si>
  <si>
    <t>Talcher-Kolar</t>
  </si>
  <si>
    <t>Rihand-Dadri</t>
  </si>
  <si>
    <t>Chadrapur-Phadke</t>
  </si>
  <si>
    <t>Which of the HVDC back-to-back operates in parallel with EHVAC lines. Choose the best option</t>
  </si>
  <si>
    <t>Vindhyachal &amp; Pusauli</t>
  </si>
  <si>
    <t>Pusauli &amp; Gazuwaka</t>
  </si>
  <si>
    <t>Gazuwaka and Bhadravati</t>
  </si>
  <si>
    <t>The powerflow direction on HVDC Rihand-Dadri is generally in which direction?</t>
  </si>
  <si>
    <t>Dadri to Rihand</t>
  </si>
  <si>
    <t>Rihand to Dadri</t>
  </si>
  <si>
    <t>Rihand to Dadri in Pole-I and Dadri to Rihand in Pole-II</t>
  </si>
  <si>
    <t>What does the smoothening reactor in HVDC help in?</t>
  </si>
  <si>
    <t>Voltage control</t>
  </si>
  <si>
    <t>Var control</t>
  </si>
  <si>
    <t>limit ripple of DC current</t>
  </si>
  <si>
    <t>Rated power of Vindhyachal B-t-B is ___</t>
  </si>
  <si>
    <r>
      <t>2</t>
    </r>
    <r>
      <rPr>
        <sz val="11"/>
        <color indexed="8"/>
        <rFont val="Calibri"/>
        <family val="2"/>
      </rPr>
      <t>×125 MW</t>
    </r>
  </si>
  <si>
    <r>
      <t>2</t>
    </r>
    <r>
      <rPr>
        <sz val="11"/>
        <color indexed="8"/>
        <rFont val="Calibri"/>
        <family val="2"/>
      </rPr>
      <t>×250MW</t>
    </r>
  </si>
  <si>
    <r>
      <t>2</t>
    </r>
    <r>
      <rPr>
        <sz val="11"/>
        <color indexed="8"/>
        <rFont val="Calibri"/>
        <family val="2"/>
      </rPr>
      <t>×150 MW</t>
    </r>
  </si>
  <si>
    <r>
      <t>2</t>
    </r>
    <r>
      <rPr>
        <sz val="11"/>
        <color indexed="8"/>
        <rFont val="Calibri"/>
        <family val="2"/>
      </rPr>
      <t>×500 MW</t>
    </r>
  </si>
  <si>
    <t>What is the operating DC voltage in the HVDC Bipole presently in operation in India. Choose the best option</t>
  </si>
  <si>
    <r>
      <t>±</t>
    </r>
    <r>
      <rPr>
        <sz val="11"/>
        <color theme="1"/>
        <rFont val="Calibri"/>
        <family val="2"/>
        <scheme val="minor"/>
      </rPr>
      <t xml:space="preserve"> 220 kV</t>
    </r>
  </si>
  <si>
    <r>
      <t>±</t>
    </r>
    <r>
      <rPr>
        <sz val="11"/>
        <color theme="1"/>
        <rFont val="Calibri"/>
        <family val="2"/>
        <scheme val="minor"/>
      </rPr>
      <t xml:space="preserve"> 400 kV</t>
    </r>
  </si>
  <si>
    <r>
      <t>±</t>
    </r>
    <r>
      <rPr>
        <sz val="11"/>
        <color theme="1"/>
        <rFont val="Calibri"/>
        <family val="2"/>
        <scheme val="minor"/>
      </rPr>
      <t xml:space="preserve"> 500 kV</t>
    </r>
  </si>
  <si>
    <r>
      <t>±</t>
    </r>
    <r>
      <rPr>
        <sz val="11"/>
        <color theme="1"/>
        <rFont val="Calibri"/>
        <family val="2"/>
        <scheme val="minor"/>
      </rPr>
      <t xml:space="preserve"> 765 kV</t>
    </r>
  </si>
  <si>
    <t>What is function of rectifier?</t>
  </si>
  <si>
    <t>Convert AC to AC</t>
  </si>
  <si>
    <t>Convert AC to DC</t>
  </si>
  <si>
    <t>Convert DC to AC</t>
  </si>
  <si>
    <t>Convert DC to DC</t>
  </si>
  <si>
    <t xml:space="preserve">What is function of inverter? </t>
  </si>
  <si>
    <t>How can the powerflow on a HVDC link be varied?</t>
  </si>
  <si>
    <t>By varying the frequency in the AC grid</t>
  </si>
  <si>
    <t>By switching the smoothing reactors</t>
  </si>
  <si>
    <t>By varying the firing angle</t>
  </si>
  <si>
    <t>Which of the following options best describes the monopolar operation with metallic return?</t>
  </si>
  <si>
    <t>Utilizing the line and ground electrode as return path</t>
  </si>
  <si>
    <t>Utilizing line conductors of the unused pole as return path with one ground electrode isolated</t>
  </si>
  <si>
    <t>Utilizing the ground electrode and the unutilised conductor as ground path</t>
  </si>
  <si>
    <t>Which of the following options best describes the monopolar operation with ground return?</t>
  </si>
  <si>
    <t>GenerationTech</t>
  </si>
  <si>
    <t>What is the range of the overall efficiency of coal fired thermal station?</t>
  </si>
  <si>
    <t>10-30%</t>
  </si>
  <si>
    <t>30 -35 %</t>
  </si>
  <si>
    <t>50-60%</t>
  </si>
  <si>
    <t>60-70%</t>
  </si>
  <si>
    <t xml:space="preserve">At what % of MCR, would Oil support be generally required in a coal fired thermal station? </t>
  </si>
  <si>
    <t>What is the impact on turbine blades if the load on the unit is less than 20 % of MCR?</t>
  </si>
  <si>
    <t>No impact</t>
  </si>
  <si>
    <t>Overheating</t>
  </si>
  <si>
    <t>Overcooling</t>
  </si>
  <si>
    <t>Depends on the turbine type</t>
  </si>
  <si>
    <t>What is the likely impact on the life of thermal units due to frequent start up and shut down?</t>
  </si>
  <si>
    <t>reduces life of the unit</t>
  </si>
  <si>
    <t>increases life of the unit</t>
  </si>
  <si>
    <t>no impact on the life of the unit</t>
  </si>
  <si>
    <t>depends on the maintenance standards</t>
  </si>
  <si>
    <t>What happens in the  economizer of a thermal station?</t>
  </si>
  <si>
    <t>the pressure of steam is increased</t>
  </si>
  <si>
    <t xml:space="preserve">heat in feed water is absorbed by exhaust gases </t>
  </si>
  <si>
    <t>it helps in economizing the quantum of water used in the station</t>
  </si>
  <si>
    <t>heat in exhaust gases is absorbed by feed water</t>
  </si>
  <si>
    <t>What is the range of the overall efficiency of a combined cycle power station?</t>
  </si>
  <si>
    <t>30-35%</t>
  </si>
  <si>
    <t>45-50%</t>
  </si>
  <si>
    <t>The operating point at which the efficiency of the combined cycle is maximum:</t>
  </si>
  <si>
    <t>at MCR</t>
  </si>
  <si>
    <t>at 80 % of MCR</t>
  </si>
  <si>
    <t>at 50 % of MCR</t>
  </si>
  <si>
    <t>at 90% of MCR</t>
  </si>
  <si>
    <t xml:space="preserve">How can the reactor power in a Nuclear Station be regulated? </t>
  </si>
  <si>
    <t>control rods</t>
  </si>
  <si>
    <t>moderator</t>
  </si>
  <si>
    <t>coolant</t>
  </si>
  <si>
    <t xml:space="preserve">The reactor type in most of the Nuclear generating stations in India is: </t>
  </si>
  <si>
    <t>BWR</t>
  </si>
  <si>
    <t>PHWR</t>
  </si>
  <si>
    <t>How can poisoning of a nuclear reactor be avoided?</t>
  </si>
  <si>
    <t>If evacuation is extended within 150 minutes</t>
  </si>
  <si>
    <t>If evacuation is extended within one hour</t>
  </si>
  <si>
    <t>If evacuation is extended within 30 minutes</t>
  </si>
  <si>
    <t>Power produced in a hydro station is:</t>
  </si>
  <si>
    <t>inversely proportional to flow and directly proportional to head</t>
  </si>
  <si>
    <t>directly proportional to flow and inversely proportional to head</t>
  </si>
  <si>
    <t>proportional only to the head</t>
  </si>
  <si>
    <t>proportional to flow and head</t>
  </si>
  <si>
    <t>The best philosophy for maintaining reservoir level in a hydro station is:</t>
  </si>
  <si>
    <t>between FRL and MDDL</t>
  </si>
  <si>
    <t>more than FRL</t>
  </si>
  <si>
    <t>less than MDDL</t>
  </si>
  <si>
    <t>more than FRL and less than MDDL</t>
  </si>
  <si>
    <t xml:space="preserve">Under which category of hydro turbines does Pelton turbine fall? </t>
  </si>
  <si>
    <t>pressure</t>
  </si>
  <si>
    <t>reaction</t>
  </si>
  <si>
    <t>impulse</t>
  </si>
  <si>
    <t>What is the mode of operation during synchronous condenser operation in a hydro unit?</t>
  </si>
  <si>
    <t>generating mode</t>
  </si>
  <si>
    <t>motoring mode</t>
  </si>
  <si>
    <t>generating or motoring mode depending on the level of excitation</t>
  </si>
  <si>
    <t>As per CERC tariff regulations 2009-14, what is a hydro generating station with sufficient pondage for meeting the diurnal variation of power demand called?</t>
  </si>
  <si>
    <t>Run of the river hydro</t>
  </si>
  <si>
    <t>Run –of-river generating station with pondage</t>
  </si>
  <si>
    <t>Storage type generating station</t>
  </si>
  <si>
    <t>Which option best describes the relation between Gross Station heat rate in a closed cycle operation and open cycle operation of a combined cycle gas station?</t>
  </si>
  <si>
    <t>GSHR in closed cycle is same as in open cycle</t>
  </si>
  <si>
    <t>GSHR in closed cycle is greater than than in open cycle</t>
  </si>
  <si>
    <t>GSHR in open cycle is greater than than in closed cycle</t>
  </si>
  <si>
    <t>It depends on the unit size</t>
  </si>
  <si>
    <t>Which generating unit can be used as a peaking station?</t>
  </si>
  <si>
    <t>nuclear</t>
  </si>
  <si>
    <t>combined cycle</t>
  </si>
  <si>
    <t>run of the river</t>
  </si>
  <si>
    <t>wind</t>
  </si>
  <si>
    <t>What is the name of the device which automatically controls the speed and regulates the output of turbine in all types of power plants?</t>
  </si>
  <si>
    <t>Exciter</t>
  </si>
  <si>
    <t>Condenser</t>
  </si>
  <si>
    <t>Governor</t>
  </si>
  <si>
    <t>Power System Stabilizer</t>
  </si>
  <si>
    <t>What is the name of the component in a thermal power station that provides continuous supply of feed water to boiler at all times at pressures in excess of the boiler pressure?</t>
  </si>
  <si>
    <t>Economizer</t>
  </si>
  <si>
    <t>Cooling Tower</t>
  </si>
  <si>
    <t>Circulating Water Pump</t>
  </si>
  <si>
    <t>Boiler Feed Pump</t>
  </si>
  <si>
    <t>What is the name of the component in a thermal power station that is placed immediately below the turbine and it serves the purpose of reducing
the turbine exhaust pressure and of recovery of boiler feed water?</t>
  </si>
  <si>
    <t>Which of these stations is not a thermal power station?</t>
  </si>
  <si>
    <t>Badarpur</t>
  </si>
  <si>
    <t>Rayalsema</t>
  </si>
  <si>
    <t>Baghlihar</t>
  </si>
  <si>
    <t>Barkeshwar</t>
  </si>
  <si>
    <t>Which of these stations is not a combined cycle gas power station?</t>
  </si>
  <si>
    <t>Faridabad</t>
  </si>
  <si>
    <t>Kadamparai</t>
  </si>
  <si>
    <t>Ratnagiri</t>
  </si>
  <si>
    <t>Anta</t>
  </si>
  <si>
    <t>Which of these is not a pumped storage station?</t>
  </si>
  <si>
    <t>Parulia</t>
  </si>
  <si>
    <t>Srisalem</t>
  </si>
  <si>
    <t>Uri</t>
  </si>
  <si>
    <t>Which of these states in India has the highest installed capacity in wind generation?</t>
  </si>
  <si>
    <t>Andhra Pradesh</t>
  </si>
  <si>
    <t>Kerala</t>
  </si>
  <si>
    <t>Tamil Nadu</t>
  </si>
  <si>
    <t>Which of these  Nuclear power units has Boiling Water Reactor?</t>
  </si>
  <si>
    <t>TAPS 1&amp;2</t>
  </si>
  <si>
    <t>NAPS 1&amp;2</t>
  </si>
  <si>
    <t>RAPS 1&amp;2</t>
  </si>
  <si>
    <t>KAPS 1 &amp;2</t>
  </si>
  <si>
    <t>Which phenomena is also known as reactor poisoning?</t>
  </si>
  <si>
    <t>Barium poisoning</t>
  </si>
  <si>
    <t>Xenon poisoning</t>
  </si>
  <si>
    <t>Iodine poisoning</t>
  </si>
  <si>
    <t>Uranium poisoning</t>
  </si>
  <si>
    <t>What is NOT TRUE in synchronous condenser mode of operation for hydro station?</t>
  </si>
  <si>
    <t>Tehri and Pong HEP have operated in synchronous condenser mode</t>
  </si>
  <si>
    <t>Only reactive power will be produced</t>
  </si>
  <si>
    <t>All hydro stations are capable of operating in this mode</t>
  </si>
  <si>
    <t>Some active power will be consumed</t>
  </si>
  <si>
    <t>What is NOT TRUE when there is a failure of field system in a generating station?</t>
  </si>
  <si>
    <t>generator starts operating as an
induction generator</t>
  </si>
  <si>
    <t>generator starts dawing magnetizing current from the grid</t>
  </si>
  <si>
    <t>overloading of the stator and overheating of the rotor</t>
  </si>
  <si>
    <t>generator starts operating as a synchronous motor</t>
  </si>
  <si>
    <t>What is NOT TRUE when there is unbalanced loading on the three phases of a synchronous generator?</t>
  </si>
  <si>
    <t>negative
sequence current flows in the stator winding</t>
  </si>
  <si>
    <t>induction of double frequency current in rotor</t>
  </si>
  <si>
    <t xml:space="preserve">If the negative sequence current
exceeds a particular limit, generating unit trips instantaneously </t>
  </si>
  <si>
    <t>If the negative sequence current
exceeds a particular limit, generating unit trips after a time delay</t>
  </si>
  <si>
    <t>The generator protection that is most likely to operate in a situation when there is HIGH Voltage and LOW Frequency in the grid:</t>
  </si>
  <si>
    <t>Overflux</t>
  </si>
  <si>
    <t>Differential</t>
  </si>
  <si>
    <t xml:space="preserve">Loss of field </t>
  </si>
  <si>
    <t>FreqControl</t>
  </si>
  <si>
    <t xml:space="preserve">During steady state the frequency of the electrical system is: </t>
  </si>
  <si>
    <t xml:space="preserve">In an electrical island, the generation is 500 MW. There is no margin in the system. If the load increases by 50 MW then the generator </t>
  </si>
  <si>
    <t>experiences no change in speed</t>
  </si>
  <si>
    <t xml:space="preserve">Keeping the generation constant, if the load increases by 10% then the island frequency will: </t>
  </si>
  <si>
    <t>What is the unused generator capacity which is already on line and available to take load called?</t>
  </si>
  <si>
    <t>What is the component which senses the frequency variations on the system and adjusts the MW output of the turbine generator called ?</t>
  </si>
  <si>
    <t xml:space="preserve">If the frequency begins to rise, the governor will:  </t>
  </si>
  <si>
    <t>In order that the frequency of the system remains constant, the electrical power output of the generator must be ___ the power required by the system load plus losses.</t>
  </si>
  <si>
    <t>With reference to the turbine generator, the load angle is the phase angle difference between:</t>
  </si>
  <si>
    <t>The governor of a partially loaded generator senses that the frequency dipped from 50.0 to 49.9 Hz. As a result of governor action, the load angle of the machine will</t>
  </si>
  <si>
    <t>When the load angle exceeds the maximum limit, then the power output of the generator will _____</t>
  </si>
  <si>
    <t xml:space="preserve">The reason that several generators on one bus of same capacity can operate at different power outputs while remaining interconnected and synchronised is that these are operating at different ____ </t>
  </si>
  <si>
    <t>What is the primary method of controlling the flow of megawatts in a power system?</t>
  </si>
  <si>
    <t>Control area A having 1500 MW generation and 2000 MW load, is connected to the neighbouring control Area B having 3500 MW generation and 3000 MW load. What would be the flow on the tie line?</t>
  </si>
  <si>
    <t>Control area A having 1500 MW generation and 2000 MW load, is connected to the neighboring control Area B having 3500 MW generation and 3000 MW load. What would happen to the frequency in Area A and Area B if the tie line trips? Assume nominal frequency as 50 Hz.</t>
  </si>
  <si>
    <t>Frequency in Control Area A will rise above 50 Hz and it will decrease to less than 50 Hz in Control Area B</t>
  </si>
  <si>
    <t>Frequency in Control Area B will rise above 50 Hz and it will decrease to less than 50 Hz in Control Area A</t>
  </si>
  <si>
    <t>Choose the correct power balance equation for a control area.</t>
  </si>
  <si>
    <t>A generator is supplying 150 MW to a 150 MW load. There are no other generators in the system. The generator is operating at its maximum power output. If the load increases from 150 MW to 180 MW, the generator will ___</t>
  </si>
  <si>
    <t>A generator is supplying 150 MW to a 150 MW load. There are no other generators in the system. The generator is operating at its maximum power output. What would happen if the load decrease from 150 MW to 120 MW?</t>
  </si>
  <si>
    <t xml:space="preserve">The power system that controls generation to maintain interchange schedules &amp; interconnection frequency is known as a ________________ </t>
  </si>
  <si>
    <t>Both (A) &amp; (B)</t>
  </si>
  <si>
    <t>Neither (A) nor (B)</t>
  </si>
  <si>
    <t>To increase the power output from a generator, which one of the following actions should be performed?</t>
  </si>
  <si>
    <t>Input to a steam turbine is, of course, steam. How can this steam be created?</t>
  </si>
  <si>
    <t>Either  (A) or (B)</t>
  </si>
  <si>
    <t>What is the initial response when additional power is drawn from the generator?</t>
  </si>
  <si>
    <t>A control area is operating in complete balance, with total generation equal to 3000 MW, total load (including losses) equal to 3500 MW and 500 MW imported over a single tie line. Suppose the tie line suddenly trips out of service. What immediately happens to the speed of the machines in the control area?</t>
  </si>
  <si>
    <t>All the machines slow down</t>
  </si>
  <si>
    <t>All the machines speed up</t>
  </si>
  <si>
    <t>A control area is operating in complete balance, with total generation equal to 3000 MW, total load (including loses) equal to 3500 MW and 500 MW imported over a single tie line. Suppose the tie line suddenly trips out of service. What immediately happens to the frequency?</t>
  </si>
  <si>
    <t>A generator load has decreased to 50% of unit capacity, while turbine input remains at 80%. As a result machine tends to ___</t>
  </si>
  <si>
    <t>The governor opens the turbine control valve to increase turbine input</t>
  </si>
  <si>
    <t>The governor waits several minutes to see what happens</t>
  </si>
  <si>
    <t>The governor closes the control valve position some what to decrease turbine input</t>
  </si>
  <si>
    <t>Why does a 3000 rpm machine spinning twice as fast as  1500 rpm machine produce the same 50 Hz frequency at its terminals?</t>
  </si>
  <si>
    <t>How does the turbine governor respond to falling frequency?</t>
  </si>
  <si>
    <t>the control valve is opened to admit more power to the turbine</t>
  </si>
  <si>
    <t>the control valve is closed to reduce the power input</t>
  </si>
  <si>
    <t>Operates the AVR to increase the MW output</t>
  </si>
  <si>
    <t>What possible problems could be caused by continous low frequency operation, say 48Hz on a 50Hz system?</t>
  </si>
  <si>
    <t>If the speed droop of a 50Hz machine is 4%. What frequency drop must occur to effect a 25% load increase on that machine?</t>
  </si>
  <si>
    <t>2.0 Hz drop</t>
  </si>
  <si>
    <t>1.0 Hz drop</t>
  </si>
  <si>
    <t>0.5 Hz drop</t>
  </si>
  <si>
    <t>Two machines, A &amp; B of equal capacity have speed droop settings of 3% and 6% respectively. How will they share an increase in load?</t>
  </si>
  <si>
    <t>What is the typical value for percentage speed droop?</t>
  </si>
  <si>
    <t>What is the typical value for governor time lag?</t>
  </si>
  <si>
    <t>10 seconds</t>
  </si>
  <si>
    <t>4 seconds</t>
  </si>
  <si>
    <t>10 minutes</t>
  </si>
  <si>
    <t xml:space="preserve">Frequency response from loads is better in respect of: </t>
  </si>
  <si>
    <t>A combination of lighting loads and rotating loads</t>
  </si>
  <si>
    <t>What is the primary function of turbine governors on power system generating units?</t>
  </si>
  <si>
    <t>neither (A) nor (B)</t>
  </si>
  <si>
    <t xml:space="preserve">A generating unit running at 50 Hz and its rated  capacity of 300 MW  has 3 % speed droop. What will be the value of frequency if the units output requirement is reduced to 200 MW? </t>
  </si>
  <si>
    <t>A 500 MW generating unit running at 50 Hz and 300 MW load has 5 % speed droop. What will be the units output if the frequency drops to 49.5 Hz?</t>
  </si>
  <si>
    <t>The RPM of a 4 pole synchronous generator of 50Hz is ____</t>
  </si>
  <si>
    <t>The 32 pole Hydro generator will be rotating at ___ RPM at 50Hz.</t>
  </si>
  <si>
    <t xml:space="preserve">If the system frequency is at 49.0 Hz then the RPM of a cylindrical rotor machine is ____ </t>
  </si>
  <si>
    <t xml:space="preserve">The maximum permissible voltage difference allowed across the tie breaker before closing is : </t>
  </si>
  <si>
    <t>10% of nominal</t>
  </si>
  <si>
    <t>5% of nominal</t>
  </si>
  <si>
    <t>20% of nominal</t>
  </si>
  <si>
    <t>15% of nominal</t>
  </si>
  <si>
    <t xml:space="preserve">The maximum permissible voltage angle difference allowed across the tie breaker before closing is : </t>
  </si>
  <si>
    <r>
      <t>±7</t>
    </r>
    <r>
      <rPr>
        <vertAlign val="superscript"/>
        <sz val="10"/>
        <rFont val="Arial"/>
        <family val="2"/>
      </rPr>
      <t>0</t>
    </r>
  </si>
  <si>
    <r>
      <t>±20</t>
    </r>
    <r>
      <rPr>
        <vertAlign val="superscript"/>
        <sz val="10"/>
        <rFont val="Arial"/>
        <family val="2"/>
      </rPr>
      <t>0</t>
    </r>
  </si>
  <si>
    <r>
      <t>±0</t>
    </r>
    <r>
      <rPr>
        <vertAlign val="superscript"/>
        <sz val="10"/>
        <rFont val="Arial"/>
        <family val="2"/>
      </rPr>
      <t>0</t>
    </r>
  </si>
  <si>
    <r>
      <t>±60</t>
    </r>
    <r>
      <rPr>
        <vertAlign val="superscript"/>
        <sz val="10"/>
        <rFont val="Symbol"/>
        <family val="1"/>
        <charset val="2"/>
      </rPr>
      <t>0</t>
    </r>
  </si>
  <si>
    <t xml:space="preserve">The maximum permissible frequency difference allowed across the tie breaker before closing is : </t>
  </si>
  <si>
    <t>0.05 Hz</t>
  </si>
  <si>
    <t>0.5 Hz</t>
  </si>
  <si>
    <t>0.005 Hz</t>
  </si>
  <si>
    <t>The frequency across the electrical island _____.</t>
  </si>
  <si>
    <t>varies substabtially.</t>
  </si>
  <si>
    <t>decreases towards loads</t>
  </si>
  <si>
    <t>remains same</t>
  </si>
  <si>
    <t>remains constant at nominal frequency.</t>
  </si>
  <si>
    <t xml:space="preserve">What does an operating frequency of 50.1 Hz indicate? </t>
  </si>
  <si>
    <t>generation = demand</t>
  </si>
  <si>
    <t>demand &gt; generation</t>
  </si>
  <si>
    <t>generation &gt; demand</t>
  </si>
  <si>
    <t>generation &gt; losses</t>
  </si>
  <si>
    <t>As the system frequency reduces, the lighting and heating load of an electrical island____.</t>
  </si>
  <si>
    <t>reduces</t>
  </si>
  <si>
    <t>increases proportionally</t>
  </si>
  <si>
    <t>decreases exponentially</t>
  </si>
  <si>
    <t>The rotating load of an electrical island ____ during over frequency.</t>
  </si>
  <si>
    <t xml:space="preserve">reduces proportionaly </t>
  </si>
  <si>
    <t>increases</t>
  </si>
  <si>
    <t>reduces exponentially</t>
  </si>
  <si>
    <t xml:space="preserve">Saturation of the core of a power transformer increases with ____ in frequency and _____ in voltage. </t>
  </si>
  <si>
    <t>increase, decrease</t>
  </si>
  <si>
    <t>increase, increase</t>
  </si>
  <si>
    <t>decrease, decrease</t>
  </si>
  <si>
    <t>decrease, increase</t>
  </si>
  <si>
    <t>The transformer core losses _____ with increase in saturation.</t>
  </si>
  <si>
    <t>The magnetising current of a transformer, induction motor_____ with decrease in frequency.</t>
  </si>
  <si>
    <t xml:space="preserve">The primary frequency control is characterised by: </t>
  </si>
  <si>
    <t>Governor response</t>
  </si>
  <si>
    <t>Load damping</t>
  </si>
  <si>
    <t>voluntary frequency responsive load control</t>
  </si>
  <si>
    <t>all of these optiopns</t>
  </si>
  <si>
    <t xml:space="preserve">The secondary frequency control is characterised by: </t>
  </si>
  <si>
    <t>Automatic generation control</t>
  </si>
  <si>
    <t>Governor action</t>
  </si>
  <si>
    <t>Economic load despatch</t>
  </si>
  <si>
    <t xml:space="preserve">The tertiary frequency control is characterised by: </t>
  </si>
  <si>
    <t xml:space="preserve">What is Load Rejection ? </t>
  </si>
  <si>
    <t>Under frequency Load shedding</t>
  </si>
  <si>
    <t>Over frequency unit tripping</t>
  </si>
  <si>
    <t>reduction in load with decrease in frequency</t>
  </si>
  <si>
    <t>manual load shedding</t>
  </si>
  <si>
    <t>Adjustment of generation by ramping up / down the units simultaneously falls under _____ frequency control.</t>
  </si>
  <si>
    <t>Over</t>
  </si>
  <si>
    <t>A 200 MW unit with 3% governor droop reduces its output from 180 MW to 160 MW under FGMO when the change in frequency is ___.</t>
  </si>
  <si>
    <t>+0.15Hz</t>
  </si>
  <si>
    <t>-0.15Hz</t>
  </si>
  <si>
    <t>+0.3Hz</t>
  </si>
  <si>
    <t>-0.3Hz</t>
  </si>
  <si>
    <t>The change in unit output  due to governor control is due to change in ____.</t>
  </si>
  <si>
    <t>Load angle</t>
  </si>
  <si>
    <t xml:space="preserve">The change in unit output due to governor control is proportional to ___ and inversely proportional to ___. </t>
  </si>
  <si>
    <t>frequency, unit capacity</t>
  </si>
  <si>
    <t>droop constant, unit capacity</t>
  </si>
  <si>
    <t>unit terminal voltage, frequency</t>
  </si>
  <si>
    <t>unit capacity, droop constant</t>
  </si>
  <si>
    <t>When is it is economical to increase the loading on a unit?</t>
  </si>
  <si>
    <t>UI rate &lt; unit variable cost</t>
  </si>
  <si>
    <t>UI rate &gt; unit variable cost</t>
  </si>
  <si>
    <t>UI rate &lt; unit (fixed+variable) cost</t>
  </si>
  <si>
    <t>UI rate &gt; unit (fixed+variable) cost</t>
  </si>
  <si>
    <t>ReactivePower</t>
  </si>
  <si>
    <t>System voltages are most affected by:</t>
  </si>
  <si>
    <t>On Load Tap Changers</t>
  </si>
  <si>
    <t>Shunt Capacitors</t>
  </si>
  <si>
    <t>What is the method of controlling reactive power flows in a system?</t>
  </si>
  <si>
    <t>Changing taps in transformers</t>
  </si>
  <si>
    <t>Real power output from a generator would increase with respect to excitation if, ____</t>
  </si>
  <si>
    <t>excitation is increased</t>
  </si>
  <si>
    <t>excitation is reduced</t>
  </si>
  <si>
    <t>it remains unchanged when excitation changes</t>
  </si>
  <si>
    <t>excitation is fixed and cannot be changed</t>
  </si>
  <si>
    <t>If a generators excitation (field current) is reduced, VAR flow out of the generator ____</t>
  </si>
  <si>
    <t>Tap settings of two identical transformers connected in parallel should be ____</t>
  </si>
  <si>
    <t>Which of the following statements are true 
(i) MW flows are changed by changing tap settings on transformers.    
(ii) Var generation/ absorption on generating units can be changed by changing transformer taps</t>
  </si>
  <si>
    <t>(i) only</t>
  </si>
  <si>
    <t>(ii) only</t>
  </si>
  <si>
    <t>Which of the following statements are true:  A system operator would change transformer taps to -                                       
(i) raise or lower voltage during high or low load periods.           
(ii) shift Var flow between generating units</t>
  </si>
  <si>
    <t>To raise the voltage on a load bus at the end of a long transmission line, which type of equipment would be switched on?</t>
  </si>
  <si>
    <t>Both Capacitors and reactors</t>
  </si>
  <si>
    <t>Which is the device that may be installed on power systems to both raise and lower voltage (at the same location) as the need arises?</t>
  </si>
  <si>
    <t>Which of the following statements are correct:                       (i) Changing transformer taps change flow of VArs in the system.   
(ii) Shunt capacitors generate VArs and shunt reactors absorb Vars.   
(iii) Changing tap  settings affect the flow of MW.</t>
  </si>
  <si>
    <t xml:space="preserve">Ferranti effect is predominant in : </t>
  </si>
  <si>
    <t xml:space="preserve">The kVAr rating required for improving the power factor of a load operating at 500 kW and 0.80 power factor to 0.90 is ________. </t>
  </si>
  <si>
    <t>125kVAr</t>
  </si>
  <si>
    <t xml:space="preserve"> If voltage applied to a 415 V rated capacitor bank drops by 10%, its VAR output drops by ____. </t>
  </si>
  <si>
    <t xml:space="preserve">reduce active power drawn from grid </t>
  </si>
  <si>
    <t>reduce the reactive power drawn from grid</t>
  </si>
  <si>
    <t xml:space="preserve">reduce the voltage of the plant </t>
  </si>
  <si>
    <t xml:space="preserve">increase the load current of the plant </t>
  </si>
  <si>
    <t>Series capacitors are used for reducing line</t>
  </si>
  <si>
    <t>Ferranti effect on long overhead lines is experienced when _______</t>
  </si>
  <si>
    <t>the power factor is unity</t>
  </si>
  <si>
    <t>Match the line charging MVAr with the corresponding transmission line 
(1)800 kV  (2) 400 kV  (3) 220 kV - to -
(a) 0.555 MVAr/km  (b) 0.135 MVAr/km   (c) 2.91 MVAr/km</t>
  </si>
  <si>
    <t>On which of the following factors does the capacitance of a transmission Lines depend on?</t>
  </si>
  <si>
    <t>The smaller the lagging reactive power drawn by a circuit, its p.f will be _____</t>
  </si>
  <si>
    <t>The KVAr drawn by a load in terms of kW and power factor Φ is equal to:</t>
  </si>
  <si>
    <t>KW Cosec Φ</t>
  </si>
  <si>
    <t>The Surge impedance Loading of a transmission line is characterised by:</t>
  </si>
  <si>
    <t>Flat voltage profile</t>
  </si>
  <si>
    <t>rated frequency</t>
  </si>
  <si>
    <t>Loss free line</t>
  </si>
  <si>
    <t>unity power factor</t>
  </si>
  <si>
    <t>If P0 is the resultant SIL of a transmission line with Ksh shunt compensation having P0 SIL then P0, is:</t>
  </si>
  <si>
    <t>P0/(1-Ksh)</t>
  </si>
  <si>
    <t>P0*Sqrt(1-Ksh)</t>
  </si>
  <si>
    <t>P0/Sqrt(1-Ksh)</t>
  </si>
  <si>
    <t>P0*(1-Ksh)</t>
  </si>
  <si>
    <t>The transmission capacity of a transmission line with P0 SIL and 0.5 shunt compensation(Ksh), is:</t>
  </si>
  <si>
    <t>P0/(1-0.5)</t>
  </si>
  <si>
    <t>P0*(1-0.5)</t>
  </si>
  <si>
    <t>P0/Sqrt(1-0.5)</t>
  </si>
  <si>
    <t>P0*Sqrt(1-0.5)</t>
  </si>
  <si>
    <t>The transmission capacity of a transmission line with a SIL of P0 and a series compensation of Kse, is:</t>
  </si>
  <si>
    <t>P0/Sqrt(1-Kse)</t>
  </si>
  <si>
    <t>P0*Sqrt(1-Kse)</t>
  </si>
  <si>
    <t>P0 * (1-Kse)</t>
  </si>
  <si>
    <t>P0/(1-Kse)</t>
  </si>
  <si>
    <t>The resultant transmission capacity of a line having a SIL of P0 and series compensation of 0.5, is:</t>
  </si>
  <si>
    <t>P0 /(1-0.5)</t>
  </si>
  <si>
    <t xml:space="preserve">The resultant transmission capacity of a line having a SIL of P0, a shunt compensation of Ksh and a series compensation of Kse, is: </t>
  </si>
  <si>
    <t>P0*(1-ksh) / (1-Kse)</t>
  </si>
  <si>
    <t>P0*(1-Kse) / (1-Ksh)</t>
  </si>
  <si>
    <t>P0*Sqrt(1-Ksh) / Sqrt(1-Kse)</t>
  </si>
  <si>
    <t>P0*Sqrt(1-Kse) / Sqrt(1-Ksh)</t>
  </si>
  <si>
    <t xml:space="preserve">The three phase fault level of a bus in p.u. having driving point impedance of Zth p.u. is: </t>
  </si>
  <si>
    <t>1.0/Sqrt(Zth)</t>
  </si>
  <si>
    <t>1.0 / Zth</t>
  </si>
  <si>
    <t>1.0 / (1-Zth)</t>
  </si>
  <si>
    <t>1.0-1.0/(Zth)</t>
  </si>
  <si>
    <t xml:space="preserve">The three phase fault level in p.u. at a bus having driving point impedance of 0.2p.u is: </t>
  </si>
  <si>
    <t>The shunt compensation (Qsh) in p.u required to raise the bus voltage from 0.8 pu to 1.0 p.u when the fault level is 10 p.u. is:</t>
  </si>
  <si>
    <t>The capacitive compensation required in MVAr to raise the bus voltage from 198kV to 220kV when the fault level is 4000MVA is:</t>
  </si>
  <si>
    <t xml:space="preserve">The MVAr required in pu to raise the bus voltage from 0.7 p.u to 0.9 p.u when the fault level is 1p.u  is: </t>
  </si>
  <si>
    <t xml:space="preserve">If a 200 MVA generator is connected to a bus having 4000 MVA fault level, then the short circuit ratio is: </t>
  </si>
  <si>
    <t>The change in voltage in p.u when a shunt compensator Qsh p.u is connected  to a bus of fault level Sf p.u is:</t>
  </si>
  <si>
    <t>Qsh/Sf</t>
  </si>
  <si>
    <t>Sf/Qsh</t>
  </si>
  <si>
    <t>Sf*Qsh</t>
  </si>
  <si>
    <t>Qsh / (1-Sf)</t>
  </si>
  <si>
    <t xml:space="preserve">If a 40 MVAr reactor is connected at bus having 4000 MVA fault level and operating at 408 kV then the resultant bus voltage will be </t>
  </si>
  <si>
    <t>The rating of a capacitor bank in MVAr to improve the power factor of a 10 MVA load from 0.8 pf to 0.9 pf is</t>
  </si>
  <si>
    <t>The under excitation of a generator is limited by _____</t>
  </si>
  <si>
    <t>Rotor heating</t>
  </si>
  <si>
    <t>Turbine capacity</t>
  </si>
  <si>
    <t>Stator heating</t>
  </si>
  <si>
    <t>Stability</t>
  </si>
  <si>
    <t>A 300 km 400 kV line having 50% compensation shall have ____ MVAr connected at the receiving end.</t>
  </si>
  <si>
    <t xml:space="preserve">A  132 kV line of 200 km  with 0.4 ohms/km reactance is 50% series compensated. Then the reactance of the series capacitor in ohms is: </t>
  </si>
  <si>
    <t>The purpose of a line reactor is to:</t>
  </si>
  <si>
    <t>reduce the line charging effect</t>
  </si>
  <si>
    <t>facilitate single phase reclosing</t>
  </si>
  <si>
    <t xml:space="preserve"> allow switching overvoltages to ground</t>
  </si>
  <si>
    <t xml:space="preserve">The impedance offerred by a line reactor to lightning is high due to </t>
  </si>
  <si>
    <t>high frequency nature of lightning</t>
  </si>
  <si>
    <t>low frequency nature of lightning</t>
  </si>
  <si>
    <t>high voltage of lightning</t>
  </si>
  <si>
    <t>The shunt reactor is not a substitute for lightning arrestor because</t>
  </si>
  <si>
    <t>Lightning Arrestor offers high impedance to lightning voltages</t>
  </si>
  <si>
    <t>Lightning Arrestor offers low impedance to lightning voltages</t>
  </si>
  <si>
    <t>shunt reactor offers low impedance to switching over voltages</t>
  </si>
  <si>
    <t>The capacitor banks are connected at the lowest nominal voltage in a substation because</t>
  </si>
  <si>
    <t>LV switchgear costs are lower</t>
  </si>
  <si>
    <t>LV capacitor maintenance costs are lower</t>
  </si>
  <si>
    <t>MVAr flows from High p.u voltage to Low p.u voltage</t>
  </si>
  <si>
    <t>The capacitor bank in a substation can be switched off only when,</t>
  </si>
  <si>
    <t>all higher voltages are maintained at nominal levels by OLTC</t>
  </si>
  <si>
    <t>all higher voltages are maintained at higher than nominal voltages</t>
  </si>
  <si>
    <t>all higher voltages are maintained at lower than nominal voltages</t>
  </si>
  <si>
    <t>Which is the most suitable condition for operating OLTC of a 400kV/220kV auto transformer?</t>
  </si>
  <si>
    <t>390kV/220 kV</t>
  </si>
  <si>
    <t>410kV/201kV</t>
  </si>
  <si>
    <t>420kV/225kV</t>
  </si>
  <si>
    <t>380kV/180kV</t>
  </si>
  <si>
    <t>Match the FACTs controllers and their targets a)SVC,b)PST,c)TCSC::1)Load angle,2)Line reactance,3)Receiving end voltage</t>
  </si>
  <si>
    <t>a-1,b-3,c-2</t>
  </si>
  <si>
    <t>a-3, b-1, c-2</t>
  </si>
  <si>
    <t>a-2,b-3,c-1</t>
  </si>
  <si>
    <t>a-3,b-2,c-1</t>
  </si>
  <si>
    <t>What do the SVC, CSR, UPFC, STATCOM devices control?</t>
  </si>
  <si>
    <t>Receiving end voltage</t>
  </si>
  <si>
    <t>Line reactance</t>
  </si>
  <si>
    <t>Sending end voltage</t>
  </si>
  <si>
    <t>What do the PST, SSSC, UPFC devices control?</t>
  </si>
  <si>
    <t>What do the FSC, TCSC devices control?</t>
  </si>
  <si>
    <t>Which of the following is/are the function/s of the series compensation (TCSC) ?</t>
  </si>
  <si>
    <t>prevents the voltage collapse in heavily loaded lines</t>
  </si>
  <si>
    <t>controls the power flow through parallel lines</t>
  </si>
  <si>
    <t>controls the receiving end voltage</t>
  </si>
  <si>
    <t>The limitation of the TCSC is that it ____</t>
  </si>
  <si>
    <t>causes resonance with sources</t>
  </si>
  <si>
    <t>requires special protection schemes</t>
  </si>
  <si>
    <t>installation is expensive due to insulation and protections</t>
  </si>
  <si>
    <t>Match the suitable reactive compensator: a)Fixed capacitor, b)OLTC, c)SVC::1)group loads, 2)Plant, 3)Motor</t>
  </si>
  <si>
    <t>a-1, b-2, c-3</t>
  </si>
  <si>
    <t>a-3, b-2, c-1</t>
  </si>
  <si>
    <t>a-2, b-1, c-3</t>
  </si>
  <si>
    <t>a-2, b-3, c-1</t>
  </si>
  <si>
    <t>TrLine</t>
  </si>
  <si>
    <t>If the voltages V1 and V2 of a transmission line are 200∠30º kVand  220∠15ºkV respectively then, _____</t>
  </si>
  <si>
    <t>No MVAr flows in the line</t>
  </si>
  <si>
    <t>MVAr flows from V1 to V2</t>
  </si>
  <si>
    <t>MVAr flows from V2 to v1</t>
  </si>
  <si>
    <t>No MVAr flows</t>
  </si>
  <si>
    <t xml:space="preserve">No MW flows </t>
  </si>
  <si>
    <t>Which of the following statements are correct?</t>
  </si>
  <si>
    <t>MVAr output and excitation are not related</t>
  </si>
  <si>
    <t>The voltages at the two ends of a 400 kV line of 66 ohms reactance are 380∠0º and 408∠5º then steady state maximum power that can be transmitted in p.u is</t>
  </si>
  <si>
    <t>The voltages at the two ends of a 400 kV line of 66 ohms reactance are 380∠0º and 408∠5º then steady state  maximum power that can be transmitted in MW is</t>
  </si>
  <si>
    <t>If the power transmitted is to be increased, the surge impedance should be, ______</t>
  </si>
  <si>
    <t>Charging current in the transmission line _____</t>
  </si>
  <si>
    <t>To reduce fault current</t>
  </si>
  <si>
    <t xml:space="preserve">Which of the following statements  with respect to fault level of a bus is correct?                                                                (i) Ability to hold its voltage when the fault is at a different bus.  (ii) Helps in choosing the circuit breaker of appropriate current breaking capacity.  </t>
  </si>
  <si>
    <t>Protection</t>
  </si>
  <si>
    <t>Both under frequency and Rate of change of frequency</t>
  </si>
  <si>
    <t>The large generators are usually grounded through a _____</t>
  </si>
  <si>
    <t>The ______ relay will prevent over heating of Generator rotor due to prolonged out-of-balance operation</t>
  </si>
  <si>
    <t>The extent of unbalance in the Generator / Motor currents are indicated by ______currents</t>
  </si>
  <si>
    <t>The setting of a negative sequence relay is I2**2 * T =15. This indicates that the relay picks up in____ seconds when the negative sequence current is equal to 1.0 p.u.</t>
  </si>
  <si>
    <t>The 81f  frequency relay having 110% setting picsup at _____ Hz</t>
  </si>
  <si>
    <t>stopping</t>
  </si>
  <si>
    <t>running as induction generator</t>
  </si>
  <si>
    <t>running as motor</t>
  </si>
  <si>
    <t>SPS   is used to protect:</t>
  </si>
  <si>
    <t>Which of the following is desirable for Over voltage Protection?</t>
  </si>
  <si>
    <t>SOTF Stands for:</t>
  </si>
  <si>
    <t xml:space="preserve">Negative sequence Protection is used for: </t>
  </si>
  <si>
    <t>In electrical protection system code 86 denotes:</t>
  </si>
  <si>
    <t>LFP in generators stands for:</t>
  </si>
  <si>
    <t xml:space="preserve">Which of the following is a Unit protection? </t>
  </si>
  <si>
    <t>Both Distance and Over current</t>
  </si>
  <si>
    <t>Which of the following protection is not applied to transformer?</t>
  </si>
  <si>
    <t xml:space="preserve"> In distance protection using Permissive Under Reach scheme, Zone-1 is set to cover:</t>
  </si>
  <si>
    <t>The time delay for Zone-3 in distance protection is:</t>
  </si>
  <si>
    <t>A fuse in secondary circuit is not provided for:</t>
  </si>
  <si>
    <t>For LBB relay to operate, which of the following is required?</t>
  </si>
  <si>
    <t>Dead time for autoreclose is:</t>
  </si>
  <si>
    <t>Reclaim time for autoreclose is:</t>
  </si>
  <si>
    <t>Over voltage protection is provided for:</t>
  </si>
  <si>
    <t xml:space="preserve">both (B) &amp; (C) </t>
  </si>
  <si>
    <t>Over voltage stage-I setting in p.u. is:</t>
  </si>
  <si>
    <t>Over Voltage Stage –II setting is:</t>
  </si>
  <si>
    <t>Reverse Power protection is provided for:</t>
  </si>
  <si>
    <t>Auto reclose function is used for reclosing of :</t>
  </si>
  <si>
    <t>The differential protection relay compares the incoming &amp; outgoing ______</t>
  </si>
  <si>
    <t>Over flux alarm in a transformer is set at __</t>
  </si>
  <si>
    <t>Input quantities to a distance relay are :</t>
  </si>
  <si>
    <t>frequency and current</t>
  </si>
  <si>
    <t>3rd harmonic</t>
  </si>
  <si>
    <t>Over Voltage condition</t>
  </si>
  <si>
    <t>Sensitive Earth fault under over voltage condition</t>
  </si>
  <si>
    <t>unbalanced condition</t>
  </si>
  <si>
    <t>Through Fault current is ___.</t>
  </si>
  <si>
    <t xml:space="preserve"> The current flowing through a protected zone to a fault beyond that zone</t>
  </si>
  <si>
    <t xml:space="preserve"> The current flowing through a protected zone to a fault in the same zone</t>
  </si>
  <si>
    <t>The current flowing through the protected device before fault</t>
  </si>
  <si>
    <t xml:space="preserve">The post fault current flowing through the protected device </t>
  </si>
  <si>
    <t>Match the device numbers of relays: (a)distance  (b) instantaneous over current  (c) time delayed overcurrent  (d) differential :: (1) 21; (2) 87; (3) 51; (4) 50</t>
  </si>
  <si>
    <t>a-1;b-2;c-3;d-4;</t>
  </si>
  <si>
    <t>a-1; b-4; c-3; d-2</t>
  </si>
  <si>
    <t>a-4; b-3; c-1; d-2;</t>
  </si>
  <si>
    <t>a-3; b-2; c-1; d-4;</t>
  </si>
  <si>
    <t>Match the device numbers: (a)Circuit Breaker (b) Over voltage relay (c) earth fault relay (d) under voltage relay :: (1)64; (2) 59; (3) 52; (4)27</t>
  </si>
  <si>
    <t>a-2; b-4; c- 1; d- 3;</t>
  </si>
  <si>
    <t>a-3; b-1; c-2; d-4</t>
  </si>
  <si>
    <t>a-4;b-1;c-2;d-3</t>
  </si>
  <si>
    <t>Safety Interlocks in Control schemes are:
a) Isolator Open/Close possible only if CB is open 
b) E/S closing possible only when isolator is open</t>
  </si>
  <si>
    <t>(a) only</t>
  </si>
  <si>
    <t>(b) only</t>
  </si>
  <si>
    <t>both (a) and (b)</t>
  </si>
  <si>
    <t>Redundancy in protection means redundancy in:: (a)protection (b) battery (c) Trip circuit (d) CT core (e) VT winding</t>
  </si>
  <si>
    <t>a ,b and c</t>
  </si>
  <si>
    <t>b, c, d and e</t>
  </si>
  <si>
    <t>all a to e</t>
  </si>
  <si>
    <t>POC</t>
  </si>
  <si>
    <t>What is the Uniform Charge Component in Net PoC Rate?</t>
  </si>
  <si>
    <t>400kV</t>
  </si>
  <si>
    <t>132kV</t>
  </si>
  <si>
    <t>As per the provisions of the Sharing of Inter-State Charges Regulations, charges will be computed through separate load flow studies for ______</t>
  </si>
  <si>
    <t>NER and rest of the country</t>
  </si>
  <si>
    <t>NEW and SR Grid</t>
  </si>
  <si>
    <t>NR and rest of the grid</t>
  </si>
  <si>
    <t>North, Central and SR Grid</t>
  </si>
  <si>
    <t>Which of the following types of generation as of now, is exempted from payment of POC charges for ISTS for its entire useful life?</t>
  </si>
  <si>
    <t>Wind and Solar</t>
  </si>
  <si>
    <t>LTA+STOA+UI</t>
  </si>
  <si>
    <t>How many PoC slabs are approved by CERC for 2011-2012 ?</t>
  </si>
  <si>
    <t>What is the summation of Loss Allocation Factors ?</t>
  </si>
  <si>
    <t>What is the change in overall system losses per unit of injection / withdrawal at  each node  termed as?</t>
  </si>
  <si>
    <t>What is the difference between two adjacent slabs in the PoC Loss Slabs for 2011-12?</t>
  </si>
  <si>
    <t>Bhadrawati HVDC Charges are shared by the entities of…….</t>
  </si>
  <si>
    <t>Maharashtra and Andhra Pradesh</t>
  </si>
  <si>
    <t>Non-ISTS Licensees whose assets are certified as being used for ISTS</t>
  </si>
  <si>
    <t>A DISCOM in Delhi avails Medium Term Open Access- for withdrawaing 100 MW from an embedded generator in Gujarat. What losses would be applied to work out the schedules of Delhi DISCOM?</t>
  </si>
  <si>
    <t>What should be the Uniform Charge (Rs/MW/Month) of NEW Grid considering Rs.800 Cr Monthly Transmission Charges and 40000 MW Approved Injection and 40000 MW Approved Withdrawal?</t>
  </si>
  <si>
    <t>What is the date of notification of Sharing of Inter State Transmission Charges and Losses Regulations ?</t>
  </si>
  <si>
    <t>16th June 2011</t>
  </si>
  <si>
    <t>14th June 2012</t>
  </si>
  <si>
    <t>15th June 2009</t>
  </si>
  <si>
    <t>Which methodology  is applied for PoC transmission charges and losses?</t>
  </si>
  <si>
    <t>Transmission Charges for Long Term Access and Medium Term Open Access in ISTS are in…………?</t>
  </si>
  <si>
    <t>Rs/Mwh</t>
  </si>
  <si>
    <t>Rs/MW/Week</t>
  </si>
  <si>
    <t>As a part of transition to the new PoC based transmission pricing methodology, the recovery of YTC shall be based on both the Hybrid Method and ……………….Method.</t>
  </si>
  <si>
    <t>As per the provisions of the Sharing of Inter-State Charges Regulations, PoC charges are computed through separate load flow studies for ……….?</t>
  </si>
  <si>
    <t>Which of the following type of generation as of now is exempted for payment of POC charges for ISTS for its entire useful life?</t>
  </si>
  <si>
    <t>Which agreement with DICs governs the provisions related to payment for ISTS transmission services?</t>
  </si>
  <si>
    <t>Revenue Sharing Agreement (BPA)</t>
  </si>
  <si>
    <t>How many scenarios are considered for computation of PoC Charges and Losses for 2012-2013 ?</t>
  </si>
  <si>
    <t>Which of the following is not Designated ISTS Customer (DIC) ?</t>
  </si>
  <si>
    <t>Both Southern Regiona and NEW Grid in 1:1 ratio</t>
  </si>
  <si>
    <t xml:space="preserve">As per the provisions of the regulation, YTC for the year 2013-14 will be revised </t>
  </si>
  <si>
    <t>Validation of Truncated Network</t>
  </si>
  <si>
    <t>PoC Injection Charge only</t>
  </si>
  <si>
    <t>Who is/are party to Revenue Sharing Agreement?</t>
  </si>
  <si>
    <t>ISTS Licensees and Non ISTS Licensees</t>
  </si>
  <si>
    <t>RPCs shall issue RTDA by ------- of every month to all designated ISTS Customers, CTU and other ISTS Licensees.</t>
  </si>
  <si>
    <t>Each State</t>
  </si>
  <si>
    <t xml:space="preserve">Uniform Rate </t>
  </si>
  <si>
    <t>OpenAccess</t>
  </si>
  <si>
    <t>Long term access means the right to use the inter-state transmission system for a period of __________</t>
  </si>
  <si>
    <t>exceeding 12 years but not exceeding 25 years</t>
  </si>
  <si>
    <t>upto 12 years</t>
  </si>
  <si>
    <t>From 10 years to 15 years</t>
  </si>
  <si>
    <t>exceeding 4 months</t>
  </si>
  <si>
    <t>exceeding 1 year but less than 12 years</t>
  </si>
  <si>
    <t>Stranded transmission capacity means the transmission capacity in the inter state transmission system which is likely to remain unutilized due to margins available _____</t>
  </si>
  <si>
    <t>in ISTS due to outage of ISGS</t>
  </si>
  <si>
    <t>in ISTS during real time operation due to change of utility demand</t>
  </si>
  <si>
    <t>due to relinquishment of access rights by a long term customer</t>
  </si>
  <si>
    <t>due to relinquishment of access rights by both long term and medium term open access customer</t>
  </si>
  <si>
    <t>A transaction of 200MW is taking place over a transmission link. The composition of transaction is as 100 MW Long term, 20 MW Medium Term, 30 MW Short Term bilateral and 50 MW Collective. Due to transmission constraints 20MW of transaction is to be curtailed. What would be the composition of transaction after curtailment?</t>
  </si>
  <si>
    <t>During curtailment of any transaction, what should the be order followed (for the first to the last)?</t>
  </si>
  <si>
    <t>Which of the following would hold true, in case of re-routing of power for an STOA transaction from ER-NR direct path to ER-WR-NR path</t>
  </si>
  <si>
    <t>Both Transmission charges &amp; Operating charges remain same</t>
  </si>
  <si>
    <t>An application received on 23rd April for scheduling on 16th May can be processed after______</t>
  </si>
  <si>
    <t>As per the approved e_bidding procedure for STOA,the minimum bid price is _____</t>
  </si>
  <si>
    <t>In case a transaction of 100MW RTC power for 10 days is curtailed by 50% due to transmission constraints, the operating charges would be payable for</t>
  </si>
  <si>
    <t>10days</t>
  </si>
  <si>
    <t>Revision of STOA schedules for Day ahead &amp; contingency can be done  for_______</t>
  </si>
  <si>
    <t>Which of the following should be furnished for downward revision of STOA under unit tripping?</t>
  </si>
  <si>
    <t xml:space="preserve">If, for a transaction approved for the entire month of June, the quantum is revised to zero for first ten days of month, then for how many days would the  operating charges be payable? </t>
  </si>
  <si>
    <t>18 days</t>
  </si>
  <si>
    <t>If, for a transaction approved for the entire month of June, the quantum is revised to zero for the entire month, then for how many days would the operating charges be payable?</t>
  </si>
  <si>
    <t>Long Term Open access means right to use transmission system for _______</t>
  </si>
  <si>
    <t>&gt; 12 yrs</t>
  </si>
  <si>
    <t>12yrs to 25 yrs</t>
  </si>
  <si>
    <t>&lt; 25Yrs</t>
  </si>
  <si>
    <t>A person who has applied for connectivity can apply simultaneously for ________</t>
  </si>
  <si>
    <t>LT access</t>
  </si>
  <si>
    <t>LT access &amp; MT Open Access</t>
  </si>
  <si>
    <t>LT Access, MT &amp; ST Open Access</t>
  </si>
  <si>
    <t>MTOA and STOA</t>
  </si>
  <si>
    <t>Inter State interface meters are to be installed by ___________</t>
  </si>
  <si>
    <t>An LT customer for 14 yrs would like to relinquish his LTA. The notice period given is 7 months. What would the estimated transmission charges as penalty be?</t>
  </si>
  <si>
    <t>66% of estimated transmission charges(NPV) for 1 year</t>
  </si>
  <si>
    <t>estimated transmission charges(NPV) for 1 year</t>
  </si>
  <si>
    <t>66% of estimated transmission charges(NPV) for 5 months</t>
  </si>
  <si>
    <t>100% of estimated tramsmission charges for 5 months</t>
  </si>
  <si>
    <t>An LT customer for 14 yrs would like to relinquish his LTA. The notice period given is 12.5 months. What would the estimated transmission charges as penalty be?</t>
  </si>
  <si>
    <t>66% of estimated transmission charges(NPV) for 6 months</t>
  </si>
  <si>
    <t>100% estimated transmission charges for 2.5 months</t>
  </si>
  <si>
    <t>An LT customer who has availed LT Access for 10 yrs would like to relinquish his LTA. The notice period given is 12 months. What would the estimated transmission charges as penalty be?</t>
  </si>
  <si>
    <t>66% of estimated transmission charges(NPV) for 2 years</t>
  </si>
  <si>
    <t>None of above*</t>
  </si>
  <si>
    <t>In case of under-utilization of granted MTOA, such transmission capacity may be released for ____</t>
  </si>
  <si>
    <t>Power exchanges</t>
  </si>
  <si>
    <t>Long-term access means right to use ISTS for periods</t>
  </si>
  <si>
    <t>exceeding 10 years but not exceeding 20 years</t>
  </si>
  <si>
    <t>exceeding 15 years but not exceeding 20 years</t>
  </si>
  <si>
    <t>exceeding 12 years but not exceeding 20 years</t>
  </si>
  <si>
    <r>
      <t xml:space="preserve">A hydro power plant (other than CPP) shall </t>
    </r>
    <r>
      <rPr>
        <sz val="9"/>
        <rFont val="Arial"/>
        <family val="2"/>
      </rPr>
      <t>not be requied to construct a dedicated transmission line for long-term access if its capacity is a minimum of</t>
    </r>
    <r>
      <rPr>
        <sz val="10"/>
        <color indexed="8"/>
        <rFont val="Arial"/>
        <family val="2"/>
      </rPr>
      <t/>
    </r>
  </si>
  <si>
    <t>While processing applications for long-term and medium term acceess priority is for</t>
  </si>
  <si>
    <t>If required, transmission capacity can be created for</t>
  </si>
  <si>
    <t>In the earlier Regulations on Open Access only these types of access were considered</t>
  </si>
  <si>
    <t>Long-term access and Medium term open access</t>
  </si>
  <si>
    <t>Long-term open access and Short term Open Access</t>
  </si>
  <si>
    <t>Medium term open access and Short-term Open Access</t>
  </si>
  <si>
    <t>Long term Access</t>
  </si>
  <si>
    <t>Application Fee for Connectivity for generating Station of 
greater than 1000 MW in Rs. Lakhs is</t>
  </si>
  <si>
    <t>UI rates</t>
  </si>
  <si>
    <t>Rs. 2.60 per unit</t>
  </si>
  <si>
    <t>Rs. 3.00 per unit</t>
  </si>
  <si>
    <t>in case connectivity of a generating station, including 
captive generating plant  or bulk consumer is granted to the inter-State 
transmission system of an inter-State transmission licensee other than the 
Central Transmission Utility, then Connection Agreement is to be signed between</t>
  </si>
  <si>
    <t>15 months</t>
  </si>
  <si>
    <t>The application for connectivity is to be processed with 90 days</t>
  </si>
  <si>
    <t xml:space="preserve">Medium-term open access means the right to use the inter-state transmission system for a period </t>
  </si>
  <si>
    <t xml:space="preserve">A STOA customer applies for the first time for a transaction and the concerned state  has necessary infrastructure for concurring the transaction. Latest within what period SLDC may concurr  the ‘no objection’ </t>
  </si>
  <si>
    <t>A STOA customer desires to undertake an advance STOA for the month of June’11. It would submit the application latest by</t>
  </si>
  <si>
    <t>20th April for month of June and July</t>
  </si>
  <si>
    <t>21st April for the month of July and 26th April for the month of June</t>
  </si>
  <si>
    <t>30th April for the month of July and 26th April for the month of June</t>
  </si>
  <si>
    <t>21st May  for the month of June and 20th June for the month of July</t>
  </si>
  <si>
    <t>During curtailment of any transaction, the order followed for the first to the last should be</t>
  </si>
  <si>
    <t>For an STOA contract of 100MW between DVC to PSEB with 2% DVC injection loss &amp; 1.5% PSEB withdrawal POC loss DVC would need to inject</t>
  </si>
  <si>
    <t>For an STOA contract of 100MW(after 1st october,2011) between DVC to PSEB with 2% DVC injection loss &amp; 1.5% PSEB withdrawal POC loss PSEB would be able to draw</t>
  </si>
  <si>
    <t>An application received on 12th March at 17:30 Hrs for scheduling on 13th march would be treated under</t>
  </si>
  <si>
    <t>An advancescheduling application received on 22nd June for the month of July can be processed as --------category</t>
  </si>
  <si>
    <t>A person who has applied for connectivity can apply simultaeneously for</t>
  </si>
  <si>
    <t>Rs/MW/Hr</t>
  </si>
  <si>
    <t>For an STOA contract of 100MWh between X and Y for three days, with either case of path ER-WR-NR or ER-NR direct, the transmission charges and total value if bill in case would differ by</t>
  </si>
  <si>
    <t>Only total bill would differ by Rs.6000/-</t>
  </si>
  <si>
    <t>Transmission charges increases but operating charge remain same</t>
  </si>
  <si>
    <t>Transmission charges remain same but operating charges increases</t>
  </si>
  <si>
    <t>An embedded injecting entity in Eastern in the state of A would transact power of 100 MW for 10hrs in a day for one day to an drawee entity in the state B which is located in the adjacent region.  Approved STOA is through direct link between the regions.  State commission of A has not come with the state transmission charge rate whereas state commission of B has declared the Transmission charge rate as 100/MWh.  Calculate the total transmission charge to be paid by the applicant</t>
  </si>
  <si>
    <t>adjustment of STOA charges paid by a DIC, would be done against.</t>
  </si>
  <si>
    <t>LTA wihout firmed up benficiaries for STOA to any region</t>
  </si>
  <si>
    <t>LTA wihout firmed up benficiaries for STOA availed to the same target region only</t>
  </si>
  <si>
    <t>PPA to the target region</t>
  </si>
  <si>
    <t>After permitting Advance and FCFS serve transactions</t>
  </si>
  <si>
    <t>After permitting Advance transactions only</t>
  </si>
  <si>
    <t>After permitting  FCFS serve transactions</t>
  </si>
  <si>
    <t xml:space="preserve">As per IE Act Transmission licensee cannot engage in </t>
  </si>
  <si>
    <t>generating &amp; trading</t>
  </si>
  <si>
    <t xml:space="preserve">Penalty(in percentage) for each day in case of default in payment of short term access charges </t>
  </si>
  <si>
    <t>Under which section of Electricity Act Definition of Open Access covered</t>
  </si>
  <si>
    <t>Section 2(47) of the Act</t>
  </si>
  <si>
    <t>Section 2(37) of the Act</t>
  </si>
  <si>
    <t>Section 1(47) of the Act</t>
  </si>
  <si>
    <t>Section 1(37) of the Act</t>
  </si>
  <si>
    <t>Section 38(2) of the Act</t>
  </si>
  <si>
    <t>Section 39(2) of the Act</t>
  </si>
  <si>
    <t>Section 40(c) of the Act</t>
  </si>
  <si>
    <t>Section 39(3) of the Act</t>
  </si>
  <si>
    <t>Presently For NEW Grid STOA Charges Slabs are in Rs/Mwh</t>
  </si>
  <si>
    <t>110.50,130.50150.50</t>
  </si>
  <si>
    <t>83.50,103.50,123.50</t>
  </si>
  <si>
    <t>111.90,131.90151.90</t>
  </si>
  <si>
    <t>During curtailment of any STOA transaction, the order followed should be</t>
  </si>
  <si>
    <t>An application received on a typical day say on 12th March at 17:30 Hrs for scheduling on 13th March would be treated under</t>
  </si>
  <si>
    <t>Each STOA transaction needs to have a rseolution of-----MW at each State/Regional Boundary</t>
  </si>
  <si>
    <t xml:space="preserve">Applications on day ahead basis can processed </t>
  </si>
  <si>
    <t>Two application for contingency for next day received at 18:15Hrs and 21:00 Hrs would be processed on</t>
  </si>
  <si>
    <t>After adjustment of STOA  charges against LTA charges paid, CTU would keep------% and disburse the remaining to paying DICs</t>
  </si>
  <si>
    <t>Possible fro all categories</t>
  </si>
  <si>
    <t>would be collected individually by licensees by billed by CTU</t>
  </si>
  <si>
    <t>UI</t>
  </si>
  <si>
    <t>What is meant by UI?</t>
  </si>
  <si>
    <t>deviation from schedule</t>
  </si>
  <si>
    <t xml:space="preserve"> deviation from actual</t>
  </si>
  <si>
    <t>difference between Declard Capability (DC) and Actual</t>
  </si>
  <si>
    <t xml:space="preserve"> difference between Entitlement and Requisition</t>
  </si>
  <si>
    <t>What is the expansion of APM?</t>
  </si>
  <si>
    <t>Administered Power Market</t>
  </si>
  <si>
    <t xml:space="preserve">UI is calculated as ____ </t>
  </si>
  <si>
    <t>What is the shortest time block for which UI is calculated?</t>
  </si>
  <si>
    <t>What is the Weekly Settlement Period of UI ?</t>
  </si>
  <si>
    <t>UI rate is specified in ______</t>
  </si>
  <si>
    <t>Which of the following statements is true w.r.t sign convention of UI</t>
  </si>
  <si>
    <t xml:space="preserve">As per CERC UI Regulations, a generating station means: </t>
  </si>
  <si>
    <t>A generator participating in UI mechanism.</t>
  </si>
  <si>
    <t>A generator with APM fuel.</t>
  </si>
  <si>
    <t>A generator whose tariff is fixed by Commission.</t>
  </si>
  <si>
    <t>A generator under ABT.</t>
  </si>
  <si>
    <t>UI rates are fixed by _____</t>
  </si>
  <si>
    <t>A mechanism to fix UI prices.</t>
  </si>
  <si>
    <t>What is the meaning of negative UI for a beneficiary?</t>
  </si>
  <si>
    <t>Overdrawal from grid.</t>
  </si>
  <si>
    <t>Under drawal from grid.</t>
  </si>
  <si>
    <t>Under requisition from ISGS.</t>
  </si>
  <si>
    <t>What is the UI treatment to Hydro stations, if it over generates on Day-1?</t>
  </si>
  <si>
    <t>Schedule will be made equal to Actual for Day-1</t>
  </si>
  <si>
    <t>Pay on Day-1 one and increase the Schedule of Day- 4 to the extent of UI on Day-1</t>
  </si>
  <si>
    <t xml:space="preserve">Pay on Day-1 one and reduce the Schedule of Day- 4 to the extent of UI on Day-1    </t>
  </si>
  <si>
    <t>Fix the schedule of D+1 to that of D-1</t>
  </si>
  <si>
    <t>Which of the following prepares UI accounts?</t>
  </si>
  <si>
    <t>Which of the following operates the UI pool account?</t>
  </si>
  <si>
    <t>When should the account of additional UI charges be issued?</t>
  </si>
  <si>
    <r>
      <t>every 10</t>
    </r>
    <r>
      <rPr>
        <vertAlign val="superscript"/>
        <sz val="10"/>
        <rFont val="Arial"/>
        <family val="2"/>
      </rPr>
      <t>th</t>
    </r>
    <r>
      <rPr>
        <sz val="10"/>
        <rFont val="Arial"/>
        <family val="2"/>
      </rPr>
      <t xml:space="preserve"> day</t>
    </r>
  </si>
  <si>
    <t>alongwith UI accounts</t>
  </si>
  <si>
    <t>UI charge, Normal interest, expenses, penal interest, additional charges</t>
  </si>
  <si>
    <t>UI &amp; additional charges, penal interest, Normal interest.</t>
  </si>
  <si>
    <t>expenses, penal interest, normal interest, UI &amp; additional charges.</t>
  </si>
  <si>
    <t>Penal interest, UI &amp; additional charges, normal interest, additional expenses.</t>
  </si>
  <si>
    <t>On which day would UI of a Hydro Station be adjusted?</t>
  </si>
  <si>
    <t>Next day</t>
  </si>
  <si>
    <r>
      <t>4</t>
    </r>
    <r>
      <rPr>
        <vertAlign val="superscript"/>
        <sz val="10"/>
        <rFont val="Arial"/>
        <family val="2"/>
      </rPr>
      <t>th</t>
    </r>
    <r>
      <rPr>
        <sz val="10"/>
        <rFont val="Arial"/>
        <family val="2"/>
      </rPr>
      <t xml:space="preserve"> day</t>
    </r>
  </si>
  <si>
    <r>
      <t>5</t>
    </r>
    <r>
      <rPr>
        <vertAlign val="superscript"/>
        <sz val="10"/>
        <rFont val="Arial"/>
        <family val="2"/>
      </rPr>
      <t>th</t>
    </r>
    <r>
      <rPr>
        <sz val="10"/>
        <rFont val="Arial"/>
        <family val="2"/>
      </rPr>
      <t xml:space="preserve"> day</t>
    </r>
  </si>
  <si>
    <t>What is the due date for UI payments from the date of issue of the UI A/c?</t>
  </si>
  <si>
    <t>When will interest on late payment to UI Pool Account be levied ?</t>
  </si>
  <si>
    <t>What is the interest payable for delay in UI payment?</t>
  </si>
  <si>
    <t xml:space="preserve">Disbursement of available UI amount by RLDCs is to be done, ______ </t>
  </si>
  <si>
    <t xml:space="preserve">For what period would interest  be calculated if there is delay or default in payment of UI charges? </t>
  </si>
  <si>
    <t xml:space="preserve">separate account for principal amount, interest  and additional charges      </t>
  </si>
  <si>
    <t>For which of the following purposes can surplus amount accrued in UI pool be utilized?</t>
  </si>
  <si>
    <t>Servicing of investment  of transmission system of strategic importance not utilized  upto optimum level</t>
  </si>
  <si>
    <t xml:space="preserve">Providing Ancillary services </t>
  </si>
  <si>
    <t xml:space="preserve">Soft loans for Capacitor installation </t>
  </si>
  <si>
    <t>Servicing of investment  of transmission system of strategic importance not utilized  upto optimum level &amp; Ancillary services</t>
  </si>
  <si>
    <t xml:space="preserve">UI is a part of </t>
  </si>
  <si>
    <t>Settlement system</t>
  </si>
  <si>
    <t>Balancing Mechanism</t>
  </si>
  <si>
    <t xml:space="preserve">Availability based tariff </t>
  </si>
  <si>
    <t>a,b and c</t>
  </si>
  <si>
    <t>UI is computed for</t>
  </si>
  <si>
    <t>every 7 DAY PERIOD</t>
  </si>
  <si>
    <t>UI rate is specified for</t>
  </si>
  <si>
    <t>Frequency linked despatch guideline mean</t>
  </si>
  <si>
    <t>despach of costly generation under surplus condition</t>
  </si>
  <si>
    <t>despatch of costly generation under deficit condition</t>
  </si>
  <si>
    <t>shutdown a costly generation under deficit condition</t>
  </si>
  <si>
    <t>shut down a cheap generator under deficit conditions</t>
  </si>
  <si>
    <t xml:space="preserve">As per UI Regulations, a generating station means </t>
  </si>
  <si>
    <t>A generating station participating in UI mechanism</t>
  </si>
  <si>
    <t xml:space="preserve">A generator with APM fuel </t>
  </si>
  <si>
    <t>A generator whose tariff is fixed by Commission</t>
  </si>
  <si>
    <t>A generator under ABT</t>
  </si>
  <si>
    <t>UI Account is issued</t>
  </si>
  <si>
    <t>Available Transfer Capacity is</t>
  </si>
  <si>
    <t>In lieu of UI charges</t>
  </si>
  <si>
    <t xml:space="preserve">In addition to the UI charges </t>
  </si>
  <si>
    <t xml:space="preserve">Rate of congestion charge </t>
  </si>
  <si>
    <t xml:space="preserve">Equal to maximum UI charge </t>
  </si>
  <si>
    <t>Less than maximum UI charge &amp; UI price at 50.0 Hz</t>
  </si>
  <si>
    <t>Little higher than the difference between the maximum UI charge &amp; UI price at 50.0 Hz</t>
  </si>
  <si>
    <t xml:space="preserve">Congestion charge applicable to all regions </t>
  </si>
  <si>
    <t>At frequency &lt; 50 Hz, congestion charge would be levied for</t>
  </si>
  <si>
    <t>No congestion charges for exporting control area</t>
  </si>
  <si>
    <t>At frequency &gt; 50 Hz, Congestion caused by</t>
  </si>
  <si>
    <t xml:space="preserve">Overdrawing utility </t>
  </si>
  <si>
    <t>Utility injecting power into the congested transmission corridor</t>
  </si>
  <si>
    <t>Overdrawing utility &amp; Utility injecting power into the congested transmission corridor</t>
  </si>
  <si>
    <t>Which type of Bidding Mechanism is prevalent for Day Ahead Market in a Power Exchange?</t>
  </si>
  <si>
    <t>single sided open auction</t>
  </si>
  <si>
    <t>double sided open auction</t>
  </si>
  <si>
    <t>single sided closed auction</t>
  </si>
  <si>
    <t>double sided closed auction</t>
  </si>
  <si>
    <t>Power Exchange(s) carry out congestion management in Day Ahead Market using ___</t>
  </si>
  <si>
    <t>Redispatching</t>
  </si>
  <si>
    <t>Which of the following are functions carried out by a Power Exchange?</t>
  </si>
  <si>
    <t>Matching of supply and demand</t>
  </si>
  <si>
    <t>Dissemination of Price discovered</t>
  </si>
  <si>
    <t>Risk Management</t>
  </si>
  <si>
    <t xml:space="preserve">Bids on a constant volume in MWh/h at a certain price in a defined period of  consecutive hours, with a condition of all or none is known as, ____ </t>
  </si>
  <si>
    <t>Which of the following represents a congestion management method where auctioning of the available inter-connector capacity is carried out and the capacity reservation is done on the basis of the highest bids received?</t>
  </si>
  <si>
    <t>Which of the following is the pricing philosophy used in the Day Ahead Power Exchanges?</t>
  </si>
  <si>
    <t>What is the Penalty(in percentage) charged for each day  in case of default in payment of short term open access charges?</t>
  </si>
  <si>
    <t xml:space="preserve">Which of the following most appropriately definesTerm Ahead market” </t>
  </si>
  <si>
    <t xml:space="preserve">A market where physical delivery of electricity occurs more than one day (T + 2 or more) ahead from the date of transaction (T) </t>
  </si>
  <si>
    <t>A market where physical delivery of electricity  occurs either on the same day as the date of the transaction (T) or on the next day (T+ 1)</t>
  </si>
  <si>
    <t xml:space="preserve">A market where physical delivery of electricity occurs more than two days(T + 3 or more) ahead from the date of transaction (T) </t>
  </si>
  <si>
    <t xml:space="preserve">more than four day (T + 5 or more) ahead from the date of transaction (T) </t>
  </si>
  <si>
    <t xml:space="preserve">Contracts where the capacity of a generating station is booked in advance and consideration is paid by the buyer with the right to require the generator to despatch electricity as and when required is known as________ </t>
  </si>
  <si>
    <t>In case of e-bidding process,what are the charges payable by the applicant if he gets approval for scheduling equal to the scheduling request sought by him?</t>
  </si>
  <si>
    <t>charges quoted by him</t>
  </si>
  <si>
    <t>charges quoted by the last Applicant getting approval of its full scheduling request</t>
  </si>
  <si>
    <t>charges quoted by the second last Applicant getting approval of its full scheduling request</t>
  </si>
  <si>
    <t>charges quoted by the first Applicant getting approval of its full scheduling request</t>
  </si>
  <si>
    <t>In case of refunds arising due to curtailment/revision of Bilateral transactions during the previous month, when shall the same be disbursed to the concerned applicants?</t>
  </si>
  <si>
    <t>What is an Inter-State market where buyers and sellers directly transact or transact through an Electricity Trader known as?</t>
  </si>
  <si>
    <t>Farward market</t>
  </si>
  <si>
    <t>What is the margin available for processing the Collective Transactions through Power Exchange?</t>
  </si>
  <si>
    <t>margin available  after permitting advance and first-come-first-serve transactions</t>
  </si>
  <si>
    <t>margin available  after permitting advance  transactions only</t>
  </si>
  <si>
    <t>margin available  after permitting  first-come-first-serve transactions</t>
  </si>
  <si>
    <t xml:space="preserve">Operating Charges for Collective Transactions payable to SLDCs
</t>
  </si>
  <si>
    <t>PowerSupplyRegs</t>
  </si>
  <si>
    <t>Who prepares the implementation plan of power supply regulation for a intra regional entity</t>
  </si>
  <si>
    <t>Notice for regulation of power supply can be withdrawn by giving a advance intimation of……………… days.</t>
  </si>
  <si>
    <t>The date from which the default in payment or default in maintaining Letter of Credit or any other agreedPayment Security Mechanism has been established is called</t>
  </si>
  <si>
    <t>TCT</t>
  </si>
  <si>
    <t>Present tariff regulations are valid for a period of___________from 01.04.09</t>
  </si>
  <si>
    <t>When is the earliest date for filing of Tariff Petition in case of CERC  Terms and Conditions of Tariff Regulations 2009-14?</t>
  </si>
  <si>
    <t>What is the value of equity?</t>
  </si>
  <si>
    <t>What is the debt: equity ratio allowed by CERC for the control period 09-14?</t>
  </si>
  <si>
    <t>What is the base rate of return on equity?</t>
  </si>
  <si>
    <t xml:space="preserve"> Normative O&amp;M expenditure of Sub-station </t>
  </si>
  <si>
    <t>Under fuel shortage conditions, the Average DC of Thermal Station is equal to</t>
  </si>
  <si>
    <t xml:space="preserve">Average value for all the 96 blocks in the day   </t>
  </si>
  <si>
    <t xml:space="preserve">Average value declared during the peak hours   </t>
  </si>
  <si>
    <t xml:space="preserve">Maximum value of schedule given during peak hours   </t>
  </si>
  <si>
    <t>Maximum generation reached during off peak hours</t>
  </si>
  <si>
    <t>Shared on 75:25 basis with beneficiaries</t>
  </si>
  <si>
    <t xml:space="preserve">What is the relation between unit size and Auxiliary consumption? </t>
  </si>
  <si>
    <t xml:space="preserve">Auxilliary consumption is less as unit size increases  </t>
  </si>
  <si>
    <t>For  how many years a tariff Regulation of CERC  is applicable</t>
  </si>
  <si>
    <t xml:space="preserve">1 Year </t>
  </si>
  <si>
    <t xml:space="preserve">10 years </t>
  </si>
  <si>
    <t xml:space="preserve">Rate of Pre tax return allowed in tariff period 2009-14 is  </t>
  </si>
  <si>
    <t xml:space="preserve">Additional return of 0.5%  would be available if  a 400 kV Twin conductor transmission line  in plain area is completed in </t>
  </si>
  <si>
    <t>24 months</t>
  </si>
  <si>
    <t>28 months</t>
  </si>
  <si>
    <t>36 months</t>
  </si>
  <si>
    <t>40 months</t>
  </si>
  <si>
    <t xml:space="preserve">Debt Equity ratio allowed in projects declared under commercial operation after 1.4.2009 is </t>
  </si>
  <si>
    <t>40:60</t>
  </si>
  <si>
    <t>Normative Annual Transmission System Availability factor is 95% for</t>
  </si>
  <si>
    <t>AC Substation</t>
  </si>
  <si>
    <t>AC Transmission Line</t>
  </si>
  <si>
    <t>HVDC bi-pole link</t>
  </si>
  <si>
    <t>HVDC Back-to-back Substation</t>
  </si>
  <si>
    <t xml:space="preserve">Depreciation rates for different assets are assigned in 2009-14 Regulations such as to arrive at Weighted Average depreciation rates of  </t>
  </si>
  <si>
    <t xml:space="preserve">Total O&amp; M charges are apportioned  between sub station and line in the ratio of </t>
  </si>
  <si>
    <t>How much wage hike has been considered for Employee cost in O&amp; M norms</t>
  </si>
  <si>
    <t xml:space="preserve">In how many days tariff petition is to be disposed by the Commission </t>
  </si>
  <si>
    <t>120 days</t>
  </si>
  <si>
    <t>No time limit</t>
  </si>
  <si>
    <t>Guideline for tariff determination is given in following section of Electricity Act,2003</t>
  </si>
  <si>
    <t xml:space="preserve">For utility  having multiple income streams which method of return is better </t>
  </si>
  <si>
    <t>Pre Tax</t>
  </si>
  <si>
    <t>Post Tax</t>
  </si>
  <si>
    <t>Both have same effect</t>
  </si>
  <si>
    <t>Depend on tax rate</t>
  </si>
  <si>
    <t xml:space="preserve">A petition can be filed in the Commission for tariff determination </t>
  </si>
  <si>
    <t>After commissioning of Assets</t>
  </si>
  <si>
    <t xml:space="preserve"> At the time of project approval</t>
  </si>
  <si>
    <t xml:space="preserve">Upto six month before anticipated commissioning </t>
  </si>
  <si>
    <t xml:space="preserve">One year before the Commissioning </t>
  </si>
  <si>
    <t xml:space="preserve">Impact of Discontinuation of Advance against Depreciation on utility  is </t>
  </si>
  <si>
    <t>Positive</t>
  </si>
  <si>
    <t xml:space="preserve">Negative </t>
  </si>
  <si>
    <t xml:space="preserve">No Impact </t>
  </si>
  <si>
    <t>Uncertain</t>
  </si>
  <si>
    <t xml:space="preserve">No rebate </t>
  </si>
  <si>
    <t xml:space="preserve"> Fixed charges of two month</t>
  </si>
  <si>
    <t xml:space="preserve"> Interest of two months</t>
  </si>
  <si>
    <t xml:space="preserve">The target availability of Generating projects in 2009-14 regulation is </t>
  </si>
  <si>
    <t xml:space="preserve">The target heat rate for  500 MW existing coal based project in 2009-14  is </t>
  </si>
  <si>
    <t xml:space="preserve"> 2425 kCal /kWh</t>
  </si>
  <si>
    <t>Any day</t>
  </si>
  <si>
    <t xml:space="preserve">Main Components of Annual Fixed charges are </t>
  </si>
  <si>
    <t>On timely completion of power project an additional ROE  shall be given at the rate of  ---.</t>
  </si>
  <si>
    <t>No additional ROE</t>
  </si>
  <si>
    <t xml:space="preserve">Depriciation allowed for Transmission line in 2009-14 regulation as compare to 2004-09 regulation is </t>
  </si>
  <si>
    <t>More</t>
  </si>
  <si>
    <t>Less</t>
  </si>
  <si>
    <t xml:space="preserve">Not comparable </t>
  </si>
  <si>
    <t>The O&amp; M charges for 400 kV Sub station bay during 2009-10 to 2013-14 would vary approx between</t>
  </si>
  <si>
    <t>Rs. 52 lakh to 66 lakh</t>
  </si>
  <si>
    <t xml:space="preserve">36 - 46 lakh </t>
  </si>
  <si>
    <t>73 - 92 lakh</t>
  </si>
  <si>
    <t>26 - 33 lakh</t>
  </si>
  <si>
    <t xml:space="preserve">For Talcher  Kolar HVDC bipole  O &amp; M charges during 2009-10 was allowed </t>
  </si>
  <si>
    <t>700 lakh</t>
  </si>
  <si>
    <t>450 lakh</t>
  </si>
  <si>
    <t>1700 lakh</t>
  </si>
  <si>
    <t>1450 lakh</t>
  </si>
  <si>
    <t xml:space="preserve">as per prepailing bank interest </t>
  </si>
  <si>
    <t xml:space="preserve">15 per month </t>
  </si>
  <si>
    <t xml:space="preserve">Provisional tariff can be granted upto </t>
  </si>
  <si>
    <t>The auxiliary Consumption norms for  500 MW thermal station in 2009-14 regulation as compared  to 2004-09 regulation is:</t>
  </si>
  <si>
    <t>increased by 0.5%</t>
  </si>
  <si>
    <t>reduced by 1%</t>
  </si>
  <si>
    <t>Increased by 1%</t>
  </si>
  <si>
    <t>Reduced by 0.5%</t>
  </si>
  <si>
    <t>Gas Based Generating Station</t>
  </si>
  <si>
    <t xml:space="preserve">Income tax on UI income of generation stations is borne in 2009-14 Regulation by </t>
  </si>
  <si>
    <t xml:space="preserve">Truing up of the tariff   for 2009-14 shall be carried out </t>
  </si>
  <si>
    <t>During 2013-14</t>
  </si>
  <si>
    <t>During 2014-15</t>
  </si>
  <si>
    <t>No truing up of tariff is required in 2009-14 period</t>
  </si>
  <si>
    <t xml:space="preserve">Useful life  will be used in computation of tariff  for </t>
  </si>
  <si>
    <t>For new hydro generating stations commissioned after  1.4.2009  O&amp; M Cost fixed for first year is:</t>
  </si>
  <si>
    <t>1% of capaital cost</t>
  </si>
  <si>
    <t>2% of capital cost</t>
  </si>
  <si>
    <t>Lumpsum payment of Rs. 10 lakh per MW</t>
  </si>
  <si>
    <t>On actual basis</t>
  </si>
  <si>
    <t xml:space="preserve">Cut off date in 2004-09 regulation is </t>
  </si>
  <si>
    <t>Date of Commercial operation</t>
  </si>
  <si>
    <t>After one year of commercial operation</t>
  </si>
  <si>
    <t>after two year of commercial operation</t>
  </si>
  <si>
    <t>To be decided on case to case basis</t>
  </si>
  <si>
    <t xml:space="preserve">O&amp; M charges for Double circuit Single Conductor AC lines in  year 2009-10 in Rs Lakh  per km is approximately </t>
  </si>
  <si>
    <t xml:space="preserve">After truing up adjusted in tariff shall be done for under recovery and over recovery  at </t>
  </si>
  <si>
    <t xml:space="preserve">Long term weighted average cost of debt </t>
  </si>
  <si>
    <t xml:space="preserve">On actual basis </t>
  </si>
  <si>
    <t>9.5 per annum</t>
  </si>
  <si>
    <t xml:space="preserve">The provisional tariff  in  case of tariff petition </t>
  </si>
  <si>
    <t>Allowed  publication of original Tariff regulation 2009-14</t>
  </si>
  <si>
    <t xml:space="preserve"> Allowed only for old assets  on case to case basis </t>
  </si>
  <si>
    <t xml:space="preserve">Not allowed </t>
  </si>
  <si>
    <t xml:space="preserve"> Allowed after first amendment in 2011 </t>
  </si>
  <si>
    <t xml:space="preserve">Replacement of switchyard equipment in case of fault level increase is allowed under additional capitalization after cut off date </t>
  </si>
  <si>
    <t>Allowed only after prior approval of commission</t>
  </si>
  <si>
    <t>CEA approval needs to be shown</t>
  </si>
  <si>
    <t>As per Tariff Policy Return  is to be based on</t>
  </si>
  <si>
    <t>ROE</t>
  </si>
  <si>
    <t>ROC</t>
  </si>
  <si>
    <t>Either ROC or ROC</t>
  </si>
  <si>
    <t>Discretion of CERC</t>
  </si>
  <si>
    <t>National Electricity Plan is to be prepared by</t>
  </si>
  <si>
    <t xml:space="preserve">The Energy Regulator for India is </t>
  </si>
  <si>
    <t>Ministry of Finance</t>
  </si>
  <si>
    <t>Transmission was recognized as a distinct activity and private sector participation was allowed in</t>
  </si>
  <si>
    <t>Private sector participation in power generation was allowed in</t>
  </si>
  <si>
    <t>Captive generation was delicensed in</t>
  </si>
  <si>
    <t>CERC was constituted in</t>
  </si>
  <si>
    <t>Technical standards for electric lines and connectivity to the grid are to be specified by</t>
  </si>
  <si>
    <t>Conditions for installation of meters for transmission and supply are specified by</t>
  </si>
  <si>
    <t>CTU &amp; STUs</t>
  </si>
  <si>
    <t>Central Advisory Committee is notified by</t>
  </si>
  <si>
    <t>FOR</t>
  </si>
  <si>
    <t>The fees collected by CERC shall go into</t>
  </si>
  <si>
    <t>Consolidated funds of GOI</t>
  </si>
  <si>
    <t>Funds constituted by the CERC</t>
  </si>
  <si>
    <t>CSR activities</t>
  </si>
  <si>
    <t>Clean Energy Fund</t>
  </si>
  <si>
    <t>Special courts are constituted by</t>
  </si>
  <si>
    <t>High Court of the State</t>
  </si>
  <si>
    <t>Term of office of Chairperson of CERC is normally</t>
  </si>
  <si>
    <t>5 years maximum</t>
  </si>
  <si>
    <t>As may be decided by the central government</t>
  </si>
  <si>
    <t>Special courts are constituted for dealing with</t>
  </si>
  <si>
    <t>Cases related to financial irregularities of Members of ERCs</t>
  </si>
  <si>
    <t>Theft related cases</t>
  </si>
  <si>
    <t>Tariff related issues</t>
  </si>
  <si>
    <t>Cases referred to it by APTEL</t>
  </si>
  <si>
    <t>Directions can be issued to an RLDC by</t>
  </si>
  <si>
    <t>CTU/ STU</t>
  </si>
  <si>
    <t>RLDC shall issue all directions to a state transmission utility through</t>
  </si>
  <si>
    <t>Directly</t>
  </si>
  <si>
    <t>Regional Power Committees are established by</t>
  </si>
  <si>
    <t>CERC in consultation with SERCs</t>
  </si>
  <si>
    <t>Responsibility to provide electricity access to all in rural areas</t>
  </si>
  <si>
    <t>Concerned State Government</t>
  </si>
  <si>
    <t>Central &amp; concerned State Governments jointly</t>
  </si>
  <si>
    <t>A franchisee can distribute electricity in an area of a licensee when authorized by</t>
  </si>
  <si>
    <t>Local Government</t>
  </si>
  <si>
    <t>The Licensee</t>
  </si>
  <si>
    <t>Regulatory Commission</t>
  </si>
  <si>
    <t>Concurrence of CEA is required for setting up power plants in case of</t>
  </si>
  <si>
    <t>Solar power plants</t>
  </si>
  <si>
    <t>Super critical thermal plants</t>
  </si>
  <si>
    <t>Hydropower plants with estimated costs exceeding a specified limit</t>
  </si>
  <si>
    <t>Only storage hydropower projects</t>
  </si>
  <si>
    <t>Licensing for generation and distribution of electricity in a rural area</t>
  </si>
  <si>
    <t>Required in all cases</t>
  </si>
  <si>
    <t>Not required if area notified by the State Government as rural area</t>
  </si>
  <si>
    <t>Not required if recommended by the REC</t>
  </si>
  <si>
    <t>Not required if generation is from RE sources</t>
  </si>
  <si>
    <t>Owner of captive generator must have</t>
  </si>
  <si>
    <t>Minimum 10% equity in the captive generation</t>
  </si>
  <si>
    <t>Minimum 51% equity in the captive generation</t>
  </si>
  <si>
    <t>Minimum 26% equity in the captive generation</t>
  </si>
  <si>
    <t>100% equity in the captive generation</t>
  </si>
  <si>
    <t>What is the maximum percentage of his generation that a captive generator can sell annually to outside  parties to retain captive status</t>
  </si>
  <si>
    <t>Captive generation can be established by</t>
  </si>
  <si>
    <t>Only a corporate body</t>
  </si>
  <si>
    <t>Only an association of persons</t>
  </si>
  <si>
    <t>Only by a cooperative society</t>
  </si>
  <si>
    <t>Any company or body corporate or association or body of individuals, whether incorporated or not, or artificial juridical person</t>
  </si>
  <si>
    <t>For wheeling captive generation from place of generation to place of  captive use</t>
  </si>
  <si>
    <t>Cross subsidy surcharge as determined by the Appropriate Commission has be paid</t>
  </si>
  <si>
    <t>Twice the cross subsidy surcharge as determined by the Appropriate Commission has be paid</t>
  </si>
  <si>
    <t>Half the cross subsidy surcharge as determined by the Appropriate Commission has be paid</t>
  </si>
  <si>
    <t>No cross subsidy surcharge is required to be paid</t>
  </si>
  <si>
    <t>For wheeling surplus captive generation from place of generation to any consumer</t>
  </si>
  <si>
    <t>Where price of electricity has been discovered through competitive bidding</t>
  </si>
  <si>
    <t>The same shall be adopted by the Commission</t>
  </si>
  <si>
    <t>The same shall can be modified as per the Regulations of the appropriate Commission</t>
  </si>
  <si>
    <t>The same shall can be reviewed by CERC</t>
  </si>
  <si>
    <t>The same shall can be reviewed by the appropriate government</t>
  </si>
  <si>
    <t>Case I competitive bidding is meant for</t>
  </si>
  <si>
    <t>Procurement of power from sources which are fuel specific</t>
  </si>
  <si>
    <t>Procurement of power from sources which are location specific</t>
  </si>
  <si>
    <t>Procurement of power from sources which are neither fuel specific nor location specific</t>
  </si>
  <si>
    <t>Procurement of power from traders only</t>
  </si>
  <si>
    <t>Case II competitive bidding is meant for</t>
  </si>
  <si>
    <t>Procurement of power from sources which are fuel specific and  location specific</t>
  </si>
  <si>
    <t>Case I and Case II bidding guidelines have been issued by</t>
  </si>
  <si>
    <t>For the purpose of meeting RPO Obligation</t>
  </si>
  <si>
    <t>Only distribution licensee is considered to be obligated entity</t>
  </si>
  <si>
    <t>Only open access consumer is considered to be obligated entity</t>
  </si>
  <si>
    <t>Only consumer of captive generation connected to grid is considered to be obligated entity</t>
  </si>
  <si>
    <t>Distribution licensee, open access consumer and consumer of captive generation connected to grid are considered to be obligated entity</t>
  </si>
  <si>
    <t>RPO Obligation for each state is as per</t>
  </si>
  <si>
    <t>The guidelines for RPO Obligations as per the National Action plan on Climate Change</t>
  </si>
  <si>
    <t>The RPO Obligations set out in the Regulations of Appropriate ERC</t>
  </si>
  <si>
    <t>As per guidelines of CERC</t>
  </si>
  <si>
    <t>As per guidelines of the state government</t>
  </si>
  <si>
    <t>The EA 2003 envisaged that no licensee shall supply electricity, after the expiry of -----------years, except through installation of a correct meter</t>
  </si>
  <si>
    <t>Five</t>
  </si>
  <si>
    <t>The transfer scheme of personnel from integrated utilities to generation company STU and distribution companies envisaged</t>
  </si>
  <si>
    <t>Terms and condition to be negotiated between transferred personnel and the companies involved</t>
  </si>
  <si>
    <t>Terms and condition as decided by SERC</t>
  </si>
  <si>
    <t>Such terms and conditions which would not in any way be less favourable than those which would have been applicable to them if there had been no such transfer under the transfer scheme</t>
  </si>
  <si>
    <t>Terms and condition as decided by central government</t>
  </si>
  <si>
    <t xml:space="preserve"> Tariff Policy aims at</t>
  </si>
  <si>
    <t>Elimination of cross subsidy</t>
  </si>
  <si>
    <t>Latest by the end of year 2010-2011 tariffs are within ± 20 % of the average cost of supply</t>
  </si>
  <si>
    <t>Latest by the end of year 2013-2014 tariffs are within ± 20 % of the average cost of supply</t>
  </si>
  <si>
    <t>Latest by the end of year 2010-2011 tariffs are within ± 25 % of the average cost of supply</t>
  </si>
  <si>
    <t>Central Government can  give directions to Central Commission</t>
  </si>
  <si>
    <t>On any issue it considers fit</t>
  </si>
  <si>
    <t>On policy issues which involve public interest</t>
  </si>
  <si>
    <t>On tariff issue only</t>
  </si>
  <si>
    <t>On non-tariff issues only</t>
  </si>
  <si>
    <t>Forum of Regulators comprise of</t>
  </si>
  <si>
    <t>All Members of CERC and SERC</t>
  </si>
  <si>
    <t>All Members of CERC and Chairperson of  SERC</t>
  </si>
  <si>
    <t>Chairperson of CERC and Chairperson and Members of  SERC</t>
  </si>
  <si>
    <t>Chairperson of the Central Commission and Chairpersons of the State Commissions</t>
  </si>
  <si>
    <t>Open Access in distribution</t>
  </si>
  <si>
    <t>Is available to all consumers irrespective of demand</t>
  </si>
  <si>
    <t>Is available to all consumers with demand greater than one MW</t>
  </si>
  <si>
    <t>Is available to all HT industrial consumers only</t>
  </si>
  <si>
    <t>Is available to all consumers with demand greater than two MW</t>
  </si>
  <si>
    <t>Every person is entitled to receive electricity from distribution licensee of his area</t>
  </si>
  <si>
    <t>Within two months after receipt of the application requiring such supply</t>
  </si>
  <si>
    <t>Within six months after receipt of the application requiring such supply</t>
  </si>
  <si>
    <t>Within such period as is convenient to the distribution licensee</t>
  </si>
  <si>
    <t>Within one month after receipt of the application requiring such supply</t>
  </si>
  <si>
    <t>In case of unauthorized use of electricity</t>
  </si>
  <si>
    <t>The assessment of unauthorized use shall be a maximum of 6 months and the assessment shall be made at twice the rate of the applicable category</t>
  </si>
  <si>
    <t>The assessment of unauthorized use shall be a maximum of 18 months and the assessment shall be made at twice the rate of the applicable category</t>
  </si>
  <si>
    <t>The assessment of unauthorized use shall be a maximum of 12 months and the assessment shall be made at twice the rate of the applicable category</t>
  </si>
  <si>
    <t>The assessment of unauthorized use shall be a maximum of 12 months and the assessment shall be made at thrice the rate of the applicable category</t>
  </si>
  <si>
    <t>The National Electricity Policy aims at</t>
  </si>
  <si>
    <t>Supply of Reliable and Quality Power of specified standards in an efficient manner and at reasonable rates</t>
  </si>
  <si>
    <t>Supply of Reliable and Quality Power of specified standards in an efficient manner and at market determined rates</t>
  </si>
  <si>
    <t>Supply of Reliable and Quality Power of specified standards in an efficient manner and at rates as per actual cost of supply to each consumer category</t>
  </si>
  <si>
    <t>Supply of Reliable and Quality Power of specified standards in an efficient manner at average power purchase cost</t>
  </si>
  <si>
    <t>Per capita availability of electricity to be increased to over 1000 units by 2012</t>
  </si>
  <si>
    <t>Per capita availability of electricity to be increased to over 1000 units by 2015</t>
  </si>
  <si>
    <t>Per capita availability of electricity to be increased to over 800 units by 2012</t>
  </si>
  <si>
    <t>Per capita availability of electricity to be increased to over 1500 units by 2012</t>
  </si>
  <si>
    <t xml:space="preserve">If RPO Obligation is not met by an obligated entity </t>
  </si>
  <si>
    <t>Financial penalty</t>
  </si>
  <si>
    <t>No penalty</t>
  </si>
  <si>
    <t>RPO Obligation can be carried forward</t>
  </si>
  <si>
    <t>RPO Obligation can be transferred to other entities</t>
  </si>
  <si>
    <t>Central government can  give directions to Central Commission</t>
  </si>
  <si>
    <t>National electricity Plan is required to be prepared by</t>
  </si>
  <si>
    <t>Committee formed by Central Government</t>
  </si>
  <si>
    <t>Regulations framed by the Appropriate Commission</t>
  </si>
  <si>
    <t>Are broad guidelines only</t>
  </si>
  <si>
    <t>Have the force of law</t>
  </si>
  <si>
    <t>Are required to be followed by distribution licensees only</t>
  </si>
  <si>
    <t>May not conform to the provisions of the Electricity Act, 2003</t>
  </si>
  <si>
    <t>In case government decides that tariff of a particular class of consumer be less than the tariff determined by the Commission</t>
  </si>
  <si>
    <t>The gap shall be filled up by state government subsidy</t>
  </si>
  <si>
    <t>The gap shall be filled up be cross subsidy</t>
  </si>
  <si>
    <t>The gap shall be filled up by central government subsidy</t>
  </si>
  <si>
    <t>The gap shall be carried forward to next year</t>
  </si>
  <si>
    <t>As per Tariff Policy, a part of new generating capacities, say ……. may be sold outside long-term PPAs</t>
  </si>
  <si>
    <t>As per Tariff Policy, tariffs for BPL  consumers will be at least …….. of the average cost of supply</t>
  </si>
  <si>
    <t>Under normal circumstances, appeal before Appellate Tribunal shall be disposed within …. Days of receipt of appeal</t>
  </si>
  <si>
    <t>The National Electricity Policy envisaged</t>
  </si>
  <si>
    <t>5% spinning reserve by end of 11th plan</t>
  </si>
  <si>
    <t>10% spinning reserve by end of 11th plan</t>
  </si>
  <si>
    <t>No  spinning reserve by end of 11th plan</t>
  </si>
  <si>
    <t>6% spinning reserve by end of 11th plan</t>
  </si>
  <si>
    <t xml:space="preserve">Rate of Post  tax return allowed for the storage type hydro generating station in tariff period 2009-14 is  </t>
  </si>
  <si>
    <t>Additional return of 0.5%  would be available if  a generating station of 2x500 MW  is completed before</t>
  </si>
  <si>
    <t>44  months</t>
  </si>
  <si>
    <t>50 months</t>
  </si>
  <si>
    <t xml:space="preserve">40 months </t>
  </si>
  <si>
    <t xml:space="preserve">Initial Spare allowed for a gas based generating station as a %  of capital cost is </t>
  </si>
  <si>
    <t>80.:20</t>
  </si>
  <si>
    <t>While computing depreciable value of asset following will be excluded</t>
  </si>
  <si>
    <t>Land</t>
  </si>
  <si>
    <t xml:space="preserve">What would be the opening capital cost in case of existing stations as on 1.4.2009 </t>
  </si>
  <si>
    <t>Capital cost as on COD</t>
  </si>
  <si>
    <t xml:space="preserve">Capital cost as on 1.4.2014 </t>
  </si>
  <si>
    <t>Capital cost as admitted by the Commission as on 31.3.2009</t>
  </si>
  <si>
    <t>Capital cost as admitted by the Commission as on 31.3.2009 trued up for un-discharged liabilities</t>
  </si>
  <si>
    <t>Normative Annual Plant Availability factor for thermal generating station is</t>
  </si>
  <si>
    <t>How many days are allowed  to the beneficiary for payment of bill  raised by the generating company without a surcharge</t>
  </si>
  <si>
    <t xml:space="preserve">30 days </t>
  </si>
  <si>
    <t xml:space="preserve">Tariff of thermal generating station is in </t>
  </si>
  <si>
    <t>four part</t>
  </si>
  <si>
    <t>O&amp; M Norms for thermal generating stations are specified  according to                                                                                       (1) Unit size (2) Type of fuel (3) Age (4) number of units</t>
  </si>
  <si>
    <t xml:space="preserve">1,2 &amp; 4 </t>
  </si>
  <si>
    <t>1&amp;3</t>
  </si>
  <si>
    <t>2&amp;4</t>
  </si>
  <si>
    <t xml:space="preserve">O &amp; M charges of Hydro stations are based on </t>
  </si>
  <si>
    <t>Norms</t>
  </si>
  <si>
    <t>actual of part 5 year period</t>
  </si>
  <si>
    <t>actual of past 3 year period</t>
  </si>
  <si>
    <t xml:space="preserve">actual of last year </t>
  </si>
  <si>
    <t xml:space="preserve">Compensation allowance is admissible to </t>
  </si>
  <si>
    <t>Coal/Lignite based thermal stations</t>
  </si>
  <si>
    <t xml:space="preserve"> gas based stations </t>
  </si>
  <si>
    <t>hydro station</t>
  </si>
  <si>
    <t>all types of stations</t>
  </si>
  <si>
    <t>How much wage hike has been factored in  Employee cost in O&amp; M norms</t>
  </si>
  <si>
    <t xml:space="preserve">In how many days tariff petition is to be disposed of by the Commission </t>
  </si>
  <si>
    <t xml:space="preserve">no time limit </t>
  </si>
  <si>
    <t>only beneficiary</t>
  </si>
  <si>
    <t xml:space="preserve">Only utility </t>
  </si>
  <si>
    <t>Maximum time period defined under  appendix-II for  timely completion of a extension unit of 660 MW</t>
  </si>
  <si>
    <t>44 months</t>
  </si>
  <si>
    <t>52 months</t>
  </si>
  <si>
    <t>Guideline for specifying Terms &amp; Condition of Tariff is to be governed by which  section of Electricity Act,2003</t>
  </si>
  <si>
    <t>section 15</t>
  </si>
  <si>
    <t>section 79</t>
  </si>
  <si>
    <t>section 61</t>
  </si>
  <si>
    <t xml:space="preserve">Return on equity admissible to the generating station is on </t>
  </si>
  <si>
    <t xml:space="preserve">Pre Tax Basis </t>
  </si>
  <si>
    <t xml:space="preserve">Post Tax basis </t>
  </si>
  <si>
    <t xml:space="preserve">After commissioning of project </t>
  </si>
  <si>
    <t>At the time of project approval</t>
  </si>
  <si>
    <t>One year before the Commissioning</t>
  </si>
  <si>
    <t xml:space="preserve">Tariff is payable </t>
  </si>
  <si>
    <t>daily</t>
  </si>
  <si>
    <t>yearly</t>
  </si>
  <si>
    <t xml:space="preserve">Impact of Discontinuation of Advance against Depreciation on beneficiaries  is </t>
  </si>
  <si>
    <t>Negative</t>
  </si>
  <si>
    <t>uncertain</t>
  </si>
  <si>
    <t>No rebate</t>
  </si>
  <si>
    <t xml:space="preserve">Compensation allowance is admissible in the 13 year is </t>
  </si>
  <si>
    <t>0.15 Lakh/MW</t>
  </si>
  <si>
    <t xml:space="preserve"> 0.35 Lakh/MW</t>
  </si>
  <si>
    <t xml:space="preserve">0.65 Lakh/MW </t>
  </si>
  <si>
    <t xml:space="preserve">0.00 Lakh/MW </t>
  </si>
  <si>
    <t xml:space="preserve">The Station  heat rate norm for  500 MW existing coal based project in 2009-14  is </t>
  </si>
  <si>
    <t xml:space="preserve"> 2500 kCal /kWh</t>
  </si>
  <si>
    <t>2425 kCal /kWh</t>
  </si>
  <si>
    <t>2600 kCal /kWh</t>
  </si>
  <si>
    <t xml:space="preserve">35 years </t>
  </si>
  <si>
    <t>Special allowance which may be opted by the generating station after useful life</t>
  </si>
  <si>
    <t>Rs 5 Lakh/MW in 2009-10   escalated @5.72% every year</t>
  </si>
  <si>
    <t>Rs 6 Lakh/MW in 2008-9   escalated @5.72% every year</t>
  </si>
  <si>
    <t>Rs7. 5 Lakh/MW in 2009-10   escalated @5.72% every year</t>
  </si>
  <si>
    <t xml:space="preserve">Rs 5 Lakh/MW in 2009-10   escalated @7% every year </t>
  </si>
  <si>
    <t xml:space="preserve">On timely completion  additional ROE  shall be given </t>
  </si>
  <si>
    <t xml:space="preserve">Salvage value for asset for the purpose of depreciation is considered as </t>
  </si>
  <si>
    <t xml:space="preserve">The depreciation is spread over useful life after </t>
  </si>
  <si>
    <t>10 year</t>
  </si>
  <si>
    <t>12 year</t>
  </si>
  <si>
    <t>13 year</t>
  </si>
  <si>
    <t>14 year</t>
  </si>
  <si>
    <t>as per prevailing bank interest rate</t>
  </si>
  <si>
    <t xml:space="preserve">9.5 per annum </t>
  </si>
  <si>
    <t xml:space="preserve">Provisional tariff can be granted up to </t>
  </si>
  <si>
    <t>What is norm of Maintenance spares for the coal based stations in working capital calculations</t>
  </si>
  <si>
    <t xml:space="preserve"> 25% of O&amp;M expenses</t>
  </si>
  <si>
    <t>The auxiliary Consumptions norms for  500 MW thermal station in 2009-14 Regulations as compare  to 2004-9 regulation are</t>
  </si>
  <si>
    <t xml:space="preserve">increased by 0.5% </t>
  </si>
  <si>
    <t xml:space="preserve">Increased by 1% </t>
  </si>
  <si>
    <t xml:space="preserve"> Beneficiary </t>
  </si>
  <si>
    <t xml:space="preserve"> Tax is not applicable on this income</t>
  </si>
  <si>
    <t>What is norm of Secondary fuel oil consumption for a coal based station</t>
  </si>
  <si>
    <t>3.5 ml/kWh</t>
  </si>
  <si>
    <t>All hydro generating stations</t>
  </si>
  <si>
    <t>For new hydro generating stations commissioned after  1.4.2009  O&amp; M fixed in first years  are</t>
  </si>
  <si>
    <t>1% of capital cost</t>
  </si>
  <si>
    <t xml:space="preserve">2% of capital cost </t>
  </si>
  <si>
    <t>Lum sum payment of Rs 10 lakh per MW</t>
  </si>
  <si>
    <t>On Actual basis</t>
  </si>
  <si>
    <t xml:space="preserve"> Date of Commercial operation </t>
  </si>
  <si>
    <t xml:space="preserve"> after two year of commercial operation</t>
  </si>
  <si>
    <t xml:space="preserve">Incentive rate for the new plant in comparison to a older than 10 years plant is </t>
  </si>
  <si>
    <t>50% of the Fixed cost</t>
  </si>
  <si>
    <t xml:space="preserve">75% of the Fixed cost </t>
  </si>
  <si>
    <t>90% of the Fixed cost</t>
  </si>
  <si>
    <t xml:space="preserve">Gross station heat rate norm of new coal based station is specified as  </t>
  </si>
  <si>
    <t xml:space="preserve">2500 kCal/kWh </t>
  </si>
  <si>
    <t>What is the norm of Auxiliary Energy Consumption for 500 MW unit using steam driven BFP with natural draft cooling towers</t>
  </si>
  <si>
    <t>For the which of the following meters, the same core of CT &amp; PT is used?</t>
  </si>
  <si>
    <t>UI charges</t>
  </si>
  <si>
    <t>UI, Reactive and Congestion charges</t>
  </si>
  <si>
    <t>Amount rising from the differences in the market prices of different regions as a consequence of Market Splitting in Power Exchanges is refered to as ____________________</t>
  </si>
  <si>
    <t xml:space="preserve">Match the following w.r.t the time line for transfer of payments to the PSDF:: 1. UI Charges    2. Congestion Charges     3. Congestion Amount      4. Reactive Energy Charges                      a. Latest by 15th of subsequent month  b. Latest by 30th day of April of the subsequent Financial Year  c. Latest by 30th of subsequent month  </t>
  </si>
  <si>
    <t>1-a, 2-b, 3-b, 4-c</t>
  </si>
  <si>
    <t>1-c, 2-c, 3-b, 4-a</t>
  </si>
  <si>
    <t>1-a, 2-b, 3-c, 4-c</t>
  </si>
  <si>
    <t>1-a, 2-a,3-a, 4-b</t>
  </si>
  <si>
    <t>UI account</t>
  </si>
  <si>
    <t>Expenditure on account of Capacity building of SLDCs shall be met from:: 1.PSDF  2.Congestion charge account  3. UI account 4. None of these</t>
  </si>
  <si>
    <t>How can surplus fund in Congestion charge account be utilised?</t>
  </si>
  <si>
    <t xml:space="preserve">Training   of system operators </t>
  </si>
  <si>
    <t xml:space="preserve">Special Protection Scheme  </t>
  </si>
  <si>
    <t xml:space="preserve">LDC fund </t>
  </si>
  <si>
    <t>Capacity Building expenditures upto a limit of Rs. 2 Crore per year or 30% of the outstanding balance  needs approval of _______________</t>
  </si>
  <si>
    <t>Managing Committee PSDF</t>
  </si>
  <si>
    <t>Capacity Building Expenditures beyond a limit of of Rs. 2 Crore per year or 30% of the outstanding balance  needs approval of _______________</t>
  </si>
  <si>
    <t>Who is the Chairman of Managing Committee of PSDF?</t>
  </si>
  <si>
    <t>Secretary CERC</t>
  </si>
  <si>
    <t>CEO POSOCO</t>
  </si>
  <si>
    <t>Representative from Ministry</t>
  </si>
  <si>
    <t>Who is the Member Convener of Managing Committee of PSDF?</t>
  </si>
  <si>
    <t>Managing Committee of PSDF shall have _________ meetings every year.</t>
  </si>
  <si>
    <t>three</t>
  </si>
  <si>
    <t>four</t>
  </si>
  <si>
    <t>six</t>
  </si>
  <si>
    <t>The Secretary of the Fund may at any time convene a meeting of Managing Committee by notice in writing of _______ days.</t>
  </si>
  <si>
    <t>How many members are appointed as the Managing Committee of PSDF ?</t>
  </si>
  <si>
    <t>How many independent members are appointed in the Managing Committee of PSDF?</t>
  </si>
  <si>
    <t>The independent members appointed in the Managing Committee of PSDF are the experts in the field of _______________</t>
  </si>
  <si>
    <t>Finance</t>
  </si>
  <si>
    <t>Audits &amp; Accounts</t>
  </si>
  <si>
    <t>Finance or Power system</t>
  </si>
  <si>
    <t>The tenure of the imdependent memebers in the Managing Committee of PSDF shall be for the period of _____ years.</t>
  </si>
  <si>
    <t>five</t>
  </si>
  <si>
    <t>one</t>
  </si>
  <si>
    <t>RLDC_F&amp;C</t>
  </si>
  <si>
    <t>Either UI accounts or Reactive energy accounts</t>
  </si>
  <si>
    <t>In context to RLDC Fees and Charges, User doesnt refer to _______________  1. A generating station located in Bihar serving Orissa also in addition to home state  2. A central Sector generating station located in Andhra Pradesh and dedicated to the home state  3. An intra-state  transmission licensee 4. A buyer using the services of a State Load Despatch Centre</t>
  </si>
  <si>
    <t>All except 1</t>
  </si>
  <si>
    <t>Application Fees</t>
  </si>
  <si>
    <t>Once in two control periods</t>
  </si>
  <si>
    <t>Which of the following includes Capital Cost of a Regional Load Despatch Centre(RLDC)?  1. Interest on Working Capital (IWC)     2. Interest During Construction (IDC)    3. Foreign Exchange Rate Variation FERV)        4. Interest On Loan (IOL)</t>
  </si>
  <si>
    <t>A or B</t>
  </si>
  <si>
    <t>A and B</t>
  </si>
  <si>
    <t>System Operation charges from the sellers shall be collected in proportion to their ____________</t>
  </si>
  <si>
    <t>Sum of Contracted Cpacaities</t>
  </si>
  <si>
    <t>The One-time fees for registration of Users with RLDCs is _________</t>
  </si>
  <si>
    <t>A rebate of ____% shall be allowed for the payment of bills made  through letter of credit on presentation of the bills by RLDC</t>
  </si>
  <si>
    <t>A rebate of ____ % shall be allowed for the payments made other than through letter of credit with in a period of one month of presentation of bills.</t>
  </si>
  <si>
    <t xml:space="preserve">Total No. of users registered with RLDCs/ NLDC as on date is ______ </t>
  </si>
  <si>
    <t>Competitive Bidding guidelines are applicable for procurement of which of these requirements through competitive bidding ?</t>
  </si>
  <si>
    <t>base-load</t>
  </si>
  <si>
    <t>peak-load</t>
  </si>
  <si>
    <t>seasonal power</t>
  </si>
  <si>
    <t xml:space="preserve">  28-02-13    </t>
  </si>
  <si>
    <t>Synchronous and Variable speed generator</t>
  </si>
  <si>
    <t>Which of the following renewable energy projects connected to the 33 kV level are bound by IEGC to forecast their generation?</t>
  </si>
  <si>
    <t>Renewable Regulatory Fund is shared by all the states in the country based on</t>
  </si>
  <si>
    <t>their RE generation, the previous month</t>
  </si>
  <si>
    <t>their peak demands in the previous month</t>
  </si>
  <si>
    <t>the orders passed by the central agency</t>
  </si>
  <si>
    <t>What is Forbeareance Price for Solar RECs?</t>
  </si>
  <si>
    <t>Rs 19300 per REC</t>
  </si>
  <si>
    <t>Rs 13400 per REC</t>
  </si>
  <si>
    <t>TTC_Reliability</t>
  </si>
  <si>
    <t>The term ATC used in the Indian Electricity Grid Code 2010 stands for:</t>
  </si>
  <si>
    <t>Air Traffic Controller</t>
  </si>
  <si>
    <t>Annual Transmission Charges</t>
  </si>
  <si>
    <t>Available Transfer Capability</t>
  </si>
  <si>
    <t>Available Transmission Capacity</t>
  </si>
  <si>
    <t>The term TTC used in the Indian Electricity Grid Code 2010 stands for:</t>
  </si>
  <si>
    <t>Total Transmission Capacity</t>
  </si>
  <si>
    <t>Total Transfer Capability</t>
  </si>
  <si>
    <t>Terrestrial Traffic Control</t>
  </si>
  <si>
    <t>Transformer Tap Changer</t>
  </si>
  <si>
    <t>500 MW power is being transferred from Area A to Area B limited by the transfer capabilty. A contingency in the system leads to voltages falling below 380 kV on the 400 kV bus. Which of the statements is true?</t>
  </si>
  <si>
    <t>The ATC for Area A to Area B would become more than 500 MW.</t>
  </si>
  <si>
    <t>1000 MW can be easily transferred from Area B to Area A.</t>
  </si>
  <si>
    <t>The ATC from Area A to Area B would become less than 500 MW.</t>
  </si>
  <si>
    <t>500 MW can be easily scheduled from Area A to Area B.</t>
  </si>
  <si>
    <t>Area A is connected to areas B and C. There is no interconnection between Area B and C. The TTC from Area B to A is 1200 MW while the TTC from Area C to Area A is 700 MW. The simultaneous import capability of Area A would be:</t>
  </si>
  <si>
    <t>greater than 1900 MW</t>
  </si>
  <si>
    <t>Could be less than or equal to 1900 MW.</t>
  </si>
  <si>
    <t>1900 MW</t>
  </si>
  <si>
    <t>Non-discriminatory open access to the transmission system was mandated by law in the respective years in US and India</t>
  </si>
  <si>
    <t>1979 and1991</t>
  </si>
  <si>
    <t>1996 and 2003</t>
  </si>
  <si>
    <t>1989 and 1998</t>
  </si>
  <si>
    <t>1996 and 1998</t>
  </si>
  <si>
    <t>What is the correct relationship between TTC, ATC and Reliability Margin (RM)?</t>
  </si>
  <si>
    <t>TTC + RM =ATC</t>
  </si>
  <si>
    <t>TTC+ATC+RM=0</t>
  </si>
  <si>
    <t>ATC-RM=TTC</t>
  </si>
  <si>
    <t>ATC=TTC-RM</t>
  </si>
  <si>
    <t>The different limits to be considered while evaluating TTC are:</t>
  </si>
  <si>
    <t>Stability, voltage and thermal limits</t>
  </si>
  <si>
    <t>Sag, active power and reactive power</t>
  </si>
  <si>
    <t>temperature, pressure and relative humidity</t>
  </si>
  <si>
    <t>Which of the following agencies, decides the transfer capability of the network?</t>
  </si>
  <si>
    <t>System operators</t>
  </si>
  <si>
    <t>Which relationship between transfer capability and transmission capacity is generally the case?</t>
  </si>
  <si>
    <t>Transfer capability is greater than transmission capacity</t>
  </si>
  <si>
    <t>Both are equal to each other</t>
  </si>
  <si>
    <t>Transfer capability is less than transmission capacity</t>
  </si>
  <si>
    <t>Two 315 MVA, 400/220 kV interconnecting transformers are operating in parallel with the interconnected system. The transfer capability in the 400 kV to 220 kV direction is 400 MW. The transfer capability in the 220 kV to 400 kV direction would be:</t>
  </si>
  <si>
    <t>Would have to be worked out from simulation studies</t>
  </si>
  <si>
    <t>630 MW</t>
  </si>
  <si>
    <t>Other factors remaining constant, as the design temperature of the conductor increases, the current carrying capacity _____</t>
  </si>
  <si>
    <t>Reduces</t>
  </si>
  <si>
    <t>Remains the same</t>
  </si>
  <si>
    <t>What would happen to the Surge Impedance Loading (SIL) of a twin Moose 400 kV line if its length is doubled?</t>
  </si>
  <si>
    <t>No change</t>
  </si>
  <si>
    <t>Doubles</t>
  </si>
  <si>
    <t>Becomes half</t>
  </si>
  <si>
    <t>Becomes four times.</t>
  </si>
  <si>
    <t xml:space="preserve">The system operator gets a request for 700 MW open access contracts from System A to System B. The ATC between these two systems is however only 500 MW. What will the operator do? </t>
  </si>
  <si>
    <t>Increase the TTC by 200 MW and approve all the open access requests.</t>
  </si>
  <si>
    <t>Reduce reliability margin by 200 MW and approve all the open access requests.</t>
  </si>
  <si>
    <t>Approve all the transactions and curtail in real time in case of a congestion</t>
  </si>
  <si>
    <t>Issue a curtailed approval based on ATC.</t>
  </si>
  <si>
    <t>Reliability is a combination of</t>
  </si>
  <si>
    <t>Adequacy and security</t>
  </si>
  <si>
    <t>Availability and dependability</t>
  </si>
  <si>
    <t>Mean Time To Repair and Mean Time Between Failures</t>
  </si>
  <si>
    <t xml:space="preserve">Customer Interruption Costs (CIC) is equivalent to </t>
  </si>
  <si>
    <t>Compensation paid on Court orders</t>
  </si>
  <si>
    <t>Value Of Lost Load (VOLL)</t>
  </si>
  <si>
    <t>Fuel cost saved by the utility on interruption</t>
  </si>
  <si>
    <t>Outage hours to customer makes sense as long as</t>
  </si>
  <si>
    <t>VOLL is less than cost of providing peaking power</t>
  </si>
  <si>
    <t>Consumer protection laws are lax</t>
  </si>
  <si>
    <t>Does not make sense at all</t>
  </si>
  <si>
    <t>St. Clair curve gives the relationship between</t>
  </si>
  <si>
    <t>Line loadability in terms of SIL versus line length</t>
  </si>
  <si>
    <t>Line loading and voltage drop</t>
  </si>
  <si>
    <t>Line loading and reactive power</t>
  </si>
  <si>
    <t xml:space="preserve">As per the CEA Transmission Planning Criteria, a stuck breaker condition should not cause tripping of more than ______feeders at 765 kV, _____feeders at 400 kV and ___feeders at 220 kV respectively.                                                    </t>
  </si>
  <si>
    <t>1,1,1</t>
  </si>
  <si>
    <t>1,2,3</t>
  </si>
  <si>
    <t>1,2,4</t>
  </si>
  <si>
    <t>0,1,2</t>
  </si>
  <si>
    <t>Which aspect of reliability can the system operator influence in the medium term say 0-1 year time horizon ?</t>
  </si>
  <si>
    <t>Expediting construction of new lines</t>
  </si>
  <si>
    <t>No influence</t>
  </si>
  <si>
    <t>Outage planning</t>
  </si>
  <si>
    <t>Hydro scheduling</t>
  </si>
  <si>
    <t xml:space="preserve">TRM is basically required for the purpose of </t>
  </si>
  <si>
    <t>Mitigating uncertainty in system conditions</t>
  </si>
  <si>
    <t>Help the system operator in real time</t>
  </si>
  <si>
    <t>Barriers to free trade and restraint on traders</t>
  </si>
  <si>
    <t>Ancillary</t>
  </si>
  <si>
    <t>Definition of Ancillary Services has been given in:</t>
  </si>
  <si>
    <t>NLDC/RLDCs have been entrusted the responsibility of identifying Ancillary Services as per:</t>
  </si>
  <si>
    <t>Residual amount in………….is to be used for providing ancillary services.</t>
  </si>
  <si>
    <t>Which of the following provides primary frequency response?</t>
  </si>
  <si>
    <t>Tertiary Control in India is………..                                                                                         I)Automatic Action                 
II)Provided through bilateral contracts                                                                       III)Provided by PX                          IV)Provided by manual action</t>
  </si>
  <si>
    <t>If governor droop of a synchronous machine is 4%, what frequency change is expected to unload the machine from full load to no load?</t>
  </si>
  <si>
    <t>As per Indian Electricity Grid Code(IEGC), VAr exchange with grid is priced at voltages below……..p.u.</t>
  </si>
  <si>
    <t>As per Indian Electricity Grid Code(IEGC), VAr exchange with grid is priced at voltages above……..p.u.</t>
  </si>
  <si>
    <t>For a transmission line VAr generation is equal to VAr absorbtion at</t>
  </si>
  <si>
    <t>Which of the following generators have maximum VAr absorbtion capability?</t>
  </si>
  <si>
    <t>Which of the following generators cannot supply reactive VArs?</t>
  </si>
  <si>
    <t>Which generating.stations generally have capability to self start?</t>
  </si>
  <si>
    <t xml:space="preserve">What is the general auxillary consumption of Coal fired stations? </t>
  </si>
  <si>
    <t>Generally Auxillary Consumption of Hydro stations is of the order of …. Percentage.</t>
  </si>
  <si>
    <t>As per IEGC, how many black start mock execrcises are mandated for different subsystems annually?</t>
  </si>
  <si>
    <t>SystemStudies</t>
  </si>
  <si>
    <t>On which of the following factors does AC Power flow over a line NOT depend upon?</t>
  </si>
  <si>
    <t xml:space="preserve">Inaccurate State Estimation in a rapidly changing power system is due to: </t>
  </si>
  <si>
    <t>Which of the following statements is/are true for Power Flow solution of a network?</t>
  </si>
  <si>
    <t>Which of these is true for network modeling in SCADA ?</t>
  </si>
  <si>
    <t>CIM stands for:</t>
  </si>
  <si>
    <t>Which is not true for load forecast (LF)?</t>
  </si>
  <si>
    <t>What is the indicator of the load-generation balance in power system?</t>
  </si>
  <si>
    <t>Controls in Scada system are implemented using:</t>
  </si>
  <si>
    <t>Which of these are components of Data Aquisition system?</t>
  </si>
  <si>
    <t>The equipment that presents the processed data to operator is the:</t>
  </si>
  <si>
    <t xml:space="preserve">Scada Functions are: </t>
  </si>
  <si>
    <t>In the Master Station, packets are received by:</t>
  </si>
  <si>
    <t xml:space="preserve">What is the system that provides the inter-connection of all the servers, workstation, peripherals with redundant ethernet switch? </t>
  </si>
  <si>
    <t>What is the system that monitors the interfaces to the SCADA/EMS servers, workstations, devices,  all SCADA/EMS gateway and routers and gathers performance statistics like resource utilisation?</t>
  </si>
  <si>
    <t>Which is not a protocol used  by RTU for communicating with control centre?</t>
  </si>
  <si>
    <t>Which is the function that allows you to store time series of any set of analog, status, and accumulator SCADA measurements, as well as changes to limits on recorded analog measurements?</t>
  </si>
  <si>
    <t xml:space="preserve"> Milli seconds accurate time of status changes for devices monitored, is provided by which application?</t>
  </si>
  <si>
    <t>Which of the facilities shall allow operators to insert, edit or delete  free formatted text for providing critcal information to next operator?</t>
  </si>
  <si>
    <t>Digital data is acquired in SCADA, ____</t>
  </si>
  <si>
    <t>In general, what is the periodicity  of Analog data scan?</t>
  </si>
  <si>
    <t>If  a line flow crosses its raw high/low limits then data quality is _____</t>
  </si>
  <si>
    <t>Which of the following data can be retrieved from HDR ?</t>
  </si>
  <si>
    <t>If the data is not retrieved in last scan it is marked as _____</t>
  </si>
  <si>
    <t xml:space="preserve">Which of these is not part of SLDC/RLDC SCADA system?    </t>
  </si>
  <si>
    <t>Access the monitored system measurands both periodically and instantaneously</t>
  </si>
  <si>
    <t>Sensors, RTU</t>
  </si>
  <si>
    <t>Which system is also known as one on one system?</t>
  </si>
  <si>
    <t>Single master Single remote</t>
  </si>
  <si>
    <t>Single Master Multiple Remote</t>
  </si>
  <si>
    <t>Multiple Master Multiple Remote</t>
  </si>
  <si>
    <t>Which system is smallest in terms of master and remote stations?</t>
  </si>
  <si>
    <t>Breaker and switch status, Line analog parameters,Transformer analog parameters are the types of _____</t>
  </si>
  <si>
    <t>Distribution Data</t>
  </si>
  <si>
    <t>Power Plant Data</t>
  </si>
  <si>
    <t>Substation Data</t>
  </si>
  <si>
    <t>System Operational Data</t>
  </si>
  <si>
    <t xml:space="preserve">The MMI data presentation is basically _____ </t>
  </si>
  <si>
    <t>visual</t>
  </si>
  <si>
    <t xml:space="preserve"> recorded</t>
  </si>
  <si>
    <t xml:space="preserve"> audible.</t>
  </si>
  <si>
    <t>Digital data points in SCADA database must support ____</t>
  </si>
  <si>
    <t>Single bit</t>
  </si>
  <si>
    <t>double bit</t>
  </si>
  <si>
    <t xml:space="preserve">multi-state type </t>
  </si>
  <si>
    <t>Major source of telemetry  error in SCADA systems are ____</t>
  </si>
  <si>
    <t>Poor precision class of CT &amp; PT</t>
  </si>
  <si>
    <t>Non linearity in output of transducer</t>
  </si>
  <si>
    <t>What are the basic instruments installed at site for measurement of voltage &amp; current?</t>
  </si>
  <si>
    <t>Energy Meter</t>
  </si>
  <si>
    <t>Wave Trap</t>
  </si>
  <si>
    <t>CT &amp; PT</t>
  </si>
  <si>
    <t>Transducer</t>
  </si>
  <si>
    <t>Output of transducer is ______</t>
  </si>
  <si>
    <t>2-10 mA</t>
  </si>
  <si>
    <t>4-30mA</t>
  </si>
  <si>
    <t>4-20mA</t>
  </si>
  <si>
    <t>0-9mA</t>
  </si>
  <si>
    <t xml:space="preserve">RTUs are installed in Power System at </t>
  </si>
  <si>
    <t>Transmission Line</t>
  </si>
  <si>
    <t xml:space="preserve">Substations </t>
  </si>
  <si>
    <t>Control Centre</t>
  </si>
  <si>
    <t>B &amp; C</t>
  </si>
  <si>
    <t>If CT(1000/1) &amp; CVT(400kV/110V) are installed at site for measuring line flow on 400 kV line with Moose conductor then what is the flow on Primary side of instrument transformer at full load and unity pf?</t>
  </si>
  <si>
    <t>720.2 MW</t>
  </si>
  <si>
    <t>692.8MW</t>
  </si>
  <si>
    <t>650.2 MW</t>
  </si>
  <si>
    <t>560.4 MW</t>
  </si>
  <si>
    <t>If CT(1000/1) &amp; CVT(400kV/110V) are installed at site for measuring a line flow on 400 kV line with Moose conductor then what is the flow on Secondary side of instrument transformer at full load and unity pf ?</t>
  </si>
  <si>
    <t>190  Watt</t>
  </si>
  <si>
    <t>110 Watt</t>
  </si>
  <si>
    <t>125 Watt</t>
  </si>
  <si>
    <t>160 Watt</t>
  </si>
  <si>
    <t>What does ISR stand for?</t>
  </si>
  <si>
    <t>Information Storage &amp; Data Redundant system</t>
  </si>
  <si>
    <t>Information Storage &amp; Data Retrival system</t>
  </si>
  <si>
    <t>Intelligent Storage &amp; Data Retrival system</t>
  </si>
  <si>
    <t xml:space="preserve"> Which database is generally used in ISR server for storage of information?</t>
  </si>
  <si>
    <t>Oracle</t>
  </si>
  <si>
    <t xml:space="preserve">C++ </t>
  </si>
  <si>
    <t>MS Windows</t>
  </si>
  <si>
    <t xml:space="preserve"> What does DMZ stand for?</t>
  </si>
  <si>
    <t>De-Magnetise Zone</t>
  </si>
  <si>
    <t>De-Militarized Zone</t>
  </si>
  <si>
    <t>De-Monitoring Zone</t>
  </si>
  <si>
    <t>What does telemetry refer to?</t>
  </si>
  <si>
    <t>Technique of receiving information or data</t>
  </si>
  <si>
    <t>Technique of transfering information  or data</t>
  </si>
  <si>
    <t>Data is transmitted through medium like:</t>
  </si>
  <si>
    <t>PLCC</t>
  </si>
  <si>
    <t>VSAT</t>
  </si>
  <si>
    <t>Typical configuration of SCADA systems are:</t>
  </si>
  <si>
    <t>Point to point</t>
  </si>
  <si>
    <t xml:space="preserve">Point to Multipoint </t>
  </si>
  <si>
    <t>Trend displays provide trend for variables such as:</t>
  </si>
  <si>
    <t>Analog</t>
  </si>
  <si>
    <t>Digital</t>
  </si>
  <si>
    <t>Counter</t>
  </si>
  <si>
    <t>Historical data recording allows you to preseve time series of ____</t>
  </si>
  <si>
    <t>SCADA is defined as a……………..</t>
  </si>
  <si>
    <t>Process model</t>
  </si>
  <si>
    <t>Logic Model</t>
  </si>
  <si>
    <t>Intergration of Process Model &amp; Logic Model</t>
  </si>
  <si>
    <t>Output of Trnasducer is connected to……..</t>
  </si>
  <si>
    <t>Analog input in RTU</t>
  </si>
  <si>
    <t>Digital input in RTU</t>
  </si>
  <si>
    <t>C&amp;R Pannel</t>
  </si>
  <si>
    <t>SCADA is called Supervisory because….</t>
  </si>
  <si>
    <t>It has in-direct control over the process</t>
  </si>
  <si>
    <t>Direct control over the process</t>
  </si>
  <si>
    <t>Loop Control</t>
  </si>
  <si>
    <t>Optical Fiber communication can be affected by….</t>
  </si>
  <si>
    <t>EMI</t>
  </si>
  <si>
    <t>High Voltage</t>
  </si>
  <si>
    <t>weather conditions</t>
  </si>
  <si>
    <t>EMS</t>
  </si>
  <si>
    <t>Which of the following are the state variables?</t>
  </si>
  <si>
    <t>P,Q</t>
  </si>
  <si>
    <t>P,θ</t>
  </si>
  <si>
    <t>V,Q</t>
  </si>
  <si>
    <t>V,θ</t>
  </si>
  <si>
    <t>State Estimation algorithm is based upon:</t>
  </si>
  <si>
    <t>Weighted Least square Method</t>
  </si>
  <si>
    <t>Newton Raphson Method</t>
  </si>
  <si>
    <t>Decoupled Powerflow Method</t>
  </si>
  <si>
    <t>Gauss-Siedel Method</t>
  </si>
  <si>
    <t>The assumption in Real Time Power system application of State Estimation are:</t>
  </si>
  <si>
    <t>Voltage and current waveform are purely sinusoidal</t>
  </si>
  <si>
    <t>Balanced 3 Ph System</t>
  </si>
  <si>
    <t>3 Ph. System described by positive sequence network</t>
  </si>
  <si>
    <t>Process(es) involved in State Estimation is/are:</t>
  </si>
  <si>
    <t>Topology Processing</t>
  </si>
  <si>
    <t>Observability analysis</t>
  </si>
  <si>
    <t>Bad Data Processing</t>
  </si>
  <si>
    <t>Topology Processing identifies energised network based on:</t>
  </si>
  <si>
    <t>Status information</t>
  </si>
  <si>
    <t>Analog information</t>
  </si>
  <si>
    <t>Which of the following is not a function of state estimation application?</t>
  </si>
  <si>
    <t>Estimation of Complex Voltages at every node</t>
  </si>
  <si>
    <t>Bad data detection</t>
  </si>
  <si>
    <t>correction of violations</t>
  </si>
  <si>
    <t>Reporting of violations</t>
  </si>
  <si>
    <t>Which of the following is not taken as an input by the State Estimator application?</t>
  </si>
  <si>
    <t>Reactive Power</t>
  </si>
  <si>
    <t>Active Power</t>
  </si>
  <si>
    <t>Which of the following is performed first in State Estimation?</t>
  </si>
  <si>
    <t>Which is the application which forms a basecase after taking SCADA measurements and other network data as an input?</t>
  </si>
  <si>
    <t>Contingency analysis</t>
  </si>
  <si>
    <t>Security Enhancement</t>
  </si>
  <si>
    <t>State Estimator</t>
  </si>
  <si>
    <t>Optimal Powerflow</t>
  </si>
  <si>
    <t>Which of the following is not used in Powerflow application?</t>
  </si>
  <si>
    <t>Weighted Least Square Method</t>
  </si>
  <si>
    <t>Which of the following methods is best suitable for small size systems in Powerflow technique?</t>
  </si>
  <si>
    <t>Newton-Raphson Method</t>
  </si>
  <si>
    <t>Decoupled Powerflow</t>
  </si>
  <si>
    <t>Which of the following methods is best suitable for large size systems in Powerflow technique?</t>
  </si>
  <si>
    <t>Which of the following methods is most rigid in Powerflow techniques?</t>
  </si>
  <si>
    <t>Which of the following methods takes the least computation time in Powerflow techniques?</t>
  </si>
  <si>
    <t xml:space="preserve">Most common way to rank contingencies is to calculate the Index using: </t>
  </si>
  <si>
    <t>Overload Index</t>
  </si>
  <si>
    <t>Voltage Index</t>
  </si>
  <si>
    <t>In which of the following applications, Controls are not required to be specified?</t>
  </si>
  <si>
    <t>Voltage VAr Despatch</t>
  </si>
  <si>
    <t>In which of the following applications Contingency Database is required?</t>
  </si>
  <si>
    <t>Which of the following is not a generation application?</t>
  </si>
  <si>
    <t>Reserve Monitoring</t>
  </si>
  <si>
    <t>Unit Commitment</t>
  </si>
  <si>
    <t>Economic Despatch</t>
  </si>
  <si>
    <t>Which forecasting is useful in real-time operations?</t>
  </si>
  <si>
    <t>Short Term Forecasting</t>
  </si>
  <si>
    <t>Medium Term Forecasting</t>
  </si>
  <si>
    <t>Long Term Forecasting</t>
  </si>
  <si>
    <t>Which type of Forecasting is useful for Long Term planning purposes?</t>
  </si>
  <si>
    <t>Which of the Load Forecasting methodology is cyclic in nature?</t>
  </si>
  <si>
    <t>Regression Technique</t>
  </si>
  <si>
    <t>Similar day forecast</t>
  </si>
  <si>
    <t>Load Patterns</t>
  </si>
  <si>
    <t>Which of the following Load Forecasting methodology is quite accurate for weather dependent loads?</t>
  </si>
  <si>
    <t xml:space="preserve">MS Outlook  is a ___ </t>
  </si>
  <si>
    <t>After choosing a predefined template, ___ option has to be chosen to change the background color in MS Power Point</t>
  </si>
  <si>
    <t>XLS /XLSX</t>
  </si>
  <si>
    <t>Google</t>
  </si>
  <si>
    <t>Communications</t>
  </si>
  <si>
    <t>What do you mean by protocols ?</t>
  </si>
  <si>
    <t>It is a set of rules for particular tasks</t>
  </si>
  <si>
    <t>It is a system software</t>
  </si>
  <si>
    <t>It is hardware interface</t>
  </si>
  <si>
    <t>It is firmware</t>
  </si>
  <si>
    <t>What do you mean by OSI model in communication ?</t>
  </si>
  <si>
    <t>Indian standars for communication</t>
  </si>
  <si>
    <t>International standards organization comprising of seven layer architecture</t>
  </si>
  <si>
    <t>Application layer only</t>
  </si>
  <si>
    <t>None of these options above</t>
  </si>
  <si>
    <t>IEC 61850 is ...........................</t>
  </si>
  <si>
    <t>Closed compatible power system protocol</t>
  </si>
  <si>
    <t>Open compatible power system protocol</t>
  </si>
  <si>
    <t>Development protocol</t>
  </si>
  <si>
    <t>Firmware protocol</t>
  </si>
  <si>
    <t>IEC 61850 standard comprises of...................</t>
  </si>
  <si>
    <t>Structure for protection and
 control</t>
  </si>
  <si>
    <t>Communication between bay devices</t>
  </si>
  <si>
    <t>Time synchronisation with SNTP &amp; based on
Ethernet  standards.</t>
  </si>
  <si>
    <t>Amplitude of carrier frequency changes in:</t>
  </si>
  <si>
    <t>Amplitude Modultation</t>
  </si>
  <si>
    <t>Frequency Modulation</t>
  </si>
  <si>
    <t>Phase Modulation</t>
  </si>
  <si>
    <t>Quadrature Amplitude Modulation</t>
  </si>
  <si>
    <t>Maximum rate of sampling is:</t>
  </si>
  <si>
    <t>Same as the signal frequency</t>
  </si>
  <si>
    <t>Half  the signal frequency</t>
  </si>
  <si>
    <t>Twice the signal frequency</t>
  </si>
  <si>
    <t>In E1 channel the link bit rate is</t>
  </si>
  <si>
    <t>2 Mbps</t>
  </si>
  <si>
    <t>4 Mbps</t>
  </si>
  <si>
    <t>6 Mbps</t>
  </si>
  <si>
    <t>2.4 Mbps</t>
  </si>
  <si>
    <t>In STM-1 the link bit rate is</t>
  </si>
  <si>
    <t>2.048 Mbps</t>
  </si>
  <si>
    <t>51.84 Mbps</t>
  </si>
  <si>
    <t>155.52 Mbps</t>
  </si>
  <si>
    <t>1.554 Mbps</t>
  </si>
  <si>
    <t xml:space="preserve">Fibre Optic Communication is based on: </t>
  </si>
  <si>
    <t>Reflection of light</t>
  </si>
  <si>
    <t>Total internal reflection of light</t>
  </si>
  <si>
    <t>Refraction of light</t>
  </si>
  <si>
    <t>Diffusion of light</t>
  </si>
  <si>
    <t>Modulation is defined as:</t>
  </si>
  <si>
    <t>Process of transferring data</t>
  </si>
  <si>
    <t>Processing of superimposing a data signal on high carrier frequency</t>
  </si>
  <si>
    <t>Multiplexing is defined as:</t>
  </si>
  <si>
    <t>Transmission of several data signals over a single communication link</t>
  </si>
  <si>
    <t>Transmission of several data signals over multiple communication link</t>
  </si>
  <si>
    <t>Transmission of single data signal over a single communication link</t>
  </si>
  <si>
    <t>SDH stands for:</t>
  </si>
  <si>
    <t>Sychronous data hierarchy</t>
  </si>
  <si>
    <t>Sychronous digital hierarchy</t>
  </si>
  <si>
    <t>Signal data hierarchy</t>
  </si>
  <si>
    <t>In PLCC the impedence offered by wave trap to signal frequency is:</t>
  </si>
  <si>
    <t xml:space="preserve">Low </t>
  </si>
  <si>
    <t xml:space="preserve">High </t>
  </si>
  <si>
    <t xml:space="preserve">Proportional </t>
  </si>
  <si>
    <t>In PLCC the impedence offered by coupling devices to signal frequency is:</t>
  </si>
  <si>
    <t>Wave Trap is connected in:</t>
  </si>
  <si>
    <t>Parallel with the transmission line</t>
  </si>
  <si>
    <t>Series with transmission line</t>
  </si>
  <si>
    <t>Parallel with the coupling device</t>
  </si>
  <si>
    <t>Series with the coupling device</t>
  </si>
  <si>
    <t>LMU stands for:</t>
  </si>
  <si>
    <t>Line Matching Unit</t>
  </si>
  <si>
    <t>Line Multiplying Unit</t>
  </si>
  <si>
    <t>Line Mapping Unit</t>
  </si>
  <si>
    <t>Satellite communication uses:</t>
  </si>
  <si>
    <t>Very High Frequency</t>
  </si>
  <si>
    <t>Very low Frequency</t>
  </si>
  <si>
    <t>Radio Frequency</t>
  </si>
  <si>
    <t>Data is transferred on communication channel in:</t>
  </si>
  <si>
    <t>Analog Form</t>
  </si>
  <si>
    <t>Digital Form</t>
  </si>
  <si>
    <t xml:space="preserve">Protocol used to transfer the data from one control centre to other control centre is: </t>
  </si>
  <si>
    <t>TCPIP</t>
  </si>
  <si>
    <t>IP</t>
  </si>
  <si>
    <t>ICCP</t>
  </si>
  <si>
    <t>SNP</t>
  </si>
  <si>
    <t>Which of the following is/are limitation/s of PLCC?</t>
  </si>
  <si>
    <t>Limited Bandwidth</t>
  </si>
  <si>
    <t>Low speed of data transfer</t>
  </si>
  <si>
    <t>Cannot be monitored from centralized location</t>
  </si>
  <si>
    <t>Which of these is not true for Fibre Optic medium?</t>
  </si>
  <si>
    <t xml:space="preserve">Higher bandwidth </t>
  </si>
  <si>
    <t>More susceptible to electromagnetic interference</t>
  </si>
  <si>
    <t>Less signal degradation</t>
  </si>
  <si>
    <t>Lighter and thinner than copper wire</t>
  </si>
  <si>
    <t xml:space="preserve">IEC 60870-5-101 is: </t>
  </si>
  <si>
    <t>Protocol used for protection</t>
  </si>
  <si>
    <t>Protocol used for telecontrol</t>
  </si>
  <si>
    <t>Protocol used for metering</t>
  </si>
  <si>
    <t>IP Based communication</t>
  </si>
  <si>
    <t>Inherent problem with digital Microwave is that it is :</t>
  </si>
  <si>
    <t>Costly</t>
  </si>
  <si>
    <t xml:space="preserve">Line of site </t>
  </si>
  <si>
    <t>Old technology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</si>
</sst>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dd/mmm/yyyy"/>
    <numFmt numFmtId="166" formatCode="[$-14009]dd/mm/yyyy;@"/>
  </numFmts>
  <fonts count="97">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2"/>
      <color theme="1"/>
      <name val="Arial"/>
      <family val="2"/>
    </font>
    <font>
      <b/>
      <sz val="12"/>
      <color theme="1"/>
      <name val="Arial"/>
      <family val="2"/>
    </font>
    <font>
      <u/>
      <sz val="12"/>
      <color indexed="8"/>
      <name val="Arial"/>
      <family val="2"/>
    </font>
    <font>
      <sz val="12"/>
      <color indexed="8"/>
      <name val="Arial"/>
      <family val="2"/>
    </font>
    <font>
      <b/>
      <sz val="12"/>
      <color indexed="8"/>
      <name val="Arial"/>
      <family val="2"/>
    </font>
    <font>
      <sz val="11"/>
      <color theme="1"/>
      <name val="Arial"/>
      <family val="2"/>
    </font>
    <font>
      <vertAlign val="superscript"/>
      <sz val="11"/>
      <color indexed="8"/>
      <name val="Arial"/>
      <family val="2"/>
    </font>
    <font>
      <sz val="11"/>
      <color indexed="8"/>
      <name val="Arial"/>
      <family val="2"/>
    </font>
    <font>
      <sz val="10"/>
      <color theme="1"/>
      <name val="Arial"/>
      <family val="2"/>
    </font>
    <font>
      <sz val="12"/>
      <color theme="1"/>
      <name val="Calibri"/>
      <family val="2"/>
      <scheme val="minor"/>
    </font>
    <font>
      <sz val="10"/>
      <color indexed="8"/>
      <name val="Arial"/>
      <family val="2"/>
    </font>
    <font>
      <sz val="12"/>
      <color indexed="8"/>
      <name val="Calibri"/>
      <family val="2"/>
    </font>
    <font>
      <sz val="12"/>
      <color rgb="FFFF0000"/>
      <name val="Calibri"/>
      <family val="2"/>
    </font>
    <font>
      <sz val="12"/>
      <name val="Arial"/>
      <family val="2"/>
    </font>
    <font>
      <sz val="8"/>
      <name val="Arial"/>
      <family val="2"/>
    </font>
    <font>
      <sz val="9"/>
      <name val="Arial"/>
      <family val="2"/>
    </font>
    <font>
      <sz val="9"/>
      <color theme="1"/>
      <name val="Arial"/>
      <family val="2"/>
    </font>
    <font>
      <sz val="14"/>
      <color theme="1"/>
      <name val="Times New Roman"/>
      <family val="1"/>
    </font>
    <font>
      <sz val="14"/>
      <name val="Arial"/>
      <family val="2"/>
    </font>
    <font>
      <sz val="10"/>
      <color theme="1"/>
      <name val="Vrinda"/>
      <family val="2"/>
    </font>
    <font>
      <sz val="11.5"/>
      <color theme="1"/>
      <name val="Arial"/>
      <family val="2"/>
    </font>
    <font>
      <sz val="10"/>
      <color theme="1"/>
      <name val="Times New Roman"/>
      <family val="1"/>
    </font>
    <font>
      <vertAlign val="superscript"/>
      <sz val="10"/>
      <color indexed="8"/>
      <name val="Arial"/>
      <family val="2"/>
    </font>
    <font>
      <u/>
      <sz val="10"/>
      <color indexed="8"/>
      <name val="Arial"/>
      <family val="2"/>
    </font>
    <font>
      <b/>
      <sz val="10"/>
      <color indexed="8"/>
      <name val="Arial"/>
      <family val="2"/>
    </font>
    <font>
      <b/>
      <i/>
      <u/>
      <sz val="10"/>
      <color indexed="10"/>
      <name val="Arial"/>
      <family val="2"/>
    </font>
    <font>
      <b/>
      <sz val="10"/>
      <color theme="1"/>
      <name val="Arial"/>
      <family val="2"/>
    </font>
    <font>
      <vertAlign val="subscript"/>
      <sz val="12"/>
      <color indexed="8"/>
      <name val="Calibri"/>
      <family val="2"/>
    </font>
    <font>
      <sz val="12"/>
      <color rgb="FFFF0000"/>
      <name val="Arial"/>
      <family val="2"/>
    </font>
    <font>
      <sz val="12"/>
      <color indexed="10"/>
      <name val="Arial"/>
      <family val="2"/>
    </font>
    <font>
      <sz val="11"/>
      <name val="Calibri"/>
      <family val="2"/>
      <scheme val="minor"/>
    </font>
    <font>
      <sz val="11"/>
      <name val="Calibri"/>
      <family val="2"/>
    </font>
    <font>
      <sz val="7"/>
      <name val="Calibri"/>
      <family val="2"/>
    </font>
    <font>
      <sz val="11"/>
      <name val="Times New Roman"/>
      <family val="1"/>
    </font>
    <font>
      <sz val="11"/>
      <color indexed="10"/>
      <name val="Calibri"/>
      <family val="2"/>
    </font>
    <font>
      <sz val="12"/>
      <name val="Calibri"/>
      <family val="2"/>
    </font>
    <font>
      <sz val="12"/>
      <name val="Times New Roman"/>
      <family val="1"/>
    </font>
    <font>
      <b/>
      <sz val="7"/>
      <name val="Calibri"/>
      <family val="2"/>
    </font>
    <font>
      <i/>
      <sz val="11"/>
      <name val="Calibri"/>
      <family val="2"/>
    </font>
    <font>
      <b/>
      <sz val="10"/>
      <name val="Arial"/>
      <family val="2"/>
    </font>
    <font>
      <b/>
      <sz val="12"/>
      <name val="Arial"/>
      <family val="2"/>
    </font>
    <font>
      <sz val="14"/>
      <color rgb="FF002060"/>
      <name val="Calibri"/>
      <family val="2"/>
      <scheme val="minor"/>
    </font>
    <font>
      <sz val="11"/>
      <color indexed="8"/>
      <name val="Calibri"/>
      <family val="2"/>
      <scheme val="minor"/>
    </font>
    <font>
      <sz val="14"/>
      <color indexed="8"/>
      <name val="Calibri"/>
      <family val="2"/>
      <scheme val="minor"/>
    </font>
    <font>
      <b/>
      <sz val="11"/>
      <name val="Calibri"/>
      <family val="2"/>
      <scheme val="minor"/>
    </font>
    <font>
      <b/>
      <sz val="12"/>
      <name val="Calibri"/>
      <family val="2"/>
      <scheme val="minor"/>
    </font>
    <font>
      <u/>
      <sz val="11"/>
      <name val="Calibri"/>
      <family val="2"/>
    </font>
    <font>
      <b/>
      <u/>
      <sz val="11"/>
      <name val="Calibri"/>
      <family val="2"/>
    </font>
    <font>
      <sz val="12"/>
      <color theme="1"/>
      <name val="Times New Roman"/>
      <family val="1"/>
    </font>
    <font>
      <sz val="10"/>
      <color indexed="10"/>
      <name val="Arial"/>
      <family val="2"/>
    </font>
    <font>
      <u/>
      <sz val="12"/>
      <name val="Arial"/>
      <family val="2"/>
    </font>
    <font>
      <sz val="12"/>
      <color indexed="8"/>
      <name val="Calibri"/>
      <family val="2"/>
      <scheme val="minor"/>
    </font>
    <font>
      <sz val="12"/>
      <name val="Calibri"/>
      <family val="2"/>
      <scheme val="minor"/>
    </font>
    <font>
      <sz val="11"/>
      <color rgb="FFFF0000"/>
      <name val="Arial"/>
      <family val="2"/>
    </font>
    <font>
      <sz val="11"/>
      <name val="Arial"/>
      <family val="2"/>
    </font>
    <font>
      <sz val="10"/>
      <color rgb="FFFF0000"/>
      <name val="Arial"/>
      <family val="2"/>
    </font>
    <font>
      <sz val="12"/>
      <name val="Times New Roman"/>
      <family val="1"/>
      <charset val="1"/>
    </font>
    <font>
      <sz val="10"/>
      <name val="Vrinda"/>
      <family val="2"/>
    </font>
    <font>
      <sz val="10"/>
      <name val="Times New Roman"/>
      <family val="1"/>
    </font>
    <font>
      <sz val="10"/>
      <color rgb="FFFF0000"/>
      <name val="Times New Roman"/>
      <family val="1"/>
    </font>
    <font>
      <vertAlign val="superscript"/>
      <sz val="10"/>
      <name val="Arial"/>
      <family val="2"/>
    </font>
    <font>
      <u/>
      <sz val="10"/>
      <name val="Arial"/>
      <family val="2"/>
    </font>
    <font>
      <sz val="11.5"/>
      <name val="Arial"/>
      <family val="2"/>
    </font>
    <font>
      <sz val="11.5"/>
      <color rgb="FFFF0000"/>
      <name val="Arial"/>
      <family val="2"/>
    </font>
    <font>
      <sz val="10"/>
      <name val="Calibri"/>
      <family val="2"/>
    </font>
    <font>
      <sz val="10"/>
      <color indexed="8"/>
      <name val="Calibri"/>
      <family val="2"/>
    </font>
    <font>
      <sz val="10"/>
      <color indexed="8"/>
      <name val="Times New Roman"/>
      <family val="1"/>
    </font>
    <font>
      <sz val="10"/>
      <name val="Vrinda"/>
    </font>
    <font>
      <b/>
      <i/>
      <sz val="10"/>
      <name val="Vrinda"/>
    </font>
    <font>
      <sz val="11"/>
      <color indexed="8"/>
      <name val="Calibri"/>
      <family val="2"/>
    </font>
    <font>
      <sz val="10"/>
      <color indexed="17"/>
      <name val="Arial"/>
      <family val="2"/>
    </font>
    <font>
      <vertAlign val="superscript"/>
      <sz val="10"/>
      <color indexed="10"/>
      <name val="Arial"/>
      <family val="2"/>
    </font>
    <font>
      <b/>
      <sz val="10"/>
      <name val="Calibri"/>
      <family val="2"/>
    </font>
    <font>
      <sz val="12"/>
      <name val="Vrinda"/>
      <family val="2"/>
    </font>
    <font>
      <b/>
      <i/>
      <sz val="12"/>
      <name val="Vrinda"/>
      <family val="2"/>
    </font>
    <font>
      <sz val="12"/>
      <color indexed="8"/>
      <name val="Vrinda"/>
      <family val="2"/>
    </font>
    <font>
      <sz val="12"/>
      <color indexed="8"/>
      <name val="Vrinda"/>
    </font>
    <font>
      <b/>
      <i/>
      <sz val="12"/>
      <name val="Vrinda"/>
    </font>
    <font>
      <sz val="10"/>
      <name val="Symbol"/>
      <family val="1"/>
      <charset val="2"/>
    </font>
    <font>
      <vertAlign val="superscript"/>
      <sz val="10"/>
      <name val="Symbol"/>
      <family val="1"/>
      <charset val="2"/>
    </font>
    <font>
      <sz val="12"/>
      <name val="Vrinda"/>
    </font>
    <font>
      <sz val="10"/>
      <color theme="1"/>
      <name val="Vrinda"/>
    </font>
    <font>
      <b/>
      <i/>
      <sz val="10"/>
      <color theme="1"/>
      <name val="Vrinda"/>
    </font>
    <font>
      <b/>
      <i/>
      <sz val="12"/>
      <color indexed="8"/>
      <name val="Vrinda"/>
    </font>
    <font>
      <b/>
      <i/>
      <sz val="12"/>
      <color indexed="8"/>
      <name val="Vrinda"/>
      <family val="2"/>
    </font>
    <font>
      <b/>
      <sz val="11"/>
      <name val="Calibri"/>
      <family val="2"/>
    </font>
    <font>
      <b/>
      <sz val="9"/>
      <name val="Arial"/>
      <family val="2"/>
    </font>
    <font>
      <sz val="9"/>
      <color indexed="8"/>
      <name val="Arial"/>
      <family val="2"/>
    </font>
    <font>
      <sz val="9"/>
      <name val="Calibri"/>
      <family val="2"/>
    </font>
    <font>
      <b/>
      <sz val="8"/>
      <name val="Arial"/>
      <family val="2"/>
    </font>
    <font>
      <sz val="10"/>
      <name val="Times New Roman"/>
      <family val="1"/>
      <charset val="1"/>
    </font>
    <font>
      <sz val="10"/>
      <color indexed="12"/>
      <name val="Times New Roman"/>
      <family val="1"/>
      <charset val="1"/>
    </font>
  </fonts>
  <fills count="17">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66FF33"/>
        <bgColor indexed="64"/>
      </patternFill>
    </fill>
    <fill>
      <patternFill patternType="solid">
        <fgColor indexed="9"/>
        <bgColor indexed="34"/>
      </patternFill>
    </fill>
    <fill>
      <patternFill patternType="solid">
        <fgColor theme="0"/>
        <bgColor indexed="34"/>
      </patternFill>
    </fill>
    <fill>
      <patternFill patternType="solid">
        <fgColor rgb="FFFFFF00"/>
        <bgColor indexed="34"/>
      </patternFill>
    </fill>
    <fill>
      <patternFill patternType="solid">
        <fgColor theme="4" tint="0.79998168889431442"/>
        <bgColor indexed="64"/>
      </patternFill>
    </fill>
    <fill>
      <patternFill patternType="solid">
        <fgColor indexed="13"/>
        <bgColor indexed="64"/>
      </patternFill>
    </fill>
    <fill>
      <patternFill patternType="solid">
        <fgColor rgb="FFFFFFCC"/>
        <bgColor indexed="64"/>
      </patternFill>
    </fill>
    <fill>
      <patternFill patternType="solid">
        <fgColor indexed="34"/>
        <bgColor indexed="64"/>
      </patternFill>
    </fill>
    <fill>
      <patternFill patternType="solid">
        <fgColor rgb="FFFFC000"/>
        <bgColor indexed="64"/>
      </patternFill>
    </fill>
    <fill>
      <patternFill patternType="solid">
        <fgColor rgb="FFFF0000"/>
        <bgColor indexed="64"/>
      </patternFill>
    </fill>
    <fill>
      <patternFill patternType="solid">
        <fgColor indexed="26"/>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thin">
        <color indexed="64"/>
      </bottom>
      <diagonal/>
    </border>
    <border>
      <left style="hair">
        <color indexed="8"/>
      </left>
      <right style="hair">
        <color indexed="8"/>
      </right>
      <top style="hair">
        <color indexed="8"/>
      </top>
      <bottom style="hair">
        <color indexed="8"/>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medium">
        <color indexed="64"/>
      </bottom>
      <diagonal/>
    </border>
  </borders>
  <cellStyleXfs count="5">
    <xf numFmtId="0" fontId="0" fillId="0" borderId="0"/>
    <xf numFmtId="9" fontId="1" fillId="0" borderId="0" applyFont="0" applyFill="0" applyBorder="0" applyAlignment="0" applyProtection="0"/>
    <xf numFmtId="0" fontId="4" fillId="0" borderId="0"/>
    <xf numFmtId="0" fontId="1" fillId="0" borderId="0"/>
    <xf numFmtId="0" fontId="74" fillId="0" borderId="0"/>
  </cellStyleXfs>
  <cellXfs count="991">
    <xf numFmtId="0" fontId="0" fillId="0" borderId="0" xfId="0"/>
    <xf numFmtId="0" fontId="0" fillId="0" borderId="0" xfId="0" applyAlignment="1">
      <alignment wrapText="1"/>
    </xf>
    <xf numFmtId="0" fontId="5" fillId="0" borderId="1" xfId="2" applyFont="1" applyBorder="1" applyAlignment="1">
      <alignment horizontal="left" vertical="center" wrapText="1"/>
    </xf>
    <xf numFmtId="0" fontId="5" fillId="2" borderId="1" xfId="2" applyFont="1" applyFill="1" applyBorder="1" applyAlignment="1">
      <alignment horizontal="center" vertical="center" wrapText="1"/>
    </xf>
    <xf numFmtId="0" fontId="5" fillId="3" borderId="1" xfId="2" applyFont="1" applyFill="1" applyBorder="1" applyAlignment="1">
      <alignment horizontal="center" vertical="center" wrapText="1"/>
    </xf>
    <xf numFmtId="0" fontId="5" fillId="2" borderId="2" xfId="2" applyFont="1" applyFill="1" applyBorder="1" applyAlignment="1">
      <alignment horizontal="center" vertical="center" wrapText="1"/>
    </xf>
    <xf numFmtId="0" fontId="5" fillId="3" borderId="2" xfId="2" applyFont="1" applyFill="1" applyBorder="1" applyAlignment="1">
      <alignment horizontal="center" vertical="center" wrapText="1"/>
    </xf>
    <xf numFmtId="0" fontId="5" fillId="0" borderId="1" xfId="2" applyFont="1" applyBorder="1" applyAlignment="1">
      <alignment horizontal="center" vertical="center" wrapText="1"/>
    </xf>
    <xf numFmtId="0" fontId="5" fillId="0" borderId="2" xfId="2" applyFont="1" applyBorder="1" applyAlignment="1">
      <alignment horizontal="center" vertical="center" wrapText="1"/>
    </xf>
    <xf numFmtId="0" fontId="5" fillId="4" borderId="1" xfId="2" applyFont="1" applyFill="1" applyBorder="1" applyAlignment="1">
      <alignment horizontal="center" vertical="center" wrapText="1"/>
    </xf>
    <xf numFmtId="0" fontId="5" fillId="3" borderId="0" xfId="2" applyFont="1" applyFill="1" applyAlignment="1">
      <alignment horizontal="center" vertical="center" wrapText="1"/>
    </xf>
    <xf numFmtId="10" fontId="5" fillId="3" borderId="1" xfId="2" applyNumberFormat="1" applyFont="1" applyFill="1" applyBorder="1" applyAlignment="1">
      <alignment horizontal="center" vertical="center" wrapText="1"/>
    </xf>
    <xf numFmtId="10" fontId="5" fillId="0" borderId="1" xfId="2" applyNumberFormat="1" applyFont="1" applyBorder="1" applyAlignment="1">
      <alignment horizontal="center" vertical="center" wrapText="1"/>
    </xf>
    <xf numFmtId="10" fontId="5" fillId="0" borderId="2" xfId="2" applyNumberFormat="1" applyFont="1" applyBorder="1" applyAlignment="1">
      <alignment horizontal="center" vertical="center" wrapText="1"/>
    </xf>
    <xf numFmtId="0" fontId="5" fillId="4" borderId="2" xfId="2" applyFont="1" applyFill="1" applyBorder="1" applyAlignment="1">
      <alignment horizontal="center" vertical="center" wrapText="1"/>
    </xf>
    <xf numFmtId="0" fontId="5" fillId="2" borderId="3" xfId="2" applyFont="1" applyFill="1" applyBorder="1" applyAlignment="1">
      <alignment horizontal="center" vertical="center" wrapText="1"/>
    </xf>
    <xf numFmtId="0" fontId="5" fillId="2" borderId="4" xfId="2" applyFont="1" applyFill="1" applyBorder="1" applyAlignment="1">
      <alignment horizontal="center" vertical="center" wrapText="1"/>
    </xf>
    <xf numFmtId="9" fontId="5" fillId="0" borderId="1" xfId="2" applyNumberFormat="1" applyFont="1" applyBorder="1" applyAlignment="1">
      <alignment horizontal="center" vertical="center" wrapText="1"/>
    </xf>
    <xf numFmtId="9" fontId="5" fillId="0" borderId="2" xfId="2" applyNumberFormat="1" applyFont="1" applyBorder="1" applyAlignment="1">
      <alignment horizontal="center" vertical="center" wrapText="1"/>
    </xf>
    <xf numFmtId="9" fontId="5" fillId="3" borderId="1" xfId="2" applyNumberFormat="1" applyFont="1" applyFill="1" applyBorder="1" applyAlignment="1">
      <alignment horizontal="center" vertical="center" wrapText="1"/>
    </xf>
    <xf numFmtId="0" fontId="6" fillId="3" borderId="1" xfId="2" applyFont="1" applyFill="1" applyBorder="1" applyAlignment="1">
      <alignment horizontal="center" vertical="center" wrapText="1"/>
    </xf>
    <xf numFmtId="10" fontId="5" fillId="2" borderId="1" xfId="2" applyNumberFormat="1" applyFont="1" applyFill="1" applyBorder="1" applyAlignment="1">
      <alignment horizontal="center" vertical="center" wrapText="1"/>
    </xf>
    <xf numFmtId="10" fontId="5" fillId="3" borderId="2" xfId="2" applyNumberFormat="1" applyFont="1" applyFill="1" applyBorder="1" applyAlignment="1">
      <alignment horizontal="center" vertical="center" wrapText="1"/>
    </xf>
    <xf numFmtId="9" fontId="5" fillId="0" borderId="1" xfId="2" quotePrefix="1" applyNumberFormat="1" applyFont="1" applyBorder="1" applyAlignment="1">
      <alignment horizontal="center" vertical="center" wrapText="1"/>
    </xf>
    <xf numFmtId="0" fontId="5" fillId="3" borderId="2" xfId="2" quotePrefix="1" applyFont="1" applyFill="1" applyBorder="1" applyAlignment="1">
      <alignment horizontal="center" vertical="center" wrapText="1"/>
    </xf>
    <xf numFmtId="0" fontId="5" fillId="0" borderId="3" xfId="2" applyFont="1" applyBorder="1" applyAlignment="1">
      <alignment horizontal="center" vertical="center" wrapText="1"/>
    </xf>
    <xf numFmtId="0" fontId="5" fillId="3" borderId="4" xfId="2" applyFont="1" applyFill="1" applyBorder="1" applyAlignment="1">
      <alignment horizontal="center" vertical="center" wrapText="1"/>
    </xf>
    <xf numFmtId="0" fontId="5" fillId="0" borderId="5" xfId="2" applyFont="1" applyBorder="1" applyAlignment="1">
      <alignment horizontal="center" vertical="center" wrapText="1"/>
    </xf>
    <xf numFmtId="0" fontId="5" fillId="3" borderId="6" xfId="2" applyFont="1" applyFill="1" applyBorder="1" applyAlignment="1">
      <alignment horizontal="center" vertical="center" wrapText="1"/>
    </xf>
    <xf numFmtId="0" fontId="5" fillId="0" borderId="1" xfId="2" applyFont="1" applyBorder="1" applyAlignment="1">
      <alignment vertical="center" wrapText="1"/>
    </xf>
    <xf numFmtId="0" fontId="5" fillId="3" borderId="3" xfId="2" applyFont="1" applyFill="1" applyBorder="1" applyAlignment="1">
      <alignment horizontal="center" vertical="center" wrapText="1"/>
    </xf>
    <xf numFmtId="3" fontId="5" fillId="0" borderId="1" xfId="2" applyNumberFormat="1" applyFont="1" applyBorder="1" applyAlignment="1">
      <alignment horizontal="center" vertical="center" wrapText="1"/>
    </xf>
    <xf numFmtId="0" fontId="10" fillId="0" borderId="1" xfId="2" applyFont="1" applyBorder="1" applyAlignment="1">
      <alignment horizontal="left" vertical="center" wrapText="1"/>
    </xf>
    <xf numFmtId="0" fontId="10" fillId="0" borderId="1" xfId="2" applyFont="1" applyBorder="1" applyAlignment="1">
      <alignment horizontal="center" vertical="center" wrapText="1"/>
    </xf>
    <xf numFmtId="0" fontId="10" fillId="3" borderId="1" xfId="2" applyFont="1" applyFill="1" applyBorder="1" applyAlignment="1">
      <alignment horizontal="center" vertical="center" wrapText="1"/>
    </xf>
    <xf numFmtId="0" fontId="10" fillId="2" borderId="1" xfId="2" applyFont="1" applyFill="1" applyBorder="1" applyAlignment="1">
      <alignment horizontal="left" vertical="center" wrapText="1"/>
    </xf>
    <xf numFmtId="0" fontId="10" fillId="2" borderId="1" xfId="2" applyFont="1" applyFill="1" applyBorder="1" applyAlignment="1">
      <alignment horizontal="center" vertical="center" wrapText="1"/>
    </xf>
    <xf numFmtId="0" fontId="10" fillId="0" borderId="1" xfId="2" applyFont="1" applyBorder="1" applyAlignment="1">
      <alignment vertical="center" wrapText="1"/>
    </xf>
    <xf numFmtId="0" fontId="10" fillId="4" borderId="1" xfId="2" applyFont="1" applyFill="1" applyBorder="1" applyAlignment="1">
      <alignment horizontal="center" vertical="center" wrapText="1"/>
    </xf>
    <xf numFmtId="0" fontId="13" fillId="0" borderId="1" xfId="2" applyFont="1" applyBorder="1" applyAlignment="1">
      <alignment vertical="center" wrapText="1"/>
    </xf>
    <xf numFmtId="0" fontId="13" fillId="3" borderId="1" xfId="2" applyFont="1" applyFill="1" applyBorder="1" applyAlignment="1">
      <alignment horizontal="center" vertical="center"/>
    </xf>
    <xf numFmtId="0" fontId="13" fillId="4" borderId="1" xfId="2" applyFont="1" applyFill="1" applyBorder="1" applyAlignment="1">
      <alignment horizontal="center" vertical="center"/>
    </xf>
    <xf numFmtId="0" fontId="13" fillId="0" borderId="1" xfId="2" applyFont="1" applyBorder="1" applyAlignment="1">
      <alignment horizontal="center" vertical="center"/>
    </xf>
    <xf numFmtId="0" fontId="13" fillId="3" borderId="1" xfId="2" applyFont="1" applyFill="1" applyBorder="1" applyAlignment="1">
      <alignment horizontal="center" vertical="center" wrapText="1"/>
    </xf>
    <xf numFmtId="0" fontId="13" fillId="4" borderId="1" xfId="2" applyFont="1" applyFill="1" applyBorder="1" applyAlignment="1">
      <alignment horizontal="center" vertical="center" wrapText="1"/>
    </xf>
    <xf numFmtId="0" fontId="5" fillId="0" borderId="1" xfId="2" applyFont="1" applyBorder="1" applyAlignment="1">
      <alignment wrapText="1"/>
    </xf>
    <xf numFmtId="0" fontId="5" fillId="3" borderId="1" xfId="2" applyFont="1" applyFill="1" applyBorder="1" applyAlignment="1">
      <alignment horizontal="center"/>
    </xf>
    <xf numFmtId="0" fontId="5" fillId="0" borderId="1" xfId="2" applyFont="1" applyBorder="1" applyAlignment="1">
      <alignment horizontal="center"/>
    </xf>
    <xf numFmtId="0" fontId="13" fillId="0" borderId="1" xfId="2" applyFont="1" applyBorder="1" applyAlignment="1">
      <alignment horizontal="center"/>
    </xf>
    <xf numFmtId="0" fontId="5" fillId="3" borderId="1" xfId="2" applyFont="1" applyFill="1" applyBorder="1" applyAlignment="1">
      <alignment horizontal="center" wrapText="1"/>
    </xf>
    <xf numFmtId="0" fontId="5" fillId="0" borderId="1" xfId="2" applyFont="1" applyBorder="1" applyAlignment="1">
      <alignment horizontal="center" wrapText="1"/>
    </xf>
    <xf numFmtId="0" fontId="13" fillId="0" borderId="1" xfId="2" applyFont="1" applyBorder="1" applyAlignment="1">
      <alignment horizontal="center" wrapText="1"/>
    </xf>
    <xf numFmtId="0" fontId="5" fillId="4" borderId="1" xfId="2" applyFont="1" applyFill="1" applyBorder="1" applyAlignment="1">
      <alignment horizontal="center" wrapText="1"/>
    </xf>
    <xf numFmtId="0" fontId="13" fillId="3" borderId="1" xfId="2" applyFont="1" applyFill="1" applyBorder="1" applyAlignment="1">
      <alignment horizontal="center"/>
    </xf>
    <xf numFmtId="9" fontId="13" fillId="0" borderId="1" xfId="2" applyNumberFormat="1" applyFont="1" applyBorder="1" applyAlignment="1">
      <alignment horizontal="left" vertical="center" wrapText="1"/>
    </xf>
    <xf numFmtId="9" fontId="13" fillId="4" borderId="1" xfId="2" applyNumberFormat="1" applyFont="1" applyFill="1" applyBorder="1" applyAlignment="1">
      <alignment horizontal="center" vertical="center" wrapText="1"/>
    </xf>
    <xf numFmtId="9" fontId="13" fillId="3" borderId="1" xfId="2" applyNumberFormat="1" applyFont="1" applyFill="1" applyBorder="1" applyAlignment="1">
      <alignment horizontal="center" vertical="center" wrapText="1"/>
    </xf>
    <xf numFmtId="0" fontId="13" fillId="0" borderId="1" xfId="2" applyFont="1" applyBorder="1" applyAlignment="1">
      <alignment horizontal="left" vertical="center" wrapText="1"/>
    </xf>
    <xf numFmtId="49" fontId="13" fillId="4" borderId="1" xfId="2" applyNumberFormat="1" applyFont="1" applyFill="1" applyBorder="1" applyAlignment="1">
      <alignment horizontal="center" vertical="center" wrapText="1"/>
    </xf>
    <xf numFmtId="49" fontId="13" fillId="3" borderId="1" xfId="2" applyNumberFormat="1" applyFont="1" applyFill="1" applyBorder="1" applyAlignment="1">
      <alignment horizontal="center" vertical="center" wrapText="1"/>
    </xf>
    <xf numFmtId="0" fontId="13" fillId="4" borderId="1" xfId="2" applyFont="1" applyFill="1" applyBorder="1" applyAlignment="1">
      <alignment horizontal="left" vertical="center" wrapText="1"/>
    </xf>
    <xf numFmtId="0" fontId="13" fillId="0" borderId="1" xfId="2" applyFont="1" applyBorder="1" applyAlignment="1">
      <alignment horizontal="center" vertical="center" wrapText="1"/>
    </xf>
    <xf numFmtId="20" fontId="13" fillId="4" borderId="1" xfId="2" quotePrefix="1" applyNumberFormat="1" applyFont="1" applyFill="1" applyBorder="1" applyAlignment="1">
      <alignment horizontal="center" vertical="center" wrapText="1"/>
    </xf>
    <xf numFmtId="0" fontId="13" fillId="3" borderId="1" xfId="2" quotePrefix="1" applyFont="1" applyFill="1" applyBorder="1" applyAlignment="1">
      <alignment horizontal="center" vertical="center" wrapText="1"/>
    </xf>
    <xf numFmtId="0" fontId="13" fillId="4" borderId="1" xfId="2" quotePrefix="1" applyFont="1" applyFill="1" applyBorder="1" applyAlignment="1">
      <alignment horizontal="center" vertical="center" wrapText="1"/>
    </xf>
    <xf numFmtId="10" fontId="13" fillId="4" borderId="1" xfId="2" applyNumberFormat="1" applyFont="1" applyFill="1" applyBorder="1" applyAlignment="1">
      <alignment horizontal="center" vertical="center" wrapText="1"/>
    </xf>
    <xf numFmtId="10" fontId="13" fillId="3" borderId="1" xfId="2" applyNumberFormat="1" applyFont="1" applyFill="1" applyBorder="1" applyAlignment="1">
      <alignment horizontal="center" vertical="center" wrapText="1"/>
    </xf>
    <xf numFmtId="3" fontId="13" fillId="3" borderId="1" xfId="2" applyNumberFormat="1" applyFont="1" applyFill="1" applyBorder="1" applyAlignment="1">
      <alignment horizontal="center" vertical="center"/>
    </xf>
    <xf numFmtId="3" fontId="13" fillId="4" borderId="1" xfId="2" applyNumberFormat="1" applyFont="1" applyFill="1" applyBorder="1" applyAlignment="1">
      <alignment horizontal="center" vertical="center"/>
    </xf>
    <xf numFmtId="46" fontId="13" fillId="4" borderId="1" xfId="2" quotePrefix="1" applyNumberFormat="1" applyFont="1" applyFill="1" applyBorder="1" applyAlignment="1">
      <alignment horizontal="center" vertical="center"/>
    </xf>
    <xf numFmtId="46" fontId="13" fillId="3" borderId="1" xfId="2" quotePrefix="1" applyNumberFormat="1" applyFont="1" applyFill="1" applyBorder="1" applyAlignment="1">
      <alignment horizontal="center" vertical="center"/>
    </xf>
    <xf numFmtId="10" fontId="13" fillId="3" borderId="1" xfId="2" applyNumberFormat="1" applyFont="1" applyFill="1" applyBorder="1" applyAlignment="1">
      <alignment horizontal="center" vertical="center"/>
    </xf>
    <xf numFmtId="9" fontId="13" fillId="4" borderId="1" xfId="2" applyNumberFormat="1" applyFont="1" applyFill="1" applyBorder="1" applyAlignment="1">
      <alignment horizontal="center" vertical="center"/>
    </xf>
    <xf numFmtId="10" fontId="13" fillId="4" borderId="1" xfId="2" applyNumberFormat="1" applyFont="1" applyFill="1" applyBorder="1" applyAlignment="1">
      <alignment horizontal="center" vertical="center"/>
    </xf>
    <xf numFmtId="1" fontId="13" fillId="4" borderId="1" xfId="2" quotePrefix="1" applyNumberFormat="1" applyFont="1" applyFill="1" applyBorder="1" applyAlignment="1">
      <alignment horizontal="center" vertical="center"/>
    </xf>
    <xf numFmtId="1" fontId="13" fillId="3" borderId="1" xfId="2" quotePrefix="1" applyNumberFormat="1" applyFont="1" applyFill="1" applyBorder="1" applyAlignment="1">
      <alignment horizontal="center" vertical="center"/>
    </xf>
    <xf numFmtId="1" fontId="13" fillId="4" borderId="1" xfId="2" applyNumberFormat="1" applyFont="1" applyFill="1" applyBorder="1" applyAlignment="1">
      <alignment horizontal="center" vertical="center"/>
    </xf>
    <xf numFmtId="9" fontId="13" fillId="3" borderId="1" xfId="2" applyNumberFormat="1" applyFont="1" applyFill="1" applyBorder="1" applyAlignment="1">
      <alignment horizontal="center" vertical="center"/>
    </xf>
    <xf numFmtId="3" fontId="13" fillId="0" borderId="1" xfId="2" applyNumberFormat="1" applyFont="1" applyBorder="1" applyAlignment="1">
      <alignment horizontal="center" vertical="center" wrapText="1"/>
    </xf>
    <xf numFmtId="3" fontId="13" fillId="3" borderId="1" xfId="2" applyNumberFormat="1" applyFont="1" applyFill="1" applyBorder="1" applyAlignment="1">
      <alignment horizontal="center" vertical="center" wrapText="1"/>
    </xf>
    <xf numFmtId="0" fontId="14" fillId="0" borderId="1" xfId="2" applyFont="1" applyBorder="1" applyAlignment="1">
      <alignment horizontal="left" vertical="center" wrapText="1"/>
    </xf>
    <xf numFmtId="0" fontId="14" fillId="0" borderId="1" xfId="2" applyFont="1" applyBorder="1" applyAlignment="1">
      <alignment horizontal="center" vertical="center" wrapText="1"/>
    </xf>
    <xf numFmtId="0" fontId="14" fillId="3" borderId="1" xfId="2" applyFont="1" applyFill="1" applyBorder="1" applyAlignment="1">
      <alignment horizontal="center" vertical="center" wrapText="1"/>
    </xf>
    <xf numFmtId="0" fontId="14" fillId="2" borderId="1" xfId="2" applyFont="1" applyFill="1" applyBorder="1" applyAlignment="1">
      <alignment horizontal="left" vertical="center" wrapText="1"/>
    </xf>
    <xf numFmtId="0" fontId="14" fillId="2" borderId="1" xfId="2" applyFont="1" applyFill="1" applyBorder="1" applyAlignment="1">
      <alignment horizontal="center" vertical="center" wrapText="1"/>
    </xf>
    <xf numFmtId="0" fontId="14" fillId="4" borderId="1" xfId="2" applyFont="1" applyFill="1" applyBorder="1" applyAlignment="1">
      <alignment horizontal="center" vertical="center" wrapText="1"/>
    </xf>
    <xf numFmtId="9" fontId="14" fillId="0" borderId="1" xfId="2" applyNumberFormat="1" applyFont="1" applyBorder="1" applyAlignment="1">
      <alignment horizontal="center" vertical="center" wrapText="1"/>
    </xf>
    <xf numFmtId="9" fontId="14" fillId="3" borderId="1" xfId="2" applyNumberFormat="1" applyFont="1" applyFill="1" applyBorder="1" applyAlignment="1">
      <alignment horizontal="center" vertical="center" wrapText="1"/>
    </xf>
    <xf numFmtId="0" fontId="14" fillId="3" borderId="1" xfId="0" applyFont="1" applyFill="1" applyBorder="1" applyAlignment="1">
      <alignment horizontal="center" vertical="center" wrapText="1"/>
    </xf>
    <xf numFmtId="0" fontId="14" fillId="0" borderId="1" xfId="0" applyFont="1" applyBorder="1" applyAlignment="1">
      <alignment horizontal="center" vertical="center" wrapText="1"/>
    </xf>
    <xf numFmtId="15" fontId="14" fillId="0" borderId="1" xfId="2" applyNumberFormat="1" applyFont="1" applyBorder="1" applyAlignment="1">
      <alignment horizontal="center" vertical="center" wrapText="1"/>
    </xf>
    <xf numFmtId="0" fontId="14" fillId="5" borderId="1" xfId="2" applyFont="1" applyFill="1" applyBorder="1" applyAlignment="1">
      <alignment horizontal="center" vertical="center" wrapText="1"/>
    </xf>
    <xf numFmtId="0" fontId="14" fillId="0" borderId="1" xfId="0" quotePrefix="1" applyFont="1" applyBorder="1" applyAlignment="1">
      <alignment vertical="center" wrapText="1"/>
    </xf>
    <xf numFmtId="0" fontId="14" fillId="5" borderId="1" xfId="2" applyFont="1" applyFill="1" applyBorder="1" applyAlignment="1">
      <alignment horizontal="center" vertical="center"/>
    </xf>
    <xf numFmtId="0" fontId="14" fillId="0" borderId="1" xfId="2" applyFont="1" applyBorder="1" applyAlignment="1">
      <alignment horizontal="center" vertical="center"/>
    </xf>
    <xf numFmtId="0" fontId="14" fillId="0" borderId="1" xfId="0" applyFont="1" applyBorder="1" applyAlignment="1">
      <alignment vertical="center" wrapText="1"/>
    </xf>
    <xf numFmtId="0" fontId="14" fillId="4" borderId="1" xfId="2" applyFont="1" applyFill="1" applyBorder="1" applyAlignment="1">
      <alignment horizontal="left" vertical="center" wrapText="1"/>
    </xf>
    <xf numFmtId="0" fontId="0" fillId="0" borderId="1" xfId="0" applyBorder="1" applyAlignment="1">
      <alignment vertical="center" wrapText="1"/>
    </xf>
    <xf numFmtId="0" fontId="4" fillId="0" borderId="1" xfId="0" applyFont="1" applyBorder="1" applyAlignment="1">
      <alignment horizontal="center" vertical="center" wrapText="1"/>
    </xf>
    <xf numFmtId="0" fontId="15" fillId="3"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1" xfId="0" applyFont="1" applyFill="1" applyBorder="1" applyAlignment="1">
      <alignment horizontal="center" vertical="center" wrapText="1"/>
    </xf>
    <xf numFmtId="0" fontId="15" fillId="0" borderId="1" xfId="0" applyFont="1" applyBorder="1" applyAlignment="1">
      <alignment vertical="center" wrapText="1"/>
    </xf>
    <xf numFmtId="0" fontId="4" fillId="4" borderId="1" xfId="0" applyFont="1" applyFill="1" applyBorder="1" applyAlignment="1">
      <alignment vertical="center" wrapText="1"/>
    </xf>
    <xf numFmtId="0" fontId="15" fillId="4" borderId="1" xfId="0" applyFont="1" applyFill="1" applyBorder="1" applyAlignment="1">
      <alignment horizontal="center" vertical="center" wrapText="1"/>
    </xf>
    <xf numFmtId="0" fontId="0" fillId="0" borderId="1" xfId="0" applyBorder="1" applyAlignment="1">
      <alignment wrapText="1"/>
    </xf>
    <xf numFmtId="0" fontId="0" fillId="3" borderId="1" xfId="0" applyFill="1" applyBorder="1" applyAlignment="1">
      <alignment wrapText="1"/>
    </xf>
    <xf numFmtId="0" fontId="0" fillId="0" borderId="1" xfId="0" applyBorder="1"/>
    <xf numFmtId="0" fontId="0" fillId="4" borderId="1" xfId="0" applyFill="1" applyBorder="1" applyAlignment="1">
      <alignment wrapText="1"/>
    </xf>
    <xf numFmtId="0" fontId="4" fillId="0" borderId="1" xfId="0" applyFont="1" applyBorder="1" applyAlignment="1">
      <alignment wrapText="1"/>
    </xf>
    <xf numFmtId="0" fontId="0" fillId="3" borderId="1" xfId="0" applyFill="1" applyBorder="1"/>
    <xf numFmtId="0" fontId="4" fillId="3" borderId="1" xfId="0" applyFont="1" applyFill="1" applyBorder="1" applyAlignment="1">
      <alignment wrapText="1"/>
    </xf>
    <xf numFmtId="0" fontId="0" fillId="0" borderId="1" xfId="0" applyBorder="1" applyAlignment="1">
      <alignment horizontal="center" vertical="center" wrapText="1"/>
    </xf>
    <xf numFmtId="0" fontId="4" fillId="0" borderId="1" xfId="0" applyFont="1" applyBorder="1" applyAlignment="1">
      <alignment horizontal="center" vertical="center"/>
    </xf>
    <xf numFmtId="0" fontId="0" fillId="3" borderId="1" xfId="0" applyFill="1" applyBorder="1" applyAlignment="1">
      <alignment horizontal="center" vertical="center" wrapText="1"/>
    </xf>
    <xf numFmtId="0" fontId="16" fillId="0" borderId="1" xfId="2" applyFont="1" applyBorder="1" applyAlignment="1">
      <alignment horizontal="center" vertical="center" wrapText="1"/>
    </xf>
    <xf numFmtId="0" fontId="16" fillId="3" borderId="1" xfId="2" applyFont="1" applyFill="1" applyBorder="1" applyAlignment="1">
      <alignment horizontal="center" vertical="center" wrapText="1"/>
    </xf>
    <xf numFmtId="0" fontId="16" fillId="4" borderId="1" xfId="2" applyFont="1" applyFill="1" applyBorder="1" applyAlignment="1">
      <alignment horizontal="center" vertical="center" wrapText="1"/>
    </xf>
    <xf numFmtId="0" fontId="16" fillId="0" borderId="0" xfId="2" applyFont="1" applyAlignment="1">
      <alignment horizontal="center" vertical="center" wrapText="1"/>
    </xf>
    <xf numFmtId="0" fontId="17" fillId="3" borderId="1" xfId="2" applyFont="1" applyFill="1" applyBorder="1" applyAlignment="1">
      <alignment horizontal="center" vertical="center" wrapText="1"/>
    </xf>
    <xf numFmtId="0" fontId="16" fillId="0" borderId="3" xfId="2" applyFont="1" applyBorder="1" applyAlignment="1">
      <alignment horizontal="center" vertical="center" wrapText="1"/>
    </xf>
    <xf numFmtId="0" fontId="16" fillId="3" borderId="3" xfId="2" applyFont="1" applyFill="1" applyBorder="1" applyAlignment="1">
      <alignment horizontal="center" vertical="center" wrapText="1"/>
    </xf>
    <xf numFmtId="17" fontId="16" fillId="0" borderId="1" xfId="2" applyNumberFormat="1" applyFont="1" applyBorder="1" applyAlignment="1">
      <alignment horizontal="center" vertical="center" wrapText="1"/>
    </xf>
    <xf numFmtId="17" fontId="16" fillId="3" borderId="1" xfId="2" applyNumberFormat="1" applyFont="1" applyFill="1" applyBorder="1" applyAlignment="1">
      <alignment horizontal="center" vertical="center" wrapText="1"/>
    </xf>
    <xf numFmtId="0" fontId="18" fillId="3" borderId="1" xfId="2" applyFont="1" applyFill="1" applyBorder="1" applyAlignment="1">
      <alignment vertical="center" wrapText="1"/>
    </xf>
    <xf numFmtId="0" fontId="18" fillId="0" borderId="1" xfId="2" applyFont="1" applyBorder="1" applyAlignment="1">
      <alignment vertical="center" wrapText="1"/>
    </xf>
    <xf numFmtId="9" fontId="18" fillId="0" borderId="1" xfId="2" applyNumberFormat="1" applyFont="1" applyBorder="1" applyAlignment="1">
      <alignment vertical="center" wrapText="1"/>
    </xf>
    <xf numFmtId="9" fontId="18" fillId="3" borderId="1" xfId="2" applyNumberFormat="1" applyFont="1" applyFill="1" applyBorder="1" applyAlignment="1">
      <alignment vertical="center" wrapText="1"/>
    </xf>
    <xf numFmtId="10" fontId="18" fillId="0" borderId="1" xfId="2" applyNumberFormat="1" applyFont="1" applyBorder="1" applyAlignment="1">
      <alignment vertical="center" wrapText="1"/>
    </xf>
    <xf numFmtId="10" fontId="18" fillId="3" borderId="1" xfId="2" applyNumberFormat="1" applyFont="1" applyFill="1" applyBorder="1" applyAlignment="1">
      <alignment vertical="center" wrapText="1"/>
    </xf>
    <xf numFmtId="0" fontId="4" fillId="4" borderId="1" xfId="0" applyFont="1" applyFill="1" applyBorder="1" applyAlignment="1">
      <alignment horizontal="center" vertical="center" wrapText="1"/>
    </xf>
    <xf numFmtId="0" fontId="0" fillId="3" borderId="1" xfId="0" applyFill="1" applyBorder="1" applyAlignment="1">
      <alignment vertical="center" wrapText="1"/>
    </xf>
    <xf numFmtId="0" fontId="0" fillId="4" borderId="1" xfId="0" applyFill="1" applyBorder="1" applyAlignment="1">
      <alignment vertical="center" wrapText="1"/>
    </xf>
    <xf numFmtId="0" fontId="0" fillId="4" borderId="1" xfId="0" applyFill="1" applyBorder="1" applyAlignment="1">
      <alignment horizontal="center" vertical="center" wrapText="1"/>
    </xf>
    <xf numFmtId="0" fontId="4" fillId="3" borderId="1" xfId="0" applyFont="1" applyFill="1" applyBorder="1" applyAlignment="1">
      <alignment vertical="center" wrapText="1"/>
    </xf>
    <xf numFmtId="0" fontId="4" fillId="2" borderId="1" xfId="0" applyFont="1" applyFill="1" applyBorder="1" applyAlignment="1">
      <alignment vertical="center" wrapText="1"/>
    </xf>
    <xf numFmtId="46" fontId="4" fillId="4" borderId="1" xfId="0" applyNumberFormat="1" applyFont="1" applyFill="1" applyBorder="1" applyAlignment="1">
      <alignment horizontal="center" vertical="center" wrapText="1"/>
    </xf>
    <xf numFmtId="46" fontId="4" fillId="3" borderId="1" xfId="0" quotePrefix="1" applyNumberFormat="1" applyFont="1" applyFill="1" applyBorder="1" applyAlignment="1">
      <alignment horizontal="center" vertical="center" wrapText="1"/>
    </xf>
    <xf numFmtId="46" fontId="4" fillId="4" borderId="1" xfId="0" quotePrefix="1" applyNumberFormat="1" applyFont="1" applyFill="1" applyBorder="1" applyAlignment="1">
      <alignment horizontal="center" vertical="center" wrapText="1"/>
    </xf>
    <xf numFmtId="10" fontId="4" fillId="3" borderId="1" xfId="0" applyNumberFormat="1" applyFont="1" applyFill="1" applyBorder="1" applyAlignment="1">
      <alignment horizontal="center" vertical="center" wrapText="1"/>
    </xf>
    <xf numFmtId="10" fontId="4" fillId="4" borderId="1" xfId="0" applyNumberFormat="1" applyFont="1" applyFill="1" applyBorder="1" applyAlignment="1">
      <alignment horizontal="center" vertical="center" wrapText="1"/>
    </xf>
    <xf numFmtId="9" fontId="4" fillId="4" borderId="1" xfId="0" applyNumberFormat="1" applyFont="1" applyFill="1" applyBorder="1" applyAlignment="1">
      <alignment horizontal="center" vertical="center" wrapText="1"/>
    </xf>
    <xf numFmtId="9" fontId="4" fillId="3" borderId="1" xfId="0" applyNumberFormat="1" applyFont="1" applyFill="1" applyBorder="1" applyAlignment="1">
      <alignment horizontal="center" vertical="center" wrapText="1"/>
    </xf>
    <xf numFmtId="0" fontId="0" fillId="2" borderId="1" xfId="0" applyFill="1" applyBorder="1" applyAlignment="1">
      <alignment vertical="center" wrapText="1"/>
    </xf>
    <xf numFmtId="49" fontId="4" fillId="3" borderId="1" xfId="0" applyNumberFormat="1" applyFont="1" applyFill="1" applyBorder="1" applyAlignment="1">
      <alignment horizontal="center" vertical="center" wrapText="1"/>
    </xf>
    <xf numFmtId="20" fontId="4" fillId="4" borderId="1" xfId="0" applyNumberFormat="1" applyFont="1" applyFill="1" applyBorder="1" applyAlignment="1">
      <alignment horizontal="center" vertical="center" wrapText="1"/>
    </xf>
    <xf numFmtId="9" fontId="4" fillId="0" borderId="1" xfId="0" applyNumberFormat="1" applyFont="1" applyBorder="1" applyAlignment="1">
      <alignment horizontal="center" vertical="center" wrapText="1"/>
    </xf>
    <xf numFmtId="10" fontId="4" fillId="0" borderId="1" xfId="0" applyNumberFormat="1" applyFont="1" applyBorder="1" applyAlignment="1">
      <alignment horizontal="center" vertical="center" wrapText="1"/>
    </xf>
    <xf numFmtId="0" fontId="4" fillId="6" borderId="1" xfId="0" applyFont="1" applyFill="1" applyBorder="1" applyAlignment="1">
      <alignment vertical="center" wrapText="1"/>
    </xf>
    <xf numFmtId="49" fontId="4" fillId="0" borderId="1" xfId="0" applyNumberFormat="1" applyFont="1" applyBorder="1" applyAlignment="1">
      <alignment horizontal="center" vertical="center" wrapText="1"/>
    </xf>
    <xf numFmtId="0" fontId="0" fillId="0" borderId="1" xfId="0" applyBorder="1" applyAlignment="1">
      <alignment horizontal="left" wrapText="1"/>
    </xf>
    <xf numFmtId="0" fontId="0" fillId="4" borderId="1" xfId="0" applyFill="1" applyBorder="1" applyAlignment="1">
      <alignment horizontal="left" wrapText="1"/>
    </xf>
    <xf numFmtId="0" fontId="0" fillId="3" borderId="1" xfId="0" applyFill="1" applyBorder="1" applyAlignment="1">
      <alignment horizontal="left" wrapText="1"/>
    </xf>
    <xf numFmtId="10" fontId="0" fillId="4" borderId="1" xfId="0" applyNumberFormat="1" applyFill="1" applyBorder="1" applyAlignment="1">
      <alignment horizontal="left" wrapText="1"/>
    </xf>
    <xf numFmtId="10" fontId="0" fillId="3" borderId="1" xfId="0" applyNumberFormat="1" applyFill="1" applyBorder="1" applyAlignment="1">
      <alignment horizontal="left" wrapText="1"/>
    </xf>
    <xf numFmtId="9" fontId="0" fillId="4" borderId="1" xfId="0" applyNumberFormat="1" applyFill="1" applyBorder="1" applyAlignment="1">
      <alignment horizontal="left" wrapText="1"/>
    </xf>
    <xf numFmtId="9" fontId="0" fillId="3" borderId="1" xfId="0" applyNumberFormat="1" applyFill="1" applyBorder="1" applyAlignment="1">
      <alignment horizontal="left" wrapText="1"/>
    </xf>
    <xf numFmtId="9" fontId="0" fillId="0" borderId="1" xfId="0" applyNumberFormat="1" applyBorder="1" applyAlignment="1">
      <alignment horizontal="left" wrapText="1"/>
    </xf>
    <xf numFmtId="10" fontId="0" fillId="0" borderId="1" xfId="0" applyNumberFormat="1" applyBorder="1" applyAlignment="1">
      <alignment horizontal="left" wrapText="1"/>
    </xf>
    <xf numFmtId="16" fontId="0" fillId="5" borderId="1" xfId="0" applyNumberFormat="1" applyFill="1" applyBorder="1" applyAlignment="1">
      <alignment horizontal="left" wrapText="1"/>
    </xf>
    <xf numFmtId="16" fontId="0" fillId="4" borderId="1" xfId="0" applyNumberFormat="1" applyFill="1" applyBorder="1" applyAlignment="1">
      <alignment horizontal="left" wrapText="1"/>
    </xf>
    <xf numFmtId="0" fontId="0" fillId="5" borderId="1" xfId="0" applyFill="1" applyBorder="1" applyAlignment="1">
      <alignment horizontal="left" wrapText="1"/>
    </xf>
    <xf numFmtId="0" fontId="19" fillId="2" borderId="1"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0" borderId="1" xfId="0" applyFont="1" applyBorder="1" applyAlignment="1">
      <alignment horizontal="left" vertical="center" wrapText="1"/>
    </xf>
    <xf numFmtId="0" fontId="20" fillId="0" borderId="1" xfId="0" applyFont="1" applyBorder="1" applyAlignment="1">
      <alignment horizontal="left" vertical="center" wrapText="1"/>
    </xf>
    <xf numFmtId="0" fontId="20" fillId="3" borderId="1" xfId="0" applyFont="1" applyFill="1" applyBorder="1" applyAlignment="1">
      <alignment horizontal="left" vertical="center"/>
    </xf>
    <xf numFmtId="0" fontId="20" fillId="0" borderId="1" xfId="0" applyFont="1" applyBorder="1" applyAlignment="1">
      <alignment horizontal="left" vertical="center"/>
    </xf>
    <xf numFmtId="0" fontId="20" fillId="0" borderId="1" xfId="0" applyFont="1" applyBorder="1" applyAlignment="1">
      <alignment horizontal="left" wrapText="1"/>
    </xf>
    <xf numFmtId="0" fontId="20" fillId="0" borderId="1" xfId="0" applyFont="1" applyBorder="1" applyAlignment="1">
      <alignment horizontal="left"/>
    </xf>
    <xf numFmtId="0" fontId="20" fillId="3" borderId="1" xfId="0" applyFont="1" applyFill="1" applyBorder="1" applyAlignment="1">
      <alignment horizontal="left"/>
    </xf>
    <xf numFmtId="0" fontId="20" fillId="3" borderId="1" xfId="0" applyFont="1" applyFill="1" applyBorder="1" applyAlignment="1">
      <alignment horizontal="left" wrapText="1"/>
    </xf>
    <xf numFmtId="10" fontId="20" fillId="0" borderId="1" xfId="0" applyNumberFormat="1" applyFont="1" applyBorder="1" applyAlignment="1">
      <alignment horizontal="left"/>
    </xf>
    <xf numFmtId="10" fontId="20" fillId="3" borderId="1" xfId="0" applyNumberFormat="1" applyFont="1" applyFill="1" applyBorder="1" applyAlignment="1">
      <alignment horizontal="left"/>
    </xf>
    <xf numFmtId="0" fontId="15" fillId="0" borderId="1" xfId="0" applyFont="1" applyBorder="1" applyAlignment="1">
      <alignment vertical="top" wrapText="1"/>
    </xf>
    <xf numFmtId="9" fontId="15" fillId="3" borderId="1" xfId="0" applyNumberFormat="1" applyFont="1" applyFill="1" applyBorder="1" applyAlignment="1">
      <alignment vertical="top" wrapText="1"/>
    </xf>
    <xf numFmtId="9" fontId="15" fillId="4" borderId="1" xfId="0" applyNumberFormat="1" applyFont="1" applyFill="1" applyBorder="1" applyAlignment="1">
      <alignment vertical="top" wrapText="1"/>
    </xf>
    <xf numFmtId="49" fontId="15" fillId="0" borderId="1" xfId="0" applyNumberFormat="1" applyFont="1" applyBorder="1" applyAlignment="1">
      <alignment vertical="top" wrapText="1"/>
    </xf>
    <xf numFmtId="0" fontId="15" fillId="4" borderId="1" xfId="0" applyFont="1" applyFill="1" applyBorder="1" applyAlignment="1">
      <alignment vertical="top" wrapText="1"/>
    </xf>
    <xf numFmtId="0" fontId="15" fillId="3" borderId="1" xfId="0" applyFont="1" applyFill="1" applyBorder="1" applyAlignment="1">
      <alignment vertical="top" wrapText="1"/>
    </xf>
    <xf numFmtId="0" fontId="0" fillId="0" borderId="1" xfId="0" applyBorder="1" applyAlignment="1">
      <alignment horizontal="center" vertical="center"/>
    </xf>
    <xf numFmtId="0" fontId="0" fillId="4" borderId="1" xfId="0" applyFill="1" applyBorder="1"/>
    <xf numFmtId="0" fontId="15" fillId="0" borderId="1" xfId="0" applyFont="1" applyBorder="1" applyAlignment="1">
      <alignment horizontal="left" vertical="center" wrapText="1"/>
    </xf>
    <xf numFmtId="0" fontId="0" fillId="3" borderId="1" xfId="0" applyFill="1" applyBorder="1" applyAlignment="1">
      <alignment horizontal="center" vertical="center"/>
    </xf>
    <xf numFmtId="9" fontId="0" fillId="0" borderId="1" xfId="0" applyNumberFormat="1" applyBorder="1" applyAlignment="1">
      <alignment wrapText="1"/>
    </xf>
    <xf numFmtId="9" fontId="0" fillId="3" borderId="1" xfId="0" applyNumberFormat="1" applyFill="1" applyBorder="1" applyAlignment="1">
      <alignment wrapText="1"/>
    </xf>
    <xf numFmtId="0" fontId="0" fillId="0" borderId="3" xfId="0" applyBorder="1" applyAlignment="1">
      <alignment wrapText="1"/>
    </xf>
    <xf numFmtId="9" fontId="0" fillId="3" borderId="3" xfId="0" applyNumberFormat="1" applyFill="1" applyBorder="1" applyAlignment="1">
      <alignment wrapText="1"/>
    </xf>
    <xf numFmtId="9" fontId="0" fillId="0" borderId="3" xfId="0" applyNumberFormat="1" applyBorder="1" applyAlignment="1">
      <alignment wrapText="1"/>
    </xf>
    <xf numFmtId="0" fontId="13" fillId="0" borderId="1" xfId="2" applyFont="1" applyBorder="1" applyAlignment="1">
      <alignment horizontal="left" vertical="top" wrapText="1"/>
    </xf>
    <xf numFmtId="0" fontId="13" fillId="0" borderId="1" xfId="2" applyFont="1" applyBorder="1" applyAlignment="1">
      <alignment horizontal="center" vertical="top" wrapText="1"/>
    </xf>
    <xf numFmtId="0" fontId="13" fillId="3" borderId="1" xfId="2" applyFont="1" applyFill="1" applyBorder="1" applyAlignment="1">
      <alignment horizontal="center" vertical="top" wrapText="1"/>
    </xf>
    <xf numFmtId="14" fontId="13" fillId="0" borderId="1" xfId="2" applyNumberFormat="1" applyFont="1" applyBorder="1" applyAlignment="1">
      <alignment horizontal="center" vertical="top" wrapText="1"/>
    </xf>
    <xf numFmtId="0" fontId="13" fillId="4" borderId="1" xfId="2" applyFont="1" applyFill="1" applyBorder="1" applyAlignment="1">
      <alignment horizontal="center" vertical="top" wrapText="1"/>
    </xf>
    <xf numFmtId="0" fontId="1" fillId="3" borderId="1" xfId="2" applyFont="1" applyFill="1" applyBorder="1" applyAlignment="1">
      <alignment horizontal="center" vertical="top" wrapText="1"/>
    </xf>
    <xf numFmtId="0" fontId="1" fillId="0" borderId="1" xfId="2" applyFont="1" applyBorder="1" applyAlignment="1">
      <alignment horizontal="left" vertical="top" wrapText="1"/>
    </xf>
    <xf numFmtId="0" fontId="13" fillId="0" borderId="1" xfId="2" applyFont="1" applyBorder="1" applyAlignment="1">
      <alignment vertical="top" wrapText="1"/>
    </xf>
    <xf numFmtId="0" fontId="21" fillId="0" borderId="1" xfId="2" applyFont="1" applyBorder="1" applyAlignment="1">
      <alignment horizontal="left" vertical="top" wrapText="1"/>
    </xf>
    <xf numFmtId="0" fontId="21" fillId="0" borderId="1" xfId="2" applyFont="1" applyBorder="1" applyAlignment="1">
      <alignment horizontal="center" vertical="top" wrapText="1"/>
    </xf>
    <xf numFmtId="0" fontId="21" fillId="3" borderId="1" xfId="2" applyFont="1" applyFill="1" applyBorder="1" applyAlignment="1">
      <alignment horizontal="center" vertical="top" wrapText="1"/>
    </xf>
    <xf numFmtId="0" fontId="21" fillId="0" borderId="1" xfId="2" applyFont="1" applyBorder="1" applyAlignment="1">
      <alignment horizontal="center" vertical="top"/>
    </xf>
    <xf numFmtId="0" fontId="21" fillId="0" borderId="0" xfId="2" applyFont="1" applyAlignment="1">
      <alignment horizontal="center" vertical="top"/>
    </xf>
    <xf numFmtId="0" fontId="21" fillId="0" borderId="1" xfId="2" applyFont="1" applyBorder="1" applyAlignment="1">
      <alignment vertical="top" wrapText="1"/>
    </xf>
    <xf numFmtId="0" fontId="21" fillId="0" borderId="0" xfId="2" applyFont="1" applyAlignment="1">
      <alignment vertical="top"/>
    </xf>
    <xf numFmtId="0" fontId="1" fillId="0" borderId="1" xfId="0" applyFont="1" applyBorder="1" applyAlignment="1">
      <alignment vertical="center" wrapText="1"/>
    </xf>
    <xf numFmtId="0" fontId="1" fillId="0" borderId="1" xfId="0" applyFont="1" applyBorder="1" applyAlignment="1">
      <alignment horizontal="center" vertical="center" wrapText="1"/>
    </xf>
    <xf numFmtId="0" fontId="1" fillId="3" borderId="1"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21" fillId="0" borderId="1" xfId="2" applyFont="1" applyBorder="1" applyAlignment="1">
      <alignment horizontal="left" wrapText="1"/>
    </xf>
    <xf numFmtId="0" fontId="21" fillId="0" borderId="1" xfId="2" applyFont="1" applyBorder="1" applyAlignment="1">
      <alignment horizontal="center"/>
    </xf>
    <xf numFmtId="0" fontId="21" fillId="3" borderId="1" xfId="2" applyFont="1" applyFill="1" applyBorder="1" applyAlignment="1">
      <alignment horizontal="center"/>
    </xf>
    <xf numFmtId="0" fontId="21" fillId="0" borderId="1" xfId="2" applyFont="1" applyBorder="1" applyAlignment="1">
      <alignment horizontal="left" vertical="center" wrapText="1"/>
    </xf>
    <xf numFmtId="0" fontId="21" fillId="3" borderId="1" xfId="2" applyFont="1" applyFill="1" applyBorder="1" applyAlignment="1">
      <alignment horizontal="center" vertical="center"/>
    </xf>
    <xf numFmtId="0" fontId="21" fillId="0" borderId="1" xfId="2" applyFont="1" applyBorder="1" applyAlignment="1">
      <alignment horizontal="center" vertical="center"/>
    </xf>
    <xf numFmtId="0" fontId="21" fillId="0" borderId="1" xfId="2" applyFont="1" applyBorder="1" applyAlignment="1">
      <alignment horizontal="left" vertical="center"/>
    </xf>
    <xf numFmtId="0" fontId="21" fillId="0" borderId="1" xfId="2" applyFont="1" applyBorder="1" applyAlignment="1">
      <alignment horizontal="center" vertical="center" wrapText="1"/>
    </xf>
    <xf numFmtId="0" fontId="21" fillId="3" borderId="1" xfId="2" applyFont="1" applyFill="1" applyBorder="1" applyAlignment="1">
      <alignment horizontal="center" wrapText="1"/>
    </xf>
    <xf numFmtId="0" fontId="21" fillId="0" borderId="1" xfId="2" applyFont="1" applyBorder="1" applyAlignment="1">
      <alignment horizontal="center" wrapText="1"/>
    </xf>
    <xf numFmtId="9" fontId="21" fillId="3" borderId="1" xfId="2" applyNumberFormat="1" applyFont="1" applyFill="1" applyBorder="1" applyAlignment="1">
      <alignment horizontal="center"/>
    </xf>
    <xf numFmtId="9" fontId="21" fillId="0" borderId="1" xfId="2" applyNumberFormat="1" applyFont="1" applyBorder="1" applyAlignment="1">
      <alignment horizontal="center"/>
    </xf>
    <xf numFmtId="0" fontId="22" fillId="0" borderId="1" xfId="0" applyFont="1" applyBorder="1" applyAlignment="1">
      <alignment horizontal="left" vertical="center" wrapText="1"/>
    </xf>
    <xf numFmtId="0" fontId="22" fillId="0" borderId="1" xfId="0" applyFont="1" applyBorder="1" applyAlignment="1">
      <alignment horizontal="center" vertical="center" wrapText="1"/>
    </xf>
    <xf numFmtId="0" fontId="22" fillId="3" borderId="1" xfId="0" applyFont="1" applyFill="1" applyBorder="1" applyAlignment="1">
      <alignment horizontal="center" vertical="center" wrapText="1"/>
    </xf>
    <xf numFmtId="10" fontId="22" fillId="0" borderId="1" xfId="0" applyNumberFormat="1" applyFont="1" applyBorder="1" applyAlignment="1">
      <alignment horizontal="center" vertical="center" wrapText="1"/>
    </xf>
    <xf numFmtId="10" fontId="22" fillId="3" borderId="1" xfId="0" applyNumberFormat="1" applyFont="1" applyFill="1" applyBorder="1" applyAlignment="1">
      <alignment horizontal="center" vertical="center" wrapText="1"/>
    </xf>
    <xf numFmtId="9" fontId="22" fillId="0" borderId="1" xfId="0" applyNumberFormat="1" applyFont="1" applyBorder="1" applyAlignment="1">
      <alignment horizontal="center" vertical="center" wrapText="1"/>
    </xf>
    <xf numFmtId="164" fontId="22" fillId="3" borderId="1" xfId="0" applyNumberFormat="1" applyFont="1" applyFill="1" applyBorder="1" applyAlignment="1">
      <alignment horizontal="center" vertical="center" wrapText="1"/>
    </xf>
    <xf numFmtId="9" fontId="22" fillId="4" borderId="1" xfId="0" applyNumberFormat="1" applyFont="1" applyFill="1" applyBorder="1" applyAlignment="1">
      <alignment horizontal="center" vertical="center" wrapText="1"/>
    </xf>
    <xf numFmtId="164" fontId="22" fillId="0" borderId="1" xfId="0" applyNumberFormat="1" applyFont="1" applyBorder="1" applyAlignment="1">
      <alignment horizontal="center" vertical="center" wrapText="1"/>
    </xf>
    <xf numFmtId="9" fontId="22" fillId="3" borderId="1" xfId="0" applyNumberFormat="1" applyFont="1" applyFill="1" applyBorder="1" applyAlignment="1">
      <alignment horizontal="center" vertical="center" wrapText="1"/>
    </xf>
    <xf numFmtId="164" fontId="22" fillId="4" borderId="1" xfId="0" applyNumberFormat="1" applyFont="1" applyFill="1" applyBorder="1" applyAlignment="1">
      <alignment horizontal="center" vertical="center" wrapText="1"/>
    </xf>
    <xf numFmtId="49" fontId="22" fillId="0" borderId="1" xfId="0" applyNumberFormat="1" applyFont="1" applyBorder="1" applyAlignment="1">
      <alignment horizontal="center" vertical="center" wrapText="1"/>
    </xf>
    <xf numFmtId="49" fontId="22" fillId="3" borderId="1" xfId="0" applyNumberFormat="1" applyFont="1" applyFill="1" applyBorder="1" applyAlignment="1">
      <alignment horizontal="center" vertical="center" wrapText="1"/>
    </xf>
    <xf numFmtId="0" fontId="22" fillId="4" borderId="1" xfId="0" applyFont="1" applyFill="1" applyBorder="1" applyAlignment="1">
      <alignment horizontal="center" vertical="center" wrapText="1"/>
    </xf>
    <xf numFmtId="0" fontId="23" fillId="0" borderId="1" xfId="0" applyFont="1" applyBorder="1" applyAlignment="1">
      <alignment horizontal="left" vertical="center" wrapText="1"/>
    </xf>
    <xf numFmtId="0" fontId="23" fillId="2" borderId="1" xfId="0" applyFont="1" applyFill="1" applyBorder="1" applyAlignment="1">
      <alignment horizontal="center" vertical="center" wrapText="1"/>
    </xf>
    <xf numFmtId="0" fontId="23" fillId="3" borderId="1" xfId="0" applyFont="1" applyFill="1" applyBorder="1" applyAlignment="1">
      <alignment horizontal="center" vertical="center" wrapText="1"/>
    </xf>
    <xf numFmtId="9" fontId="23" fillId="4" borderId="1" xfId="0" applyNumberFormat="1" applyFont="1" applyFill="1" applyBorder="1" applyAlignment="1">
      <alignment horizontal="center" vertical="center" wrapText="1"/>
    </xf>
    <xf numFmtId="9" fontId="23" fillId="3" borderId="1" xfId="0" applyNumberFormat="1" applyFont="1" applyFill="1" applyBorder="1" applyAlignment="1">
      <alignment horizontal="center" vertical="center" wrapText="1"/>
    </xf>
    <xf numFmtId="164" fontId="23" fillId="3" borderId="1" xfId="0" applyNumberFormat="1" applyFont="1" applyFill="1" applyBorder="1" applyAlignment="1">
      <alignment horizontal="center" vertical="center" wrapText="1"/>
    </xf>
    <xf numFmtId="10" fontId="23" fillId="2" borderId="1" xfId="0" applyNumberFormat="1" applyFont="1" applyFill="1" applyBorder="1" applyAlignment="1">
      <alignment horizontal="center" vertical="center" wrapText="1"/>
    </xf>
    <xf numFmtId="10" fontId="23" fillId="3" borderId="1" xfId="0" applyNumberFormat="1" applyFont="1" applyFill="1" applyBorder="1" applyAlignment="1">
      <alignment horizontal="center" vertical="center" wrapText="1"/>
    </xf>
    <xf numFmtId="0" fontId="23" fillId="4" borderId="1" xfId="0" applyFont="1" applyFill="1" applyBorder="1" applyAlignment="1">
      <alignment horizontal="center" vertical="center" wrapText="1"/>
    </xf>
    <xf numFmtId="0" fontId="13" fillId="2" borderId="1" xfId="2" applyFont="1" applyFill="1" applyBorder="1" applyAlignment="1">
      <alignment horizontal="center" vertical="center" wrapText="1"/>
    </xf>
    <xf numFmtId="0" fontId="24" fillId="0" borderId="1" xfId="2" applyFont="1" applyBorder="1" applyAlignment="1">
      <alignment horizontal="left" vertical="center" wrapText="1"/>
    </xf>
    <xf numFmtId="0" fontId="24" fillId="2" borderId="1" xfId="2" applyFont="1" applyFill="1" applyBorder="1" applyAlignment="1">
      <alignment horizontal="center" vertical="center" wrapText="1"/>
    </xf>
    <xf numFmtId="0" fontId="24" fillId="3" borderId="1" xfId="2" applyFont="1" applyFill="1" applyBorder="1" applyAlignment="1">
      <alignment horizontal="center" vertical="center" wrapText="1"/>
    </xf>
    <xf numFmtId="0" fontId="25" fillId="0" borderId="1" xfId="2" applyFont="1" applyBorder="1" applyAlignment="1">
      <alignment horizontal="justify" vertical="center"/>
    </xf>
    <xf numFmtId="9" fontId="13" fillId="0" borderId="1" xfId="2" applyNumberFormat="1" applyFont="1" applyBorder="1" applyAlignment="1">
      <alignment horizontal="center" vertical="center" wrapText="1"/>
    </xf>
    <xf numFmtId="10" fontId="13" fillId="0" borderId="1" xfId="2" applyNumberFormat="1" applyFont="1" applyBorder="1" applyAlignment="1">
      <alignment horizontal="center" vertical="center" wrapText="1"/>
    </xf>
    <xf numFmtId="0" fontId="26" fillId="3" borderId="1" xfId="2" applyFont="1" applyFill="1" applyBorder="1" applyAlignment="1">
      <alignment horizontal="center" vertical="center" wrapText="1"/>
    </xf>
    <xf numFmtId="0" fontId="26" fillId="0" borderId="1" xfId="2" applyFont="1" applyBorder="1" applyAlignment="1">
      <alignment horizontal="center" vertical="center" wrapText="1"/>
    </xf>
    <xf numFmtId="0" fontId="10" fillId="0" borderId="1" xfId="2" applyFont="1" applyBorder="1" applyAlignment="1">
      <alignment horizontal="justify" vertical="center"/>
    </xf>
    <xf numFmtId="16" fontId="13" fillId="4" borderId="1" xfId="2" applyNumberFormat="1" applyFont="1" applyFill="1" applyBorder="1" applyAlignment="1">
      <alignment horizontal="center" vertical="center" wrapText="1"/>
    </xf>
    <xf numFmtId="16" fontId="13" fillId="3" borderId="1" xfId="2" applyNumberFormat="1" applyFont="1" applyFill="1" applyBorder="1" applyAlignment="1">
      <alignment horizontal="center" vertical="center" wrapText="1"/>
    </xf>
    <xf numFmtId="2" fontId="13" fillId="4" borderId="1" xfId="2" applyNumberFormat="1" applyFont="1" applyFill="1" applyBorder="1" applyAlignment="1">
      <alignment horizontal="center" vertical="center" wrapText="1"/>
    </xf>
    <xf numFmtId="2" fontId="13" fillId="3" borderId="1" xfId="2" applyNumberFormat="1" applyFont="1" applyFill="1" applyBorder="1" applyAlignment="1">
      <alignment horizontal="center" vertical="center" wrapText="1"/>
    </xf>
    <xf numFmtId="0" fontId="13" fillId="0" borderId="1" xfId="2" applyFont="1" applyBorder="1" applyAlignment="1">
      <alignment horizontal="justify" vertical="center"/>
    </xf>
    <xf numFmtId="0" fontId="10" fillId="4" borderId="1" xfId="2" applyFont="1" applyFill="1" applyBorder="1" applyAlignment="1">
      <alignment horizontal="center" vertical="center"/>
    </xf>
    <xf numFmtId="0" fontId="10" fillId="3" borderId="1" xfId="2" applyFont="1" applyFill="1" applyBorder="1" applyAlignment="1">
      <alignment horizontal="center" vertical="center"/>
    </xf>
    <xf numFmtId="2" fontId="13" fillId="0" borderId="1" xfId="2" applyNumberFormat="1" applyFont="1" applyBorder="1" applyAlignment="1">
      <alignment horizontal="center" vertical="center" wrapText="1"/>
    </xf>
    <xf numFmtId="165" fontId="13" fillId="2" borderId="1" xfId="2" applyNumberFormat="1" applyFont="1" applyFill="1" applyBorder="1" applyAlignment="1">
      <alignment horizontal="center" vertical="center" wrapText="1"/>
    </xf>
    <xf numFmtId="15" fontId="13" fillId="3" borderId="1" xfId="2" applyNumberFormat="1" applyFont="1" applyFill="1" applyBorder="1" applyAlignment="1">
      <alignment horizontal="center" vertical="center" wrapText="1"/>
    </xf>
    <xf numFmtId="165" fontId="13" fillId="2" borderId="1" xfId="2" applyNumberFormat="1" applyFont="1" applyFill="1" applyBorder="1" applyAlignment="1">
      <alignment horizontal="center" vertical="center"/>
    </xf>
    <xf numFmtId="0" fontId="13" fillId="5" borderId="1" xfId="2" applyFont="1" applyFill="1" applyBorder="1" applyAlignment="1">
      <alignment horizontal="center" vertical="center"/>
    </xf>
    <xf numFmtId="0" fontId="13" fillId="2" borderId="1" xfId="2" applyFont="1" applyFill="1" applyBorder="1" applyAlignment="1">
      <alignment horizontal="center" vertical="center"/>
    </xf>
    <xf numFmtId="0" fontId="13" fillId="0" borderId="1" xfId="2" applyFont="1" applyBorder="1" applyAlignment="1">
      <alignment vertical="center"/>
    </xf>
    <xf numFmtId="9" fontId="13" fillId="0" borderId="1" xfId="2" applyNumberFormat="1" applyFont="1" applyBorder="1" applyAlignment="1">
      <alignment horizontal="center" vertical="center"/>
    </xf>
    <xf numFmtId="0" fontId="13" fillId="0" borderId="1" xfId="0" applyFont="1" applyBorder="1" applyAlignment="1">
      <alignment vertical="center" wrapText="1"/>
    </xf>
    <xf numFmtId="0" fontId="13" fillId="0" borderId="1" xfId="0" applyFont="1" applyBorder="1" applyAlignment="1">
      <alignment horizontal="center" vertical="center"/>
    </xf>
    <xf numFmtId="0" fontId="31" fillId="3" borderId="1" xfId="0" applyFont="1" applyFill="1" applyBorder="1" applyAlignment="1">
      <alignment horizontal="center" vertical="center"/>
    </xf>
    <xf numFmtId="0" fontId="13" fillId="3" borderId="1" xfId="0" applyFont="1" applyFill="1" applyBorder="1" applyAlignment="1">
      <alignment horizontal="center" vertical="center"/>
    </xf>
    <xf numFmtId="0" fontId="13" fillId="0" borderId="1" xfId="0" applyFont="1" applyBorder="1" applyAlignment="1">
      <alignment vertical="center"/>
    </xf>
    <xf numFmtId="16" fontId="13" fillId="0" borderId="1" xfId="0" applyNumberFormat="1" applyFont="1" applyBorder="1" applyAlignment="1">
      <alignment horizontal="center" vertical="center"/>
    </xf>
    <xf numFmtId="16" fontId="13" fillId="3" borderId="1" xfId="0" applyNumberFormat="1" applyFont="1" applyFill="1" applyBorder="1" applyAlignment="1">
      <alignment horizontal="center" vertical="center"/>
    </xf>
    <xf numFmtId="0" fontId="13" fillId="0" borderId="1" xfId="0" applyFont="1" applyBorder="1" applyAlignment="1">
      <alignment horizontal="center" vertical="center" wrapText="1"/>
    </xf>
    <xf numFmtId="17" fontId="13" fillId="0" borderId="1" xfId="0" quotePrefix="1" applyNumberFormat="1" applyFont="1" applyBorder="1" applyAlignment="1">
      <alignment horizontal="center" vertical="center"/>
    </xf>
    <xf numFmtId="0" fontId="13" fillId="0" borderId="1" xfId="0" quotePrefix="1" applyFont="1" applyBorder="1" applyAlignment="1">
      <alignment horizontal="center" vertical="center"/>
    </xf>
    <xf numFmtId="0" fontId="20" fillId="0" borderId="1" xfId="0" applyFont="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xf>
    <xf numFmtId="0" fontId="0" fillId="3" borderId="3" xfId="0" applyFill="1" applyBorder="1" applyAlignment="1">
      <alignment horizontal="center" vertical="center" wrapText="1"/>
    </xf>
    <xf numFmtId="0" fontId="0" fillId="0" borderId="3" xfId="0" applyBorder="1" applyAlignment="1">
      <alignment horizontal="center" vertical="center"/>
    </xf>
    <xf numFmtId="0" fontId="20" fillId="3" borderId="1" xfId="0" applyFont="1" applyFill="1" applyBorder="1" applyAlignment="1">
      <alignment horizontal="center" vertical="center" wrapText="1"/>
    </xf>
    <xf numFmtId="0" fontId="18" fillId="0" borderId="1" xfId="0" applyFont="1" applyBorder="1" applyAlignment="1">
      <alignment wrapText="1"/>
    </xf>
    <xf numFmtId="0" fontId="18" fillId="3" borderId="1" xfId="0" applyFont="1" applyFill="1" applyBorder="1" applyAlignment="1">
      <alignment horizontal="center" wrapText="1"/>
    </xf>
    <xf numFmtId="0" fontId="18" fillId="0" borderId="1" xfId="0" applyFont="1" applyBorder="1" applyAlignment="1">
      <alignment horizontal="center" wrapText="1"/>
    </xf>
    <xf numFmtId="9" fontId="18" fillId="0" borderId="1" xfId="0" applyNumberFormat="1" applyFont="1" applyBorder="1" applyAlignment="1">
      <alignment horizontal="center" wrapText="1"/>
    </xf>
    <xf numFmtId="9" fontId="18" fillId="3" borderId="1" xfId="0" applyNumberFormat="1" applyFont="1" applyFill="1" applyBorder="1" applyAlignment="1">
      <alignment horizontal="center" wrapText="1"/>
    </xf>
    <xf numFmtId="0" fontId="5" fillId="0" borderId="1" xfId="0" applyFont="1" applyBorder="1" applyAlignment="1">
      <alignment horizontal="left" vertical="top" wrapText="1"/>
    </xf>
    <xf numFmtId="9" fontId="5" fillId="3" borderId="1" xfId="0" applyNumberFormat="1" applyFont="1" applyFill="1" applyBorder="1" applyAlignment="1">
      <alignment horizontal="center" wrapText="1"/>
    </xf>
    <xf numFmtId="9" fontId="5" fillId="0" borderId="1" xfId="0" applyNumberFormat="1" applyFont="1" applyBorder="1" applyAlignment="1">
      <alignment horizontal="center" wrapText="1"/>
    </xf>
    <xf numFmtId="0" fontId="5" fillId="0" borderId="1" xfId="0" applyFont="1" applyBorder="1" applyAlignment="1">
      <alignment wrapText="1"/>
    </xf>
    <xf numFmtId="0" fontId="5" fillId="3" borderId="1" xfId="0" applyFont="1" applyFill="1" applyBorder="1" applyAlignment="1">
      <alignment horizontal="center" wrapText="1"/>
    </xf>
    <xf numFmtId="0" fontId="5" fillId="0" borderId="1" xfId="0" applyFont="1" applyBorder="1" applyAlignment="1">
      <alignment horizontal="center" wrapText="1"/>
    </xf>
    <xf numFmtId="46" fontId="18" fillId="3" borderId="1" xfId="0" quotePrefix="1" applyNumberFormat="1" applyFont="1" applyFill="1" applyBorder="1" applyAlignment="1">
      <alignment horizontal="center" wrapText="1"/>
    </xf>
    <xf numFmtId="0" fontId="18" fillId="0" borderId="1" xfId="0" quotePrefix="1" applyFont="1" applyBorder="1" applyAlignment="1">
      <alignment horizontal="center" wrapText="1"/>
    </xf>
    <xf numFmtId="10" fontId="18" fillId="3" borderId="1" xfId="0" applyNumberFormat="1" applyFont="1" applyFill="1" applyBorder="1" applyAlignment="1">
      <alignment horizontal="center" wrapText="1"/>
    </xf>
    <xf numFmtId="10" fontId="18" fillId="0" borderId="1" xfId="0" applyNumberFormat="1" applyFont="1" applyBorder="1" applyAlignment="1">
      <alignment horizontal="center" wrapText="1"/>
    </xf>
    <xf numFmtId="0" fontId="18" fillId="7" borderId="1" xfId="2" applyFont="1" applyFill="1" applyBorder="1" applyAlignment="1">
      <alignment horizontal="left" vertical="center" wrapText="1"/>
    </xf>
    <xf numFmtId="9" fontId="18" fillId="7" borderId="1" xfId="2" applyNumberFormat="1" applyFont="1" applyFill="1" applyBorder="1" applyAlignment="1">
      <alignment vertical="center" wrapText="1"/>
    </xf>
    <xf numFmtId="0" fontId="18" fillId="8" borderId="1" xfId="2" applyFont="1" applyFill="1" applyBorder="1" applyAlignment="1">
      <alignment vertical="center" wrapText="1"/>
    </xf>
    <xf numFmtId="0" fontId="18" fillId="9" borderId="1" xfId="2" applyFont="1" applyFill="1" applyBorder="1" applyAlignment="1">
      <alignment vertical="center" wrapText="1"/>
    </xf>
    <xf numFmtId="0" fontId="33" fillId="2" borderId="1" xfId="2" applyFont="1" applyFill="1" applyBorder="1" applyAlignment="1">
      <alignment horizontal="left" vertical="center" wrapText="1"/>
    </xf>
    <xf numFmtId="0" fontId="33" fillId="2" borderId="1" xfId="2" applyFont="1" applyFill="1" applyBorder="1" applyAlignment="1">
      <alignment vertical="center" wrapText="1"/>
    </xf>
    <xf numFmtId="0" fontId="33" fillId="4" borderId="1" xfId="2" applyFont="1" applyFill="1" applyBorder="1" applyAlignment="1">
      <alignment vertical="center" wrapText="1"/>
    </xf>
    <xf numFmtId="0" fontId="33" fillId="3" borderId="1" xfId="2" applyFont="1" applyFill="1" applyBorder="1" applyAlignment="1">
      <alignment vertical="center" wrapText="1"/>
    </xf>
    <xf numFmtId="0" fontId="18" fillId="2" borderId="1" xfId="2" applyFont="1" applyFill="1" applyBorder="1" applyAlignment="1">
      <alignment horizontal="left" vertical="center" wrapText="1"/>
    </xf>
    <xf numFmtId="0" fontId="18" fillId="4" borderId="1" xfId="2" applyFont="1" applyFill="1" applyBorder="1" applyAlignment="1">
      <alignment vertical="center" wrapText="1"/>
    </xf>
    <xf numFmtId="0" fontId="18" fillId="0" borderId="1" xfId="2" applyFont="1" applyBorder="1" applyAlignment="1">
      <alignment wrapText="1"/>
    </xf>
    <xf numFmtId="0" fontId="8" fillId="10" borderId="1" xfId="2" applyFont="1" applyFill="1" applyBorder="1" applyAlignment="1">
      <alignment horizontal="left" vertical="center" wrapText="1"/>
    </xf>
    <xf numFmtId="0" fontId="8" fillId="2" borderId="1" xfId="2" applyFont="1" applyFill="1" applyBorder="1" applyAlignment="1">
      <alignment vertical="center" wrapText="1"/>
    </xf>
    <xf numFmtId="0" fontId="8" fillId="3" borderId="1" xfId="2" applyFont="1" applyFill="1" applyBorder="1" applyAlignment="1">
      <alignment vertical="center" wrapText="1"/>
    </xf>
    <xf numFmtId="0" fontId="18" fillId="10" borderId="1" xfId="2" applyFont="1" applyFill="1" applyBorder="1" applyAlignment="1">
      <alignment horizontal="left" vertical="center" wrapText="1"/>
    </xf>
    <xf numFmtId="9" fontId="18" fillId="4" borderId="1" xfId="2" applyNumberFormat="1" applyFont="1" applyFill="1" applyBorder="1" applyAlignment="1">
      <alignment vertical="center" wrapText="1"/>
    </xf>
    <xf numFmtId="0" fontId="18" fillId="0" borderId="1" xfId="2" applyFont="1" applyBorder="1" applyAlignment="1">
      <alignment horizontal="left" vertical="center" wrapText="1"/>
    </xf>
    <xf numFmtId="0" fontId="18" fillId="2" borderId="1" xfId="2" quotePrefix="1" applyFont="1" applyFill="1" applyBorder="1" applyAlignment="1">
      <alignment vertical="center" wrapText="1"/>
    </xf>
    <xf numFmtId="0" fontId="18" fillId="0" borderId="1" xfId="2" applyFont="1" applyBorder="1" applyAlignment="1">
      <alignment vertical="center"/>
    </xf>
    <xf numFmtId="0" fontId="18" fillId="3" borderId="1" xfId="2" applyFont="1" applyFill="1" applyBorder="1" applyAlignment="1">
      <alignment vertical="center"/>
    </xf>
    <xf numFmtId="0" fontId="18" fillId="4" borderId="1" xfId="2" applyFont="1" applyFill="1" applyBorder="1" applyAlignment="1">
      <alignment vertical="center"/>
    </xf>
    <xf numFmtId="4" fontId="18" fillId="0" borderId="1" xfId="2" applyNumberFormat="1" applyFont="1" applyBorder="1" applyAlignment="1">
      <alignment vertical="center" wrapText="1"/>
    </xf>
    <xf numFmtId="0" fontId="18" fillId="0" borderId="1" xfId="2" applyFont="1" applyBorder="1" applyAlignment="1">
      <alignment horizontal="left" vertical="center"/>
    </xf>
    <xf numFmtId="46" fontId="18" fillId="3" borderId="1" xfId="2" applyNumberFormat="1" applyFont="1" applyFill="1" applyBorder="1" applyAlignment="1">
      <alignment vertical="center"/>
    </xf>
    <xf numFmtId="3" fontId="18" fillId="3" borderId="1" xfId="2" applyNumberFormat="1" applyFont="1" applyFill="1" applyBorder="1" applyAlignment="1">
      <alignment vertical="center"/>
    </xf>
    <xf numFmtId="3" fontId="18" fillId="0" borderId="1" xfId="2" applyNumberFormat="1" applyFont="1" applyBorder="1" applyAlignment="1">
      <alignment vertical="center"/>
    </xf>
    <xf numFmtId="0" fontId="5" fillId="0" borderId="1" xfId="0" applyFont="1" applyBorder="1" applyAlignment="1">
      <alignment horizontal="left" vertical="center" wrapText="1"/>
    </xf>
    <xf numFmtId="0" fontId="14" fillId="0" borderId="1" xfId="0" applyFont="1" applyBorder="1" applyAlignment="1">
      <alignment horizontal="left" vertical="center" wrapText="1"/>
    </xf>
    <xf numFmtId="0" fontId="14" fillId="3" borderId="1" xfId="0" applyFont="1" applyFill="1" applyBorder="1" applyAlignment="1">
      <alignment horizontal="left" vertical="center" wrapText="1"/>
    </xf>
    <xf numFmtId="0" fontId="5" fillId="3" borderId="1" xfId="0" applyFont="1" applyFill="1" applyBorder="1" applyAlignment="1">
      <alignment horizontal="left" vertical="center" wrapText="1"/>
    </xf>
    <xf numFmtId="0" fontId="18" fillId="4" borderId="1" xfId="0" applyFont="1" applyFill="1" applyBorder="1" applyAlignment="1">
      <alignment horizontal="left" vertical="center" wrapText="1"/>
    </xf>
    <xf numFmtId="0" fontId="0" fillId="0" borderId="1" xfId="0" applyBorder="1" applyAlignment="1">
      <alignment horizontal="left" vertical="center" wrapText="1"/>
    </xf>
    <xf numFmtId="0" fontId="0" fillId="3" borderId="1" xfId="0" applyFill="1" applyBorder="1" applyAlignment="1">
      <alignment horizontal="left" vertical="center" wrapText="1"/>
    </xf>
    <xf numFmtId="0" fontId="0" fillId="4" borderId="1" xfId="0" applyFill="1" applyBorder="1" applyAlignment="1">
      <alignment horizontal="left" vertical="center" wrapText="1"/>
    </xf>
    <xf numFmtId="17" fontId="0" fillId="0" borderId="1" xfId="0" applyNumberFormat="1" applyBorder="1" applyAlignment="1">
      <alignment horizontal="left" vertical="center" wrapText="1"/>
    </xf>
    <xf numFmtId="49" fontId="0" fillId="4" borderId="1" xfId="0" applyNumberFormat="1" applyFill="1" applyBorder="1" applyAlignment="1">
      <alignment horizontal="left" vertical="center" wrapText="1"/>
    </xf>
    <xf numFmtId="0" fontId="18" fillId="2" borderId="7" xfId="0" applyFont="1" applyFill="1" applyBorder="1" applyAlignment="1">
      <alignment horizontal="left" vertical="center" wrapText="1"/>
    </xf>
    <xf numFmtId="0" fontId="18" fillId="2" borderId="7" xfId="0" applyFont="1" applyFill="1" applyBorder="1" applyAlignment="1">
      <alignment horizontal="center" vertical="center" wrapText="1"/>
    </xf>
    <xf numFmtId="0" fontId="18" fillId="11" borderId="7"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3" borderId="7" xfId="0" applyFont="1" applyFill="1" applyBorder="1" applyAlignment="1">
      <alignment horizontal="center" vertical="center" wrapText="1"/>
    </xf>
    <xf numFmtId="0" fontId="33" fillId="2" borderId="7" xfId="0" applyFont="1" applyFill="1" applyBorder="1" applyAlignment="1">
      <alignment horizontal="left" vertical="center" wrapText="1"/>
    </xf>
    <xf numFmtId="0" fontId="33" fillId="2" borderId="7" xfId="0" applyFont="1" applyFill="1" applyBorder="1" applyAlignment="1">
      <alignment horizontal="center" vertical="center" wrapText="1"/>
    </xf>
    <xf numFmtId="0" fontId="33" fillId="11" borderId="7" xfId="0" applyFont="1" applyFill="1" applyBorder="1" applyAlignment="1">
      <alignment horizontal="center" vertical="center" wrapText="1"/>
    </xf>
    <xf numFmtId="0" fontId="18" fillId="2" borderId="1" xfId="0" applyFont="1" applyFill="1" applyBorder="1" applyAlignment="1">
      <alignment horizontal="left" vertical="center" wrapText="1"/>
    </xf>
    <xf numFmtId="0" fontId="18" fillId="2" borderId="1" xfId="0" applyFont="1" applyFill="1" applyBorder="1" applyAlignment="1">
      <alignment horizontal="center" vertical="center" wrapText="1"/>
    </xf>
    <xf numFmtId="0" fontId="18" fillId="3"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33" fillId="2" borderId="1" xfId="0" applyFont="1" applyFill="1" applyBorder="1" applyAlignment="1">
      <alignment horizontal="left" vertical="center" wrapText="1"/>
    </xf>
    <xf numFmtId="0" fontId="33" fillId="3" borderId="1" xfId="0" applyFont="1" applyFill="1" applyBorder="1" applyAlignment="1">
      <alignment horizontal="center" vertical="center" wrapText="1"/>
    </xf>
    <xf numFmtId="0" fontId="33" fillId="2" borderId="1" xfId="0" applyFont="1" applyFill="1" applyBorder="1" applyAlignment="1">
      <alignment horizontal="center" vertical="center" wrapText="1"/>
    </xf>
    <xf numFmtId="0" fontId="33" fillId="0" borderId="1" xfId="0" applyFont="1" applyBorder="1" applyAlignment="1">
      <alignment horizontal="center" vertical="center" wrapText="1"/>
    </xf>
    <xf numFmtId="0" fontId="18" fillId="0" borderId="1" xfId="0" applyFont="1" applyBorder="1" applyAlignment="1">
      <alignment horizontal="left" vertical="center" wrapText="1"/>
    </xf>
    <xf numFmtId="0" fontId="18" fillId="4" borderId="1" xfId="0" applyFont="1" applyFill="1" applyBorder="1" applyAlignment="1">
      <alignment horizontal="center" vertical="center" wrapText="1"/>
    </xf>
    <xf numFmtId="49" fontId="18" fillId="2" borderId="1" xfId="0" quotePrefix="1" applyNumberFormat="1" applyFont="1" applyFill="1" applyBorder="1" applyAlignment="1">
      <alignment horizontal="center" vertical="center" wrapText="1"/>
    </xf>
    <xf numFmtId="49" fontId="18" fillId="3" borderId="1" xfId="0" quotePrefix="1" applyNumberFormat="1" applyFont="1" applyFill="1" applyBorder="1" applyAlignment="1">
      <alignment horizontal="center" vertical="center" wrapText="1"/>
    </xf>
    <xf numFmtId="49" fontId="18" fillId="0" borderId="1" xfId="0" quotePrefix="1" applyNumberFormat="1" applyFont="1" applyBorder="1" applyAlignment="1">
      <alignment horizontal="center" vertical="center" wrapText="1"/>
    </xf>
    <xf numFmtId="9" fontId="18" fillId="2" borderId="1" xfId="0" applyNumberFormat="1" applyFont="1" applyFill="1" applyBorder="1" applyAlignment="1">
      <alignment horizontal="center" vertical="center" wrapText="1"/>
    </xf>
    <xf numFmtId="9" fontId="18" fillId="3" borderId="1" xfId="0" applyNumberFormat="1" applyFont="1" applyFill="1" applyBorder="1" applyAlignment="1">
      <alignment horizontal="center" vertical="center" wrapText="1"/>
    </xf>
    <xf numFmtId="0" fontId="18" fillId="0" borderId="1" xfId="0" applyFont="1" applyBorder="1" applyAlignment="1">
      <alignment vertical="center" wrapText="1"/>
    </xf>
    <xf numFmtId="0" fontId="18" fillId="3" borderId="1" xfId="0" applyFont="1" applyFill="1" applyBorder="1" applyAlignment="1">
      <alignment vertical="center" wrapText="1"/>
    </xf>
    <xf numFmtId="0" fontId="18" fillId="4" borderId="1" xfId="0" applyFont="1" applyFill="1" applyBorder="1" applyAlignment="1">
      <alignment vertical="center" wrapText="1"/>
    </xf>
    <xf numFmtId="0" fontId="33" fillId="0" borderId="1" xfId="0" applyFont="1" applyBorder="1" applyAlignment="1">
      <alignment vertical="center" wrapText="1"/>
    </xf>
    <xf numFmtId="0" fontId="33" fillId="3" borderId="1" xfId="0" applyFont="1" applyFill="1" applyBorder="1" applyAlignment="1">
      <alignment vertical="center" wrapText="1"/>
    </xf>
    <xf numFmtId="0" fontId="13" fillId="2" borderId="1" xfId="0" applyFont="1" applyFill="1" applyBorder="1" applyAlignment="1">
      <alignment horizontal="left" vertical="center" wrapText="1"/>
    </xf>
    <xf numFmtId="0" fontId="13" fillId="2" borderId="1"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4" borderId="1" xfId="0" applyFont="1" applyFill="1" applyBorder="1" applyAlignment="1">
      <alignment horizontal="left" vertical="center" wrapText="1"/>
    </xf>
    <xf numFmtId="0" fontId="13" fillId="4" borderId="1" xfId="0" applyFont="1" applyFill="1" applyBorder="1" applyAlignment="1">
      <alignment horizontal="center" vertical="center" wrapText="1"/>
    </xf>
    <xf numFmtId="166" fontId="13" fillId="2" borderId="1" xfId="0" applyNumberFormat="1" applyFont="1" applyFill="1" applyBorder="1" applyAlignment="1">
      <alignment horizontal="center" vertical="center" wrapText="1"/>
    </xf>
    <xf numFmtId="166" fontId="13" fillId="3" borderId="1" xfId="0" applyNumberFormat="1" applyFont="1" applyFill="1" applyBorder="1" applyAlignment="1">
      <alignment horizontal="center" vertical="center" wrapText="1"/>
    </xf>
    <xf numFmtId="166" fontId="13" fillId="2" borderId="1" xfId="0" applyNumberFormat="1" applyFont="1" applyFill="1" applyBorder="1" applyAlignment="1">
      <alignment vertical="center"/>
    </xf>
    <xf numFmtId="0" fontId="13" fillId="2" borderId="1" xfId="0" applyFont="1" applyFill="1" applyBorder="1" applyAlignment="1">
      <alignment wrapText="1"/>
    </xf>
    <xf numFmtId="0" fontId="13" fillId="3" borderId="1" xfId="0" applyFont="1" applyFill="1" applyBorder="1" applyAlignment="1">
      <alignment wrapText="1"/>
    </xf>
    <xf numFmtId="0" fontId="13" fillId="2" borderId="1" xfId="0" applyFont="1" applyFill="1" applyBorder="1" applyAlignment="1">
      <alignment vertical="center"/>
    </xf>
    <xf numFmtId="0" fontId="13" fillId="4" borderId="1" xfId="0" applyFont="1" applyFill="1" applyBorder="1" applyAlignment="1">
      <alignment wrapText="1"/>
    </xf>
    <xf numFmtId="0" fontId="1" fillId="0" borderId="1" xfId="0" applyFont="1" applyBorder="1" applyAlignment="1">
      <alignment horizontal="left" vertical="center" wrapText="1"/>
    </xf>
    <xf numFmtId="0" fontId="1" fillId="5" borderId="1" xfId="0" applyFont="1" applyFill="1" applyBorder="1" applyAlignment="1">
      <alignment horizontal="center" vertical="center"/>
    </xf>
    <xf numFmtId="0" fontId="1" fillId="0" borderId="1" xfId="0" applyFont="1" applyBorder="1" applyAlignment="1">
      <alignment horizontal="center" vertical="center"/>
    </xf>
    <xf numFmtId="0" fontId="1" fillId="4" borderId="1" xfId="0" applyFont="1" applyFill="1" applyBorder="1" applyAlignment="1">
      <alignment horizontal="left" vertical="center"/>
    </xf>
    <xf numFmtId="0" fontId="35" fillId="4" borderId="1" xfId="0" applyFont="1" applyFill="1" applyBorder="1" applyAlignment="1">
      <alignment horizontal="center" vertical="center" wrapText="1"/>
    </xf>
    <xf numFmtId="0" fontId="1" fillId="4" borderId="1" xfId="0" applyFont="1" applyFill="1" applyBorder="1" applyAlignment="1">
      <alignment horizontal="left" vertical="center" wrapText="1"/>
    </xf>
    <xf numFmtId="0" fontId="35" fillId="5" borderId="1" xfId="0" applyFont="1" applyFill="1" applyBorder="1" applyAlignment="1">
      <alignment horizontal="center" vertical="center" wrapText="1"/>
    </xf>
    <xf numFmtId="0" fontId="36" fillId="0" borderId="1" xfId="0" applyFont="1" applyBorder="1" applyAlignment="1">
      <alignment wrapText="1"/>
    </xf>
    <xf numFmtId="0" fontId="36" fillId="0" borderId="1" xfId="0" applyFont="1" applyBorder="1" applyAlignment="1">
      <alignment vertical="center" wrapText="1"/>
    </xf>
    <xf numFmtId="3" fontId="35"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xf numFmtId="0" fontId="36" fillId="0" borderId="1" xfId="0" applyFont="1" applyBorder="1" applyAlignment="1">
      <alignment horizontal="left" wrapText="1"/>
    </xf>
    <xf numFmtId="0" fontId="1" fillId="4" borderId="3" xfId="0" applyFont="1" applyFill="1" applyBorder="1" applyAlignment="1">
      <alignment horizontal="left" vertical="center" wrapText="1"/>
    </xf>
    <xf numFmtId="0" fontId="36" fillId="0" borderId="0" xfId="0" applyFont="1" applyAlignment="1">
      <alignment horizontal="center" vertical="center"/>
    </xf>
    <xf numFmtId="0" fontId="35"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36" fillId="0" borderId="1" xfId="0" applyFont="1" applyBorder="1" applyAlignment="1">
      <alignment vertical="center"/>
    </xf>
    <xf numFmtId="0" fontId="36" fillId="0" borderId="1" xfId="0" applyFont="1" applyBorder="1" applyAlignment="1">
      <alignment horizontal="center" vertical="center" wrapText="1"/>
    </xf>
    <xf numFmtId="0" fontId="36" fillId="0" borderId="0" xfId="0" applyFont="1" applyAlignment="1">
      <alignment wrapText="1"/>
    </xf>
    <xf numFmtId="0" fontId="35" fillId="5" borderId="3" xfId="0" applyFont="1" applyFill="1" applyBorder="1" applyAlignment="1">
      <alignment horizontal="center" vertical="center" wrapText="1"/>
    </xf>
    <xf numFmtId="0" fontId="40" fillId="0" borderId="0" xfId="0" applyFont="1" applyAlignment="1">
      <alignment wrapText="1"/>
    </xf>
    <xf numFmtId="0" fontId="36" fillId="0" borderId="0" xfId="0" applyFont="1"/>
    <xf numFmtId="3" fontId="36" fillId="5" borderId="0" xfId="0" applyNumberFormat="1" applyFont="1" applyFill="1" applyAlignment="1">
      <alignment horizontal="center" vertical="center" wrapText="1"/>
    </xf>
    <xf numFmtId="3" fontId="35" fillId="4" borderId="1" xfId="0" applyNumberFormat="1" applyFont="1" applyFill="1" applyBorder="1" applyAlignment="1">
      <alignment horizontal="center" vertical="center" wrapText="1"/>
    </xf>
    <xf numFmtId="0" fontId="43" fillId="0" borderId="1" xfId="0" applyFont="1" applyBorder="1"/>
    <xf numFmtId="0" fontId="43" fillId="0" borderId="1" xfId="0" applyFont="1" applyBorder="1" applyAlignment="1">
      <alignment wrapText="1"/>
    </xf>
    <xf numFmtId="17" fontId="35" fillId="4" borderId="1" xfId="0" applyNumberFormat="1" applyFont="1" applyFill="1" applyBorder="1" applyAlignment="1">
      <alignment horizontal="center" vertical="center" wrapText="1"/>
    </xf>
    <xf numFmtId="17" fontId="35" fillId="5" borderId="1" xfId="0" applyNumberFormat="1" applyFont="1" applyFill="1" applyBorder="1" applyAlignment="1">
      <alignment horizontal="center" vertical="center" wrapText="1"/>
    </xf>
    <xf numFmtId="9" fontId="0" fillId="3" borderId="1" xfId="0" applyNumberFormat="1" applyFill="1" applyBorder="1" applyAlignment="1">
      <alignment horizontal="center" vertical="center" wrapText="1"/>
    </xf>
    <xf numFmtId="9" fontId="0" fillId="0" borderId="1" xfId="0" applyNumberFormat="1" applyBorder="1" applyAlignment="1">
      <alignment horizontal="center" vertical="center" wrapText="1"/>
    </xf>
    <xf numFmtId="9" fontId="13" fillId="3" borderId="1" xfId="0" applyNumberFormat="1" applyFont="1" applyFill="1" applyBorder="1" applyAlignment="1">
      <alignment horizontal="center" vertical="center" wrapText="1"/>
    </xf>
    <xf numFmtId="10" fontId="0" fillId="0" borderId="1" xfId="0" applyNumberFormat="1" applyBorder="1" applyAlignment="1">
      <alignment horizontal="center" vertical="center" wrapText="1"/>
    </xf>
    <xf numFmtId="10" fontId="0" fillId="3" borderId="1" xfId="0" applyNumberFormat="1" applyFill="1" applyBorder="1" applyAlignment="1">
      <alignment horizontal="center" vertical="center" wrapText="1"/>
    </xf>
    <xf numFmtId="0" fontId="0" fillId="0" borderId="1" xfId="0" quotePrefix="1" applyBorder="1" applyAlignment="1">
      <alignment wrapText="1"/>
    </xf>
    <xf numFmtId="0" fontId="0" fillId="12" borderId="1" xfId="0" applyFill="1" applyBorder="1" applyAlignment="1">
      <alignment horizontal="left" vertical="center" wrapText="1"/>
    </xf>
    <xf numFmtId="0" fontId="3" fillId="0" borderId="1" xfId="0" applyFont="1" applyBorder="1" applyAlignment="1">
      <alignment horizontal="center" vertical="center" wrapText="1"/>
    </xf>
    <xf numFmtId="0" fontId="0" fillId="3" borderId="1" xfId="0" applyFill="1" applyBorder="1" applyAlignment="1">
      <alignment horizontal="center" wrapText="1"/>
    </xf>
    <xf numFmtId="0" fontId="5" fillId="0" borderId="1" xfId="0" applyFont="1" applyBorder="1" applyAlignment="1">
      <alignment vertical="center" wrapText="1"/>
    </xf>
    <xf numFmtId="0" fontId="5" fillId="3" borderId="1" xfId="0" applyFont="1" applyFill="1" applyBorder="1" applyAlignment="1">
      <alignment vertical="center" wrapText="1"/>
    </xf>
    <xf numFmtId="0" fontId="18" fillId="3" borderId="1" xfId="0" applyFont="1" applyFill="1" applyBorder="1" applyAlignment="1">
      <alignment horizontal="left" vertical="center" wrapText="1"/>
    </xf>
    <xf numFmtId="0" fontId="14" fillId="0" borderId="8" xfId="0" applyFont="1" applyBorder="1" applyAlignment="1">
      <alignment horizontal="left" vertical="center" wrapText="1"/>
    </xf>
    <xf numFmtId="0" fontId="14" fillId="3" borderId="8" xfId="0" applyFont="1" applyFill="1" applyBorder="1" applyAlignment="1">
      <alignment horizontal="left" vertical="center" wrapText="1"/>
    </xf>
    <xf numFmtId="0" fontId="5" fillId="0" borderId="0" xfId="0" applyFont="1" applyAlignment="1">
      <alignment horizontal="left" vertical="center" wrapText="1"/>
    </xf>
    <xf numFmtId="0" fontId="14" fillId="0" borderId="3" xfId="0" applyFont="1" applyBorder="1" applyAlignment="1">
      <alignment horizontal="left" vertical="center" wrapText="1"/>
    </xf>
    <xf numFmtId="0" fontId="5" fillId="3" borderId="0" xfId="0" applyFont="1" applyFill="1" applyAlignment="1">
      <alignment horizontal="left" vertical="center" wrapText="1"/>
    </xf>
    <xf numFmtId="0" fontId="40" fillId="0" borderId="1" xfId="0" applyFont="1" applyBorder="1" applyAlignment="1">
      <alignment wrapText="1"/>
    </xf>
    <xf numFmtId="0" fontId="35" fillId="0" borderId="1" xfId="0" applyFont="1" applyBorder="1" applyAlignment="1">
      <alignment wrapText="1"/>
    </xf>
    <xf numFmtId="0" fontId="35" fillId="0" borderId="1" xfId="0" applyFont="1" applyBorder="1" applyAlignment="1">
      <alignment horizontal="center" vertical="center"/>
    </xf>
    <xf numFmtId="0" fontId="35" fillId="5" borderId="1" xfId="0" applyFont="1" applyFill="1" applyBorder="1" applyAlignment="1">
      <alignment horizontal="center" vertical="center"/>
    </xf>
    <xf numFmtId="0" fontId="35" fillId="0" borderId="1" xfId="0" applyFont="1" applyBorder="1" applyAlignment="1">
      <alignment horizontal="center" vertical="center" wrapText="1"/>
    </xf>
    <xf numFmtId="0" fontId="35" fillId="4" borderId="1" xfId="0" applyFont="1" applyFill="1" applyBorder="1" applyAlignment="1">
      <alignment horizontal="center" vertical="center"/>
    </xf>
    <xf numFmtId="0" fontId="35" fillId="0" borderId="1" xfId="2" applyFont="1" applyBorder="1" applyAlignment="1">
      <alignment horizontal="left" vertical="top" wrapText="1"/>
    </xf>
    <xf numFmtId="0" fontId="46" fillId="0" borderId="1" xfId="2" applyFont="1" applyBorder="1" applyAlignment="1">
      <alignment horizontal="center" vertical="center" wrapText="1"/>
    </xf>
    <xf numFmtId="0" fontId="46" fillId="5" borderId="1" xfId="2" applyFont="1" applyFill="1" applyBorder="1" applyAlignment="1">
      <alignment horizontal="center" vertical="center" wrapText="1"/>
    </xf>
    <xf numFmtId="0" fontId="47" fillId="0" borderId="1" xfId="2" applyFont="1" applyBorder="1" applyAlignment="1">
      <alignment horizontal="left" vertical="top" wrapText="1"/>
    </xf>
    <xf numFmtId="0" fontId="48" fillId="0" borderId="1" xfId="2" applyFont="1" applyBorder="1" applyAlignment="1">
      <alignment horizontal="center" vertical="center" wrapText="1"/>
    </xf>
    <xf numFmtId="0" fontId="48" fillId="5" borderId="1" xfId="2" applyFont="1" applyFill="1" applyBorder="1" applyAlignment="1">
      <alignment horizontal="center" vertical="center" wrapText="1"/>
    </xf>
    <xf numFmtId="0" fontId="47" fillId="0" borderId="1" xfId="2" applyFont="1" applyBorder="1" applyAlignment="1">
      <alignment horizontal="center" vertical="center" wrapText="1"/>
    </xf>
    <xf numFmtId="0" fontId="47" fillId="5" borderId="1" xfId="2" applyFont="1" applyFill="1" applyBorder="1" applyAlignment="1">
      <alignment horizontal="center" vertical="center" wrapText="1"/>
    </xf>
    <xf numFmtId="0" fontId="49" fillId="5" borderId="1" xfId="2" applyFont="1" applyFill="1" applyBorder="1" applyAlignment="1">
      <alignment horizontal="center" vertical="center" wrapText="1"/>
    </xf>
    <xf numFmtId="0" fontId="35" fillId="0" borderId="1" xfId="2" applyFont="1" applyBorder="1" applyAlignment="1">
      <alignment horizontal="center" vertical="center" wrapText="1"/>
    </xf>
    <xf numFmtId="0" fontId="35" fillId="5" borderId="1" xfId="2" applyFont="1" applyFill="1" applyBorder="1" applyAlignment="1">
      <alignment horizontal="center" vertical="center" wrapText="1"/>
    </xf>
    <xf numFmtId="0" fontId="35" fillId="0" borderId="1" xfId="2" applyFont="1" applyBorder="1" applyAlignment="1">
      <alignment horizontal="left" vertical="center" wrapText="1"/>
    </xf>
    <xf numFmtId="0" fontId="50" fillId="5" borderId="1" xfId="2" applyFont="1" applyFill="1" applyBorder="1" applyAlignment="1">
      <alignment horizontal="center" vertical="center" wrapText="1"/>
    </xf>
    <xf numFmtId="0" fontId="2" fillId="0" borderId="1" xfId="2" applyFont="1" applyBorder="1" applyAlignment="1">
      <alignment horizontal="center" vertical="center" wrapText="1"/>
    </xf>
    <xf numFmtId="10" fontId="1" fillId="5" borderId="1" xfId="2" applyNumberFormat="1" applyFont="1" applyFill="1" applyBorder="1" applyAlignment="1">
      <alignment horizontal="center" vertical="center" wrapText="1"/>
    </xf>
    <xf numFmtId="10" fontId="35" fillId="0" borderId="1" xfId="2" applyNumberFormat="1" applyFont="1" applyBorder="1" applyAlignment="1">
      <alignment horizontal="center" vertical="center" wrapText="1"/>
    </xf>
    <xf numFmtId="0" fontId="53" fillId="0" borderId="1" xfId="0" applyFont="1" applyBorder="1" applyAlignment="1">
      <alignment horizontal="left" vertical="center" wrapText="1"/>
    </xf>
    <xf numFmtId="0" fontId="53" fillId="5" borderId="1" xfId="0" applyFont="1" applyFill="1" applyBorder="1" applyAlignment="1">
      <alignment horizontal="center" vertical="center" wrapText="1"/>
    </xf>
    <xf numFmtId="0" fontId="53" fillId="0" borderId="1" xfId="0" applyFont="1" applyBorder="1" applyAlignment="1">
      <alignment horizontal="center" vertical="center" wrapText="1"/>
    </xf>
    <xf numFmtId="0" fontId="0" fillId="5" borderId="1" xfId="0" applyFill="1" applyBorder="1" applyAlignment="1">
      <alignment horizontal="center" vertical="center" wrapText="1"/>
    </xf>
    <xf numFmtId="0" fontId="0" fillId="5" borderId="1" xfId="0" applyFill="1" applyBorder="1" applyAlignment="1">
      <alignment horizontal="center" vertical="center"/>
    </xf>
    <xf numFmtId="0" fontId="53" fillId="3" borderId="1" xfId="0" applyFont="1" applyFill="1" applyBorder="1" applyAlignment="1">
      <alignment horizontal="left" vertical="center" wrapText="1"/>
    </xf>
    <xf numFmtId="17" fontId="53" fillId="3" borderId="1" xfId="0" applyNumberFormat="1" applyFont="1" applyFill="1" applyBorder="1" applyAlignment="1">
      <alignment horizontal="left" vertical="center" wrapText="1"/>
    </xf>
    <xf numFmtId="17" fontId="53" fillId="0" borderId="1" xfId="0" applyNumberFormat="1" applyFont="1" applyBorder="1" applyAlignment="1">
      <alignment horizontal="left" vertical="center" wrapText="1"/>
    </xf>
    <xf numFmtId="9" fontId="53" fillId="3" borderId="1" xfId="1" applyFont="1" applyFill="1" applyBorder="1" applyAlignment="1">
      <alignment horizontal="left" vertical="center" wrapText="1"/>
    </xf>
    <xf numFmtId="9" fontId="53" fillId="0" borderId="1" xfId="0" applyNumberFormat="1" applyFont="1" applyBorder="1" applyAlignment="1">
      <alignment horizontal="left" vertical="center" wrapText="1"/>
    </xf>
    <xf numFmtId="10" fontId="53" fillId="0" borderId="1" xfId="0" applyNumberFormat="1" applyFont="1" applyBorder="1" applyAlignment="1">
      <alignment horizontal="left" vertical="center" wrapText="1"/>
    </xf>
    <xf numFmtId="0" fontId="5" fillId="0" borderId="1" xfId="0" applyFont="1" applyBorder="1" applyAlignment="1">
      <alignment horizontal="center" vertical="center" wrapText="1"/>
    </xf>
    <xf numFmtId="0" fontId="5" fillId="3" borderId="1" xfId="0" applyFont="1" applyFill="1" applyBorder="1" applyAlignment="1">
      <alignment horizontal="center" vertical="center" wrapText="1"/>
    </xf>
    <xf numFmtId="0" fontId="18" fillId="0" borderId="1" xfId="0" applyFont="1" applyBorder="1" applyAlignment="1">
      <alignment horizontal="center" vertical="center"/>
    </xf>
    <xf numFmtId="0" fontId="18" fillId="0" borderId="1" xfId="0" applyFont="1" applyBorder="1" applyAlignment="1">
      <alignment vertical="center"/>
    </xf>
    <xf numFmtId="16" fontId="5" fillId="0" borderId="1" xfId="0" quotePrefix="1" applyNumberFormat="1" applyFont="1" applyBorder="1" applyAlignment="1">
      <alignment horizontal="center" vertical="center" wrapText="1"/>
    </xf>
    <xf numFmtId="0" fontId="18" fillId="3" borderId="1" xfId="0" quotePrefix="1" applyFont="1" applyFill="1" applyBorder="1" applyAlignment="1">
      <alignment horizontal="center" vertical="center" wrapText="1"/>
    </xf>
    <xf numFmtId="0" fontId="18" fillId="0" borderId="1" xfId="0" quotePrefix="1" applyFont="1" applyBorder="1" applyAlignment="1">
      <alignment horizontal="center" vertical="center" wrapText="1"/>
    </xf>
    <xf numFmtId="0" fontId="1" fillId="0" borderId="1" xfId="0" applyFont="1" applyBorder="1" applyAlignment="1">
      <alignment horizontal="left" vertical="center"/>
    </xf>
    <xf numFmtId="0" fontId="36" fillId="0" borderId="1" xfId="0" quotePrefix="1" applyFont="1" applyBorder="1" applyAlignment="1">
      <alignment vertical="center" wrapText="1"/>
    </xf>
    <xf numFmtId="9" fontId="35" fillId="0" borderId="1" xfId="0" applyNumberFormat="1" applyFont="1" applyBorder="1" applyAlignment="1">
      <alignment horizontal="center" vertical="center" wrapText="1"/>
    </xf>
    <xf numFmtId="9" fontId="35" fillId="5" borderId="1" xfId="0" applyNumberFormat="1" applyFont="1" applyFill="1" applyBorder="1" applyAlignment="1">
      <alignment horizontal="center" vertical="center" wrapText="1"/>
    </xf>
    <xf numFmtId="0" fontId="4" fillId="4" borderId="1" xfId="0" applyFont="1" applyFill="1" applyBorder="1" applyAlignment="1">
      <alignment horizontal="left" vertical="center" wrapText="1"/>
    </xf>
    <xf numFmtId="0" fontId="44" fillId="0" borderId="1" xfId="0" applyFont="1" applyBorder="1" applyAlignment="1">
      <alignment horizontal="center" vertical="center"/>
    </xf>
    <xf numFmtId="0" fontId="44" fillId="3" borderId="1" xfId="0" applyFont="1" applyFill="1" applyBorder="1" applyAlignment="1">
      <alignment horizontal="center" vertical="center"/>
    </xf>
    <xf numFmtId="0" fontId="20" fillId="4" borderId="1" xfId="0" applyFont="1" applyFill="1" applyBorder="1" applyAlignment="1">
      <alignment horizontal="left" vertical="center" wrapText="1"/>
    </xf>
    <xf numFmtId="0" fontId="20"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9" fontId="20" fillId="4" borderId="1" xfId="0" applyNumberFormat="1" applyFont="1" applyFill="1" applyBorder="1" applyAlignment="1">
      <alignment horizontal="center" vertical="center" wrapText="1"/>
    </xf>
    <xf numFmtId="9" fontId="20" fillId="3" borderId="1" xfId="0" applyNumberFormat="1" applyFont="1" applyFill="1" applyBorder="1" applyAlignment="1">
      <alignment horizontal="center" vertical="center" wrapText="1"/>
    </xf>
    <xf numFmtId="0" fontId="35" fillId="0" borderId="1" xfId="0" applyFont="1" applyBorder="1"/>
    <xf numFmtId="0" fontId="36" fillId="0" borderId="1" xfId="0" applyFont="1" applyBorder="1" applyAlignment="1">
      <alignment horizontal="left" vertical="center" wrapText="1"/>
    </xf>
    <xf numFmtId="0" fontId="36" fillId="0" borderId="1" xfId="0" applyFont="1" applyBorder="1" applyAlignment="1">
      <alignment vertical="top" wrapText="1"/>
    </xf>
    <xf numFmtId="0" fontId="35" fillId="3" borderId="1" xfId="0" applyFont="1" applyFill="1" applyBorder="1" applyAlignment="1">
      <alignment horizontal="center" vertical="center" wrapText="1"/>
    </xf>
    <xf numFmtId="164" fontId="35" fillId="0" borderId="1" xfId="0" applyNumberFormat="1" applyFont="1" applyBorder="1" applyAlignment="1">
      <alignment horizontal="center" vertical="center" wrapText="1"/>
    </xf>
    <xf numFmtId="10" fontId="35" fillId="0" borderId="1" xfId="0" applyNumberFormat="1" applyFont="1" applyBorder="1" applyAlignment="1">
      <alignment horizontal="center" vertical="center" wrapText="1"/>
    </xf>
    <xf numFmtId="164" fontId="1" fillId="3" borderId="1" xfId="1" applyNumberFormat="1" applyFill="1" applyBorder="1" applyAlignment="1">
      <alignment horizontal="center" vertical="center" wrapText="1"/>
    </xf>
    <xf numFmtId="0" fontId="33" fillId="0" borderId="1" xfId="2" applyFont="1" applyBorder="1" applyAlignment="1">
      <alignment vertical="center" wrapText="1"/>
    </xf>
    <xf numFmtId="0" fontId="18" fillId="13" borderId="7" xfId="0" applyFont="1" applyFill="1" applyBorder="1" applyAlignment="1">
      <alignment horizontal="center" vertical="center" wrapText="1"/>
    </xf>
    <xf numFmtId="0" fontId="8" fillId="2" borderId="7" xfId="0" applyFont="1" applyFill="1" applyBorder="1" applyAlignment="1">
      <alignment horizontal="left" vertical="center" wrapText="1"/>
    </xf>
    <xf numFmtId="0" fontId="8" fillId="2" borderId="7" xfId="0" applyFont="1" applyFill="1" applyBorder="1" applyAlignment="1">
      <alignment horizontal="center" vertical="center" wrapText="1"/>
    </xf>
    <xf numFmtId="0" fontId="8" fillId="13" borderId="7" xfId="0" applyFont="1" applyFill="1" applyBorder="1" applyAlignment="1">
      <alignment horizontal="center" vertical="center" wrapText="1"/>
    </xf>
    <xf numFmtId="9" fontId="18" fillId="2" borderId="7" xfId="0" applyNumberFormat="1" applyFont="1" applyFill="1" applyBorder="1" applyAlignment="1">
      <alignment horizontal="center" vertical="center" wrapText="1"/>
    </xf>
    <xf numFmtId="9" fontId="18" fillId="13" borderId="7" xfId="0" applyNumberFormat="1" applyFont="1" applyFill="1" applyBorder="1" applyAlignment="1">
      <alignment horizontal="center" vertical="center" wrapText="1"/>
    </xf>
    <xf numFmtId="0" fontId="18" fillId="4" borderId="7" xfId="0" applyFont="1" applyFill="1" applyBorder="1" applyAlignment="1">
      <alignment horizontal="center" vertical="center" wrapText="1"/>
    </xf>
    <xf numFmtId="0" fontId="18" fillId="0" borderId="7" xfId="0" applyFont="1" applyBorder="1" applyAlignment="1">
      <alignment horizontal="left" vertical="center" wrapText="1"/>
    </xf>
    <xf numFmtId="0" fontId="18" fillId="2" borderId="7" xfId="0" quotePrefix="1" applyFont="1" applyFill="1" applyBorder="1" applyAlignment="1">
      <alignment horizontal="center"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horizontal="center" vertical="center" wrapText="1"/>
    </xf>
    <xf numFmtId="0" fontId="34" fillId="13" borderId="7" xfId="0" applyFont="1" applyFill="1" applyBorder="1" applyAlignment="1">
      <alignment horizontal="center" vertical="center" wrapText="1"/>
    </xf>
    <xf numFmtId="0" fontId="18" fillId="14" borderId="7" xfId="0" applyFont="1" applyFill="1" applyBorder="1" applyAlignment="1">
      <alignment horizontal="left" vertical="center" wrapText="1"/>
    </xf>
    <xf numFmtId="0" fontId="18" fillId="14" borderId="7" xfId="0" applyFont="1" applyFill="1" applyBorder="1" applyAlignment="1">
      <alignment horizontal="center" vertical="center" wrapText="1"/>
    </xf>
    <xf numFmtId="49" fontId="18" fillId="2" borderId="7" xfId="0" quotePrefix="1" applyNumberFormat="1" applyFont="1" applyFill="1" applyBorder="1" applyAlignment="1">
      <alignment horizontal="center" vertical="center" wrapText="1"/>
    </xf>
    <xf numFmtId="49" fontId="18" fillId="13" borderId="7" xfId="0" quotePrefix="1" applyNumberFormat="1" applyFont="1" applyFill="1" applyBorder="1" applyAlignment="1">
      <alignment horizontal="center" vertical="center" wrapText="1"/>
    </xf>
    <xf numFmtId="0" fontId="0" fillId="2" borderId="1" xfId="0" applyFill="1" applyBorder="1" applyAlignment="1">
      <alignment horizontal="left" vertical="center" wrapText="1"/>
    </xf>
    <xf numFmtId="0" fontId="0" fillId="2" borderId="1" xfId="0" applyFill="1" applyBorder="1" applyAlignment="1">
      <alignment horizontal="center" vertical="center" wrapText="1"/>
    </xf>
    <xf numFmtId="0" fontId="0" fillId="13" borderId="1" xfId="0" applyFill="1" applyBorder="1" applyAlignment="1">
      <alignment horizontal="center" vertical="center" wrapText="1"/>
    </xf>
    <xf numFmtId="0" fontId="0" fillId="2" borderId="1" xfId="0" applyFill="1" applyBorder="1" applyAlignment="1">
      <alignment vertical="center"/>
    </xf>
    <xf numFmtId="0" fontId="0" fillId="13" borderId="1" xfId="0" applyFill="1" applyBorder="1" applyAlignment="1">
      <alignment vertical="center"/>
    </xf>
    <xf numFmtId="0" fontId="0" fillId="2" borderId="1" xfId="0" applyFill="1" applyBorder="1" applyAlignment="1">
      <alignment wrapText="1"/>
    </xf>
    <xf numFmtId="0" fontId="0" fillId="13" borderId="1" xfId="0" applyFill="1" applyBorder="1" applyAlignment="1">
      <alignment wrapText="1"/>
    </xf>
    <xf numFmtId="0" fontId="41" fillId="2" borderId="7" xfId="0" applyFont="1" applyFill="1" applyBorder="1" applyAlignment="1">
      <alignment horizontal="left" vertical="center" wrapText="1"/>
    </xf>
    <xf numFmtId="0" fontId="41" fillId="13" borderId="7" xfId="0" applyFont="1" applyFill="1" applyBorder="1" applyAlignment="1">
      <alignment horizontal="left" vertical="center" wrapText="1"/>
    </xf>
    <xf numFmtId="164" fontId="18" fillId="13" borderId="7" xfId="0" applyNumberFormat="1" applyFont="1" applyFill="1" applyBorder="1" applyAlignment="1">
      <alignment horizontal="center" vertical="center" wrapText="1"/>
    </xf>
    <xf numFmtId="10" fontId="18" fillId="2" borderId="7" xfId="0" applyNumberFormat="1" applyFont="1" applyFill="1" applyBorder="1" applyAlignment="1">
      <alignment horizontal="center" vertical="center" wrapText="1"/>
    </xf>
    <xf numFmtId="10" fontId="18" fillId="13" borderId="7" xfId="0" applyNumberFormat="1" applyFont="1" applyFill="1" applyBorder="1" applyAlignment="1">
      <alignment horizontal="center" vertical="center" wrapText="1"/>
    </xf>
    <xf numFmtId="0" fontId="54" fillId="2" borderId="1" xfId="0" applyFont="1" applyFill="1" applyBorder="1" applyAlignment="1">
      <alignment wrapText="1"/>
    </xf>
    <xf numFmtId="0" fontId="18" fillId="2" borderId="1" xfId="2" applyFont="1" applyFill="1" applyBorder="1" applyAlignment="1">
      <alignment horizontal="center" vertical="center" wrapText="1"/>
    </xf>
    <xf numFmtId="0" fontId="18" fillId="3" borderId="1" xfId="2" applyFont="1" applyFill="1" applyBorder="1" applyAlignment="1">
      <alignment horizontal="center" vertical="center" wrapText="1"/>
    </xf>
    <xf numFmtId="0" fontId="18" fillId="2" borderId="2" xfId="2" applyFont="1" applyFill="1" applyBorder="1" applyAlignment="1">
      <alignment horizontal="center" vertical="center" wrapText="1"/>
    </xf>
    <xf numFmtId="0" fontId="18" fillId="3" borderId="2" xfId="2" applyFont="1" applyFill="1" applyBorder="1" applyAlignment="1">
      <alignment horizontal="center" vertical="center" wrapText="1"/>
    </xf>
    <xf numFmtId="0" fontId="18" fillId="0" borderId="1" xfId="2" applyFont="1" applyBorder="1" applyAlignment="1">
      <alignment horizontal="center" vertical="center" wrapText="1"/>
    </xf>
    <xf numFmtId="0" fontId="18" fillId="0" borderId="2" xfId="2" applyFont="1" applyBorder="1" applyAlignment="1">
      <alignment horizontal="center" vertical="center" wrapText="1"/>
    </xf>
    <xf numFmtId="0" fontId="18" fillId="4" borderId="1" xfId="2" applyFont="1" applyFill="1" applyBorder="1" applyAlignment="1">
      <alignment horizontal="center" vertical="center" wrapText="1"/>
    </xf>
    <xf numFmtId="0" fontId="18" fillId="3" borderId="0" xfId="2" applyFont="1" applyFill="1" applyAlignment="1">
      <alignment horizontal="center" vertical="center" wrapText="1"/>
    </xf>
    <xf numFmtId="10" fontId="18" fillId="3" borderId="1" xfId="2" applyNumberFormat="1" applyFont="1" applyFill="1" applyBorder="1" applyAlignment="1">
      <alignment horizontal="center" vertical="center" wrapText="1"/>
    </xf>
    <xf numFmtId="10" fontId="18" fillId="0" borderId="1" xfId="2" applyNumberFormat="1" applyFont="1" applyBorder="1" applyAlignment="1">
      <alignment horizontal="center" vertical="center" wrapText="1"/>
    </xf>
    <xf numFmtId="10" fontId="18" fillId="0" borderId="2" xfId="2" applyNumberFormat="1" applyFont="1" applyBorder="1" applyAlignment="1">
      <alignment horizontal="center" vertical="center" wrapText="1"/>
    </xf>
    <xf numFmtId="0" fontId="18" fillId="4" borderId="2" xfId="2" applyFont="1" applyFill="1" applyBorder="1" applyAlignment="1">
      <alignment horizontal="center" vertical="center" wrapText="1"/>
    </xf>
    <xf numFmtId="0" fontId="18" fillId="2" borderId="3" xfId="2" applyFont="1" applyFill="1" applyBorder="1" applyAlignment="1">
      <alignment horizontal="center" vertical="center" wrapText="1"/>
    </xf>
    <xf numFmtId="0" fontId="18" fillId="2" borderId="4" xfId="2" applyFont="1" applyFill="1" applyBorder="1" applyAlignment="1">
      <alignment horizontal="center" vertical="center" wrapText="1"/>
    </xf>
    <xf numFmtId="9" fontId="18" fillId="0" borderId="1" xfId="2" applyNumberFormat="1" applyFont="1" applyBorder="1" applyAlignment="1">
      <alignment horizontal="center" vertical="center" wrapText="1"/>
    </xf>
    <xf numFmtId="9" fontId="18" fillId="0" borderId="2" xfId="2" applyNumberFormat="1" applyFont="1" applyBorder="1" applyAlignment="1">
      <alignment horizontal="center" vertical="center" wrapText="1"/>
    </xf>
    <xf numFmtId="9" fontId="18" fillId="3" borderId="1" xfId="2" applyNumberFormat="1" applyFont="1" applyFill="1" applyBorder="1" applyAlignment="1">
      <alignment horizontal="center" vertical="center" wrapText="1"/>
    </xf>
    <xf numFmtId="0" fontId="45" fillId="3" borderId="1" xfId="2" applyFont="1" applyFill="1" applyBorder="1" applyAlignment="1">
      <alignment horizontal="center" vertical="center" wrapText="1"/>
    </xf>
    <xf numFmtId="10" fontId="18" fillId="2" borderId="1" xfId="2" applyNumberFormat="1" applyFont="1" applyFill="1" applyBorder="1" applyAlignment="1">
      <alignment horizontal="center" vertical="center" wrapText="1"/>
    </xf>
    <xf numFmtId="10" fontId="18" fillId="3" borderId="2" xfId="2" applyNumberFormat="1" applyFont="1" applyFill="1" applyBorder="1" applyAlignment="1">
      <alignment horizontal="center" vertical="center" wrapText="1"/>
    </xf>
    <xf numFmtId="9" fontId="18" fillId="0" borderId="1" xfId="2" quotePrefix="1" applyNumberFormat="1" applyFont="1" applyBorder="1" applyAlignment="1">
      <alignment horizontal="center" vertical="center" wrapText="1"/>
    </xf>
    <xf numFmtId="0" fontId="18" fillId="3" borderId="2" xfId="2" quotePrefix="1" applyFont="1" applyFill="1" applyBorder="1" applyAlignment="1">
      <alignment horizontal="center" vertical="center" wrapText="1"/>
    </xf>
    <xf numFmtId="0" fontId="18" fillId="0" borderId="3" xfId="2" applyFont="1" applyBorder="1" applyAlignment="1">
      <alignment horizontal="center" vertical="center" wrapText="1"/>
    </xf>
    <xf numFmtId="0" fontId="18" fillId="3" borderId="4" xfId="2" applyFont="1" applyFill="1" applyBorder="1" applyAlignment="1">
      <alignment horizontal="center" vertical="center" wrapText="1"/>
    </xf>
    <xf numFmtId="0" fontId="18" fillId="0" borderId="5" xfId="2" applyFont="1" applyBorder="1" applyAlignment="1">
      <alignment horizontal="center" vertical="center" wrapText="1"/>
    </xf>
    <xf numFmtId="0" fontId="18" fillId="3" borderId="6" xfId="2" applyFont="1" applyFill="1" applyBorder="1" applyAlignment="1">
      <alignment horizontal="center" vertical="center" wrapText="1"/>
    </xf>
    <xf numFmtId="0" fontId="18" fillId="3" borderId="3" xfId="2" applyFont="1" applyFill="1" applyBorder="1" applyAlignment="1">
      <alignment horizontal="center" vertical="center" wrapText="1"/>
    </xf>
    <xf numFmtId="3" fontId="18" fillId="0" borderId="1" xfId="2" applyNumberFormat="1" applyFont="1" applyBorder="1" applyAlignment="1">
      <alignment horizontal="center" vertical="center" wrapText="1"/>
    </xf>
    <xf numFmtId="0" fontId="16" fillId="2" borderId="1" xfId="0" applyFont="1" applyFill="1" applyBorder="1" applyAlignment="1">
      <alignment wrapText="1"/>
    </xf>
    <xf numFmtId="0" fontId="16" fillId="13" borderId="1" xfId="0" applyFont="1" applyFill="1" applyBorder="1" applyAlignment="1">
      <alignment wrapText="1"/>
    </xf>
    <xf numFmtId="0" fontId="16" fillId="2" borderId="1" xfId="0" applyFont="1" applyFill="1" applyBorder="1" applyAlignment="1">
      <alignment horizontal="center" wrapText="1"/>
    </xf>
    <xf numFmtId="0" fontId="16" fillId="13" borderId="1" xfId="0" applyFont="1" applyFill="1" applyBorder="1" applyAlignment="1">
      <alignment horizontal="center" wrapText="1"/>
    </xf>
    <xf numFmtId="0" fontId="16" fillId="2" borderId="1" xfId="0" applyFont="1" applyFill="1" applyBorder="1" applyAlignment="1">
      <alignment horizontal="center" vertical="center" wrapText="1"/>
    </xf>
    <xf numFmtId="0" fontId="16" fillId="13" borderId="1" xfId="0" applyFont="1" applyFill="1" applyBorder="1" applyAlignment="1">
      <alignment horizontal="center" vertical="center" wrapText="1"/>
    </xf>
    <xf numFmtId="0" fontId="16" fillId="2" borderId="1" xfId="0" applyFont="1" applyFill="1" applyBorder="1" applyAlignment="1">
      <alignment horizontal="left" vertical="center" wrapText="1"/>
    </xf>
    <xf numFmtId="0" fontId="16" fillId="13" borderId="1" xfId="0" applyFont="1" applyFill="1" applyBorder="1" applyAlignment="1">
      <alignment horizontal="left" vertical="center" wrapText="1"/>
    </xf>
    <xf numFmtId="0" fontId="40" fillId="2" borderId="1" xfId="0" applyFont="1" applyFill="1" applyBorder="1" applyAlignment="1">
      <alignment wrapText="1"/>
    </xf>
    <xf numFmtId="0" fontId="40" fillId="13" borderId="1" xfId="0" applyFont="1" applyFill="1" applyBorder="1" applyAlignment="1">
      <alignment wrapText="1"/>
    </xf>
    <xf numFmtId="0" fontId="40" fillId="2" borderId="1" xfId="0" applyFont="1" applyFill="1" applyBorder="1" applyAlignment="1">
      <alignment horizontal="center" vertical="center" wrapText="1"/>
    </xf>
    <xf numFmtId="0" fontId="40" fillId="13" borderId="1" xfId="0" applyFont="1" applyFill="1" applyBorder="1" applyAlignment="1">
      <alignment horizontal="center" vertical="center" wrapText="1"/>
    </xf>
    <xf numFmtId="9" fontId="40" fillId="13" borderId="1" xfId="0" applyNumberFormat="1" applyFont="1" applyFill="1" applyBorder="1" applyAlignment="1">
      <alignment horizontal="center" vertical="center" wrapText="1"/>
    </xf>
    <xf numFmtId="10" fontId="40" fillId="2" borderId="1" xfId="0" applyNumberFormat="1" applyFont="1" applyFill="1" applyBorder="1" applyAlignment="1">
      <alignment horizontal="center" vertical="center" wrapText="1"/>
    </xf>
    <xf numFmtId="10" fontId="40" fillId="13" borderId="1" xfId="0" applyNumberFormat="1" applyFont="1" applyFill="1" applyBorder="1" applyAlignment="1">
      <alignment horizontal="center" vertical="center" wrapText="1"/>
    </xf>
    <xf numFmtId="0" fontId="54" fillId="2" borderId="1" xfId="0" applyFont="1" applyFill="1" applyBorder="1" applyAlignment="1">
      <alignment horizontal="left" vertical="center" wrapText="1"/>
    </xf>
    <xf numFmtId="0" fontId="54" fillId="2" borderId="1" xfId="0" applyFont="1" applyFill="1" applyBorder="1" applyAlignment="1">
      <alignment horizontal="center" vertical="center" wrapText="1"/>
    </xf>
    <xf numFmtId="0" fontId="56" fillId="0" borderId="1" xfId="2" applyFont="1" applyBorder="1" applyAlignment="1">
      <alignment horizontal="left" vertical="center" wrapText="1"/>
    </xf>
    <xf numFmtId="0" fontId="56" fillId="0" borderId="1" xfId="2" applyFont="1" applyBorder="1" applyAlignment="1">
      <alignment horizontal="center" vertical="center" wrapText="1"/>
    </xf>
    <xf numFmtId="0" fontId="56" fillId="3" borderId="1" xfId="2" applyFont="1" applyFill="1" applyBorder="1" applyAlignment="1">
      <alignment horizontal="center" vertical="center" wrapText="1"/>
    </xf>
    <xf numFmtId="0" fontId="56" fillId="2" borderId="1" xfId="2" applyFont="1" applyFill="1" applyBorder="1" applyAlignment="1">
      <alignment horizontal="left" vertical="center" wrapText="1"/>
    </xf>
    <xf numFmtId="0" fontId="57" fillId="3" borderId="1" xfId="2" applyFont="1" applyFill="1" applyBorder="1" applyAlignment="1">
      <alignment horizontal="center" vertical="center" wrapText="1"/>
    </xf>
    <xf numFmtId="0" fontId="57" fillId="2" borderId="1" xfId="2" applyFont="1" applyFill="1" applyBorder="1" applyAlignment="1">
      <alignment horizontal="center" vertical="center" wrapText="1"/>
    </xf>
    <xf numFmtId="0" fontId="56" fillId="2" borderId="1" xfId="2" applyFont="1" applyFill="1" applyBorder="1" applyAlignment="1">
      <alignment horizontal="center" vertical="center" wrapText="1"/>
    </xf>
    <xf numFmtId="0" fontId="57" fillId="2" borderId="1" xfId="2" applyFont="1" applyFill="1" applyBorder="1" applyAlignment="1">
      <alignment horizontal="left" vertical="center" wrapText="1"/>
    </xf>
    <xf numFmtId="0" fontId="57" fillId="4" borderId="1" xfId="2" applyFont="1" applyFill="1" applyBorder="1" applyAlignment="1">
      <alignment horizontal="center" vertical="center" wrapText="1"/>
    </xf>
    <xf numFmtId="0" fontId="57" fillId="0" borderId="1" xfId="2" applyFont="1" applyBorder="1" applyAlignment="1">
      <alignment horizontal="center" vertical="center" wrapText="1"/>
    </xf>
    <xf numFmtId="0" fontId="57" fillId="0" borderId="1" xfId="2" applyFont="1" applyBorder="1" applyAlignment="1">
      <alignment horizontal="left" vertical="center" wrapText="1"/>
    </xf>
    <xf numFmtId="9" fontId="56" fillId="0" borderId="1" xfId="2" applyNumberFormat="1" applyFont="1" applyBorder="1" applyAlignment="1">
      <alignment horizontal="center" vertical="center" wrapText="1"/>
    </xf>
    <xf numFmtId="9" fontId="56" fillId="3" borderId="1" xfId="2" applyNumberFormat="1" applyFont="1" applyFill="1" applyBorder="1" applyAlignment="1">
      <alignment horizontal="center" vertical="center" wrapText="1"/>
    </xf>
    <xf numFmtId="0" fontId="57" fillId="3" borderId="1" xfId="0" applyFont="1" applyFill="1" applyBorder="1" applyAlignment="1">
      <alignment horizontal="center" vertical="center" wrapText="1"/>
    </xf>
    <xf numFmtId="0" fontId="57" fillId="0" borderId="1" xfId="0" applyFont="1" applyBorder="1" applyAlignment="1">
      <alignment horizontal="center" vertical="center" wrapText="1"/>
    </xf>
    <xf numFmtId="0" fontId="56" fillId="5" borderId="1" xfId="2" applyFont="1" applyFill="1" applyBorder="1" applyAlignment="1">
      <alignment horizontal="center" vertical="center" wrapText="1"/>
    </xf>
    <xf numFmtId="0" fontId="57" fillId="5" borderId="1" xfId="2" applyFont="1" applyFill="1" applyBorder="1" applyAlignment="1">
      <alignment horizontal="center" vertical="center" wrapText="1"/>
    </xf>
    <xf numFmtId="0" fontId="57" fillId="0" borderId="1" xfId="0" quotePrefix="1" applyFont="1" applyBorder="1" applyAlignment="1">
      <alignment vertical="center" wrapText="1"/>
    </xf>
    <xf numFmtId="0" fontId="57" fillId="5" borderId="1" xfId="2" applyFont="1" applyFill="1" applyBorder="1" applyAlignment="1">
      <alignment horizontal="center" vertical="center"/>
    </xf>
    <xf numFmtId="0" fontId="57" fillId="0" borderId="1" xfId="2" applyFont="1" applyBorder="1" applyAlignment="1">
      <alignment horizontal="center" vertical="center"/>
    </xf>
    <xf numFmtId="0" fontId="57" fillId="0" borderId="1" xfId="0" applyFont="1" applyBorder="1" applyAlignment="1">
      <alignment vertical="center" wrapText="1"/>
    </xf>
    <xf numFmtId="0" fontId="56" fillId="4" borderId="1" xfId="2" applyFont="1" applyFill="1" applyBorder="1" applyAlignment="1">
      <alignment horizontal="left" vertical="center" wrapText="1"/>
    </xf>
    <xf numFmtId="0" fontId="56" fillId="4" borderId="1" xfId="2" applyFont="1" applyFill="1" applyBorder="1" applyAlignment="1">
      <alignment horizontal="center" vertical="center" wrapText="1"/>
    </xf>
    <xf numFmtId="0" fontId="58" fillId="0" borderId="1" xfId="2" applyFont="1" applyBorder="1" applyAlignment="1">
      <alignment horizontal="center" vertical="center" wrapText="1"/>
    </xf>
    <xf numFmtId="0" fontId="58" fillId="3" borderId="1" xfId="2" applyFont="1" applyFill="1" applyBorder="1" applyAlignment="1">
      <alignment horizontal="center" vertical="center" wrapText="1"/>
    </xf>
    <xf numFmtId="0" fontId="59" fillId="0" borderId="1" xfId="2" applyFont="1" applyBorder="1" applyAlignment="1">
      <alignment horizontal="center" vertical="center" wrapText="1"/>
    </xf>
    <xf numFmtId="0" fontId="59" fillId="3" borderId="1" xfId="2" applyFont="1" applyFill="1" applyBorder="1" applyAlignment="1">
      <alignment horizontal="center" vertical="center" wrapText="1"/>
    </xf>
    <xf numFmtId="0" fontId="59" fillId="0" borderId="1" xfId="2" applyFont="1" applyBorder="1" applyAlignment="1">
      <alignment vertical="center" wrapText="1"/>
    </xf>
    <xf numFmtId="0" fontId="58" fillId="4" borderId="1" xfId="2" applyFont="1" applyFill="1" applyBorder="1" applyAlignment="1">
      <alignment horizontal="center" vertical="center" wrapText="1"/>
    </xf>
    <xf numFmtId="0" fontId="58" fillId="0" borderId="1" xfId="2" applyFont="1" applyBorder="1" applyAlignment="1">
      <alignment vertical="center" wrapText="1"/>
    </xf>
    <xf numFmtId="0" fontId="59" fillId="4" borderId="1" xfId="2" applyFont="1" applyFill="1" applyBorder="1" applyAlignment="1">
      <alignment horizontal="center" vertical="center" wrapText="1"/>
    </xf>
    <xf numFmtId="0" fontId="4" fillId="0" borderId="1" xfId="2" applyBorder="1" applyAlignment="1">
      <alignment vertical="center" wrapText="1"/>
    </xf>
    <xf numFmtId="0" fontId="13" fillId="3" borderId="1" xfId="2" applyFont="1" applyFill="1" applyBorder="1" applyAlignment="1">
      <alignment vertical="top" wrapText="1"/>
    </xf>
    <xf numFmtId="0" fontId="13" fillId="3" borderId="1" xfId="2" applyFont="1" applyFill="1" applyBorder="1" applyAlignment="1">
      <alignment horizontal="left" vertical="top" wrapText="1"/>
    </xf>
    <xf numFmtId="0" fontId="21" fillId="3" borderId="1" xfId="2" applyFont="1" applyFill="1" applyBorder="1" applyAlignment="1">
      <alignment horizontal="left" vertical="top" wrapText="1"/>
    </xf>
    <xf numFmtId="0" fontId="21" fillId="0" borderId="1" xfId="2" applyFont="1" applyBorder="1" applyAlignment="1">
      <alignment vertical="top"/>
    </xf>
    <xf numFmtId="0" fontId="21" fillId="3" borderId="1" xfId="2" applyFont="1" applyFill="1" applyBorder="1" applyAlignment="1">
      <alignment vertical="top" wrapText="1"/>
    </xf>
    <xf numFmtId="0" fontId="13" fillId="3" borderId="1" xfId="0" applyFont="1" applyFill="1" applyBorder="1" applyAlignment="1">
      <alignment vertical="center" wrapText="1"/>
    </xf>
    <xf numFmtId="0" fontId="13" fillId="4" borderId="1" xfId="0" applyFont="1" applyFill="1" applyBorder="1" applyAlignment="1">
      <alignment vertical="center" wrapText="1"/>
    </xf>
    <xf numFmtId="0" fontId="21" fillId="0" borderId="1" xfId="2" applyFont="1" applyBorder="1" applyAlignment="1">
      <alignment horizontal="left"/>
    </xf>
    <xf numFmtId="0" fontId="21" fillId="3" borderId="1" xfId="2" applyFont="1" applyFill="1" applyBorder="1" applyAlignment="1">
      <alignment horizontal="left"/>
    </xf>
    <xf numFmtId="0" fontId="21" fillId="0" borderId="0" xfId="2" applyFont="1" applyAlignment="1">
      <alignment horizontal="left" wrapText="1"/>
    </xf>
    <xf numFmtId="0" fontId="21" fillId="3" borderId="0" xfId="2" applyFont="1" applyFill="1" applyAlignment="1">
      <alignment horizontal="left"/>
    </xf>
    <xf numFmtId="0" fontId="21" fillId="0" borderId="0" xfId="2" applyFont="1" applyAlignment="1">
      <alignment horizontal="left"/>
    </xf>
    <xf numFmtId="0" fontId="21" fillId="3" borderId="0" xfId="2" applyFont="1" applyFill="1" applyAlignment="1">
      <alignment horizontal="left" wrapText="1"/>
    </xf>
    <xf numFmtId="9" fontId="21" fillId="3" borderId="0" xfId="2" applyNumberFormat="1" applyFont="1" applyFill="1" applyAlignment="1">
      <alignment horizontal="left"/>
    </xf>
    <xf numFmtId="9" fontId="21" fillId="0" borderId="0" xfId="2" applyNumberFormat="1" applyFont="1" applyAlignment="1">
      <alignment horizontal="left"/>
    </xf>
    <xf numFmtId="0" fontId="60" fillId="2" borderId="1" xfId="0" applyFont="1" applyFill="1" applyBorder="1" applyAlignment="1">
      <alignment horizontal="center" vertical="center" wrapText="1"/>
    </xf>
    <xf numFmtId="0" fontId="60" fillId="2" borderId="1" xfId="0" applyFont="1" applyFill="1" applyBorder="1" applyAlignment="1">
      <alignment wrapText="1"/>
    </xf>
    <xf numFmtId="0" fontId="61" fillId="0" borderId="9" xfId="0" applyFont="1" applyBorder="1" applyAlignment="1">
      <alignment horizontal="left" vertical="center" wrapText="1"/>
    </xf>
    <xf numFmtId="0" fontId="61" fillId="13" borderId="9" xfId="0" applyFont="1" applyFill="1" applyBorder="1" applyAlignment="1">
      <alignment horizontal="left" vertical="center" wrapText="1"/>
    </xf>
    <xf numFmtId="0" fontId="4" fillId="2" borderId="1" xfId="2" applyFill="1" applyBorder="1" applyAlignment="1">
      <alignment horizontal="center" vertical="center" wrapText="1"/>
    </xf>
    <xf numFmtId="0" fontId="4" fillId="4" borderId="1" xfId="2" applyFill="1" applyBorder="1" applyAlignment="1">
      <alignment horizontal="center" vertical="center" wrapText="1"/>
    </xf>
    <xf numFmtId="0" fontId="4" fillId="3" borderId="1" xfId="2" applyFill="1" applyBorder="1" applyAlignment="1">
      <alignment horizontal="center" vertical="center" wrapText="1"/>
    </xf>
    <xf numFmtId="0" fontId="0" fillId="0" borderId="1" xfId="2" applyFont="1" applyBorder="1" applyAlignment="1">
      <alignment vertical="center" wrapText="1"/>
    </xf>
    <xf numFmtId="0" fontId="0" fillId="2" borderId="1" xfId="2" applyFont="1" applyFill="1" applyBorder="1" applyAlignment="1">
      <alignment horizontal="center" vertical="center" wrapText="1"/>
    </xf>
    <xf numFmtId="0" fontId="62" fillId="0" borderId="1" xfId="2" applyFont="1" applyBorder="1" applyAlignment="1">
      <alignment horizontal="left" vertical="center" wrapText="1"/>
    </xf>
    <xf numFmtId="0" fontId="62" fillId="2" borderId="1" xfId="2" applyFont="1" applyFill="1" applyBorder="1" applyAlignment="1">
      <alignment horizontal="center" vertical="center" wrapText="1"/>
    </xf>
    <xf numFmtId="0" fontId="62" fillId="3" borderId="1" xfId="2" applyFont="1" applyFill="1" applyBorder="1" applyAlignment="1">
      <alignment horizontal="center" vertical="center" wrapText="1"/>
    </xf>
    <xf numFmtId="0" fontId="4" fillId="0" borderId="1" xfId="2" applyBorder="1" applyAlignment="1">
      <alignment horizontal="center" vertical="center" wrapText="1"/>
    </xf>
    <xf numFmtId="0" fontId="0" fillId="0" borderId="1" xfId="2" applyFont="1" applyBorder="1" applyAlignment="1">
      <alignment horizontal="center" vertical="center" wrapText="1"/>
    </xf>
    <xf numFmtId="9" fontId="4" fillId="0" borderId="1" xfId="2" applyNumberFormat="1" applyBorder="1" applyAlignment="1">
      <alignment horizontal="center" vertical="center" wrapText="1"/>
    </xf>
    <xf numFmtId="10" fontId="4" fillId="0" borderId="1" xfId="2" applyNumberFormat="1" applyBorder="1" applyAlignment="1">
      <alignment horizontal="center" vertical="center" wrapText="1"/>
    </xf>
    <xf numFmtId="10" fontId="4" fillId="3" borderId="1" xfId="2" applyNumberFormat="1" applyFill="1" applyBorder="1" applyAlignment="1">
      <alignment horizontal="center" vertical="center" wrapText="1"/>
    </xf>
    <xf numFmtId="9" fontId="4" fillId="3" borderId="1" xfId="2" applyNumberFormat="1" applyFill="1" applyBorder="1" applyAlignment="1">
      <alignment horizontal="center" vertical="center" wrapText="1"/>
    </xf>
    <xf numFmtId="0" fontId="60" fillId="0" borderId="1" xfId="2" applyFont="1" applyBorder="1" applyAlignment="1">
      <alignment vertical="center" wrapText="1"/>
    </xf>
    <xf numFmtId="0" fontId="60" fillId="3" borderId="1" xfId="2" applyFont="1" applyFill="1" applyBorder="1" applyAlignment="1">
      <alignment horizontal="center" vertical="center" wrapText="1"/>
    </xf>
    <xf numFmtId="0" fontId="60" fillId="4" borderId="1" xfId="2" applyFont="1" applyFill="1" applyBorder="1" applyAlignment="1">
      <alignment horizontal="center" vertical="center" wrapText="1"/>
    </xf>
    <xf numFmtId="0" fontId="60" fillId="2" borderId="1" xfId="2" applyFont="1" applyFill="1" applyBorder="1" applyAlignment="1">
      <alignment horizontal="center" vertical="center" wrapText="1"/>
    </xf>
    <xf numFmtId="0" fontId="60" fillId="0" borderId="1" xfId="2" applyFont="1" applyBorder="1" applyAlignment="1">
      <alignment horizontal="center" vertical="center" wrapText="1"/>
    </xf>
    <xf numFmtId="0" fontId="63" fillId="3" borderId="1" xfId="2" applyFont="1" applyFill="1" applyBorder="1" applyAlignment="1">
      <alignment horizontal="center" vertical="center" wrapText="1"/>
    </xf>
    <xf numFmtId="0" fontId="63" fillId="0" borderId="1" xfId="2" applyFont="1" applyBorder="1" applyAlignment="1">
      <alignment horizontal="center" vertical="center" wrapText="1"/>
    </xf>
    <xf numFmtId="0" fontId="64" fillId="0" borderId="1" xfId="2" applyFont="1" applyBorder="1" applyAlignment="1">
      <alignment horizontal="center" vertical="center" wrapText="1"/>
    </xf>
    <xf numFmtId="0" fontId="15" fillId="2" borderId="1" xfId="2" applyFont="1" applyFill="1" applyBorder="1" applyAlignment="1">
      <alignment horizontal="center" vertical="center" wrapText="1"/>
    </xf>
    <xf numFmtId="0" fontId="15" fillId="3" borderId="1" xfId="2" applyFont="1" applyFill="1" applyBorder="1" applyAlignment="1">
      <alignment horizontal="center" vertical="center" wrapText="1"/>
    </xf>
    <xf numFmtId="0" fontId="15" fillId="0" borderId="1" xfId="2" applyFont="1" applyBorder="1" applyAlignment="1">
      <alignment vertical="center" wrapText="1"/>
    </xf>
    <xf numFmtId="0" fontId="67" fillId="0" borderId="1" xfId="2" applyFont="1" applyBorder="1" applyAlignment="1">
      <alignment horizontal="justify" vertical="center"/>
    </xf>
    <xf numFmtId="0" fontId="15" fillId="4" borderId="1" xfId="2" applyFont="1" applyFill="1" applyBorder="1" applyAlignment="1">
      <alignment horizontal="center" vertical="center" wrapText="1"/>
    </xf>
    <xf numFmtId="16" fontId="4" fillId="4" borderId="1" xfId="2" applyNumberFormat="1" applyFill="1" applyBorder="1" applyAlignment="1">
      <alignment horizontal="center" vertical="center" wrapText="1"/>
    </xf>
    <xf numFmtId="16" fontId="4" fillId="3" borderId="1" xfId="2" applyNumberFormat="1" applyFill="1" applyBorder="1" applyAlignment="1">
      <alignment horizontal="center" vertical="center" wrapText="1"/>
    </xf>
    <xf numFmtId="0" fontId="68" fillId="0" borderId="1" xfId="2" applyFont="1" applyBorder="1" applyAlignment="1">
      <alignment horizontal="justify" vertical="center"/>
    </xf>
    <xf numFmtId="2" fontId="60" fillId="4" borderId="1" xfId="2" applyNumberFormat="1" applyFont="1" applyFill="1" applyBorder="1" applyAlignment="1">
      <alignment horizontal="center" vertical="center" wrapText="1"/>
    </xf>
    <xf numFmtId="2" fontId="4" fillId="3" borderId="1" xfId="2" applyNumberFormat="1" applyFill="1" applyBorder="1" applyAlignment="1">
      <alignment horizontal="center" vertical="center" wrapText="1"/>
    </xf>
    <xf numFmtId="2" fontId="4" fillId="4" borderId="1" xfId="2" applyNumberFormat="1" applyFill="1" applyBorder="1" applyAlignment="1">
      <alignment horizontal="center" vertical="center" wrapText="1"/>
    </xf>
    <xf numFmtId="2" fontId="4" fillId="0" borderId="1" xfId="2" applyNumberFormat="1" applyBorder="1" applyAlignment="1">
      <alignment horizontal="center" vertical="center" wrapText="1"/>
    </xf>
    <xf numFmtId="0" fontId="4" fillId="0" borderId="1" xfId="2" applyBorder="1" applyAlignment="1">
      <alignment horizontal="left" vertical="center" wrapText="1"/>
    </xf>
    <xf numFmtId="165" fontId="4" fillId="2" borderId="1" xfId="2" applyNumberFormat="1" applyFill="1" applyBorder="1" applyAlignment="1">
      <alignment horizontal="center" vertical="center" wrapText="1"/>
    </xf>
    <xf numFmtId="15" fontId="4" fillId="3" borderId="1" xfId="2" applyNumberFormat="1" applyFill="1" applyBorder="1" applyAlignment="1">
      <alignment horizontal="center" vertical="center" wrapText="1"/>
    </xf>
    <xf numFmtId="165" fontId="4" fillId="2" borderId="1" xfId="2" applyNumberFormat="1" applyFill="1" applyBorder="1" applyAlignment="1">
      <alignment horizontal="center" vertical="center"/>
    </xf>
    <xf numFmtId="0" fontId="4" fillId="3" borderId="1" xfId="2" applyFill="1" applyBorder="1" applyAlignment="1">
      <alignment horizontal="center" vertical="center"/>
    </xf>
    <xf numFmtId="0" fontId="4" fillId="4" borderId="1" xfId="2" applyFill="1" applyBorder="1" applyAlignment="1">
      <alignment horizontal="center" vertical="center"/>
    </xf>
    <xf numFmtId="0" fontId="4" fillId="5" borderId="1" xfId="2" applyFill="1" applyBorder="1" applyAlignment="1">
      <alignment horizontal="center" vertical="center"/>
    </xf>
    <xf numFmtId="0" fontId="60" fillId="2" borderId="1" xfId="2" applyFont="1" applyFill="1" applyBorder="1" applyAlignment="1">
      <alignment horizontal="center" vertical="center"/>
    </xf>
    <xf numFmtId="0" fontId="60" fillId="4" borderId="1" xfId="2" applyFont="1" applyFill="1" applyBorder="1" applyAlignment="1">
      <alignment horizontal="center" vertical="center"/>
    </xf>
    <xf numFmtId="0" fontId="4" fillId="0" borderId="1" xfId="2" applyBorder="1" applyAlignment="1">
      <alignment horizontal="center" vertical="center"/>
    </xf>
    <xf numFmtId="0" fontId="4" fillId="0" borderId="1" xfId="2" applyBorder="1" applyAlignment="1">
      <alignment vertical="center"/>
    </xf>
    <xf numFmtId="9" fontId="4" fillId="0" borderId="1" xfId="2" applyNumberFormat="1" applyBorder="1" applyAlignment="1">
      <alignment horizontal="center" vertical="center"/>
    </xf>
    <xf numFmtId="9" fontId="4" fillId="3" borderId="1" xfId="2" applyNumberFormat="1" applyFill="1" applyBorder="1" applyAlignment="1">
      <alignment horizontal="center" vertical="center"/>
    </xf>
    <xf numFmtId="0" fontId="18" fillId="0" borderId="1" xfId="0" applyFont="1" applyFill="1" applyBorder="1" applyAlignment="1">
      <alignment vertical="center" wrapText="1"/>
    </xf>
    <xf numFmtId="0" fontId="33" fillId="0" borderId="1" xfId="0" applyFont="1" applyFill="1" applyBorder="1" applyAlignment="1">
      <alignment vertical="center" wrapText="1"/>
    </xf>
    <xf numFmtId="0" fontId="1" fillId="0" borderId="10" xfId="3" applyBorder="1" applyAlignment="1">
      <alignment horizontal="left" vertical="center" wrapText="1"/>
    </xf>
    <xf numFmtId="0" fontId="1" fillId="0" borderId="10" xfId="3" applyBorder="1" applyAlignment="1">
      <alignment horizontal="center" vertical="center" wrapText="1"/>
    </xf>
    <xf numFmtId="0" fontId="1" fillId="3" borderId="10" xfId="3" applyFill="1" applyBorder="1" applyAlignment="1">
      <alignment horizontal="center" vertical="center" wrapText="1"/>
    </xf>
    <xf numFmtId="0" fontId="1" fillId="0" borderId="11" xfId="3" applyBorder="1" applyAlignment="1">
      <alignment horizontal="left" vertical="center" wrapText="1"/>
    </xf>
    <xf numFmtId="0" fontId="1" fillId="0" borderId="11" xfId="3" applyBorder="1" applyAlignment="1">
      <alignment horizontal="center" vertical="center" wrapText="1"/>
    </xf>
    <xf numFmtId="0" fontId="1" fillId="3" borderId="11" xfId="3" applyFill="1" applyBorder="1" applyAlignment="1">
      <alignment horizontal="center" vertical="center" wrapText="1"/>
    </xf>
    <xf numFmtId="0" fontId="1" fillId="0" borderId="11" xfId="3" applyBorder="1" applyAlignment="1">
      <alignment vertical="center" wrapText="1"/>
    </xf>
    <xf numFmtId="49" fontId="1" fillId="0" borderId="11" xfId="3" applyNumberFormat="1" applyBorder="1" applyAlignment="1">
      <alignment horizontal="center" vertical="center" wrapText="1"/>
    </xf>
    <xf numFmtId="49" fontId="1" fillId="3" borderId="11" xfId="3" applyNumberFormat="1" applyFill="1" applyBorder="1" applyAlignment="1">
      <alignment horizontal="center" vertical="center" wrapText="1"/>
    </xf>
    <xf numFmtId="0" fontId="1" fillId="0" borderId="11" xfId="3" applyBorder="1" applyAlignment="1">
      <alignment vertical="center"/>
    </xf>
    <xf numFmtId="0" fontId="1" fillId="0" borderId="12" xfId="3" applyBorder="1" applyAlignment="1">
      <alignment vertical="center" wrapText="1"/>
    </xf>
    <xf numFmtId="0" fontId="1" fillId="0" borderId="12" xfId="3" applyBorder="1" applyAlignment="1">
      <alignment horizontal="center" vertical="center"/>
    </xf>
    <xf numFmtId="0" fontId="1" fillId="3" borderId="12" xfId="3" applyFill="1" applyBorder="1" applyAlignment="1">
      <alignment horizontal="center" vertical="center"/>
    </xf>
    <xf numFmtId="0" fontId="18" fillId="0" borderId="7" xfId="0" applyFont="1" applyFill="1" applyBorder="1" applyAlignment="1">
      <alignment horizontal="center" vertical="center" wrapText="1"/>
    </xf>
    <xf numFmtId="0" fontId="34" fillId="0" borderId="7" xfId="0" applyFont="1" applyFill="1" applyBorder="1" applyAlignment="1">
      <alignment horizontal="center" vertical="center" wrapText="1"/>
    </xf>
    <xf numFmtId="0" fontId="18" fillId="0" borderId="7" xfId="0" applyFont="1" applyFill="1" applyBorder="1" applyAlignment="1">
      <alignment horizontal="left" vertical="center" wrapText="1"/>
    </xf>
    <xf numFmtId="0" fontId="0" fillId="2" borderId="1" xfId="0" applyFont="1" applyFill="1" applyBorder="1" applyAlignment="1">
      <alignment horizontal="left" vertical="center" wrapText="1"/>
    </xf>
    <xf numFmtId="0" fontId="0" fillId="2" borderId="1" xfId="0" applyFont="1" applyFill="1" applyBorder="1" applyAlignment="1">
      <alignment horizontal="center" vertical="center" wrapText="1"/>
    </xf>
    <xf numFmtId="0" fontId="0" fillId="13" borderId="1" xfId="0" applyFont="1" applyFill="1" applyBorder="1" applyAlignment="1">
      <alignment horizontal="center" vertical="center" wrapText="1"/>
    </xf>
    <xf numFmtId="0" fontId="0" fillId="2" borderId="1" xfId="0" applyFont="1" applyFill="1" applyBorder="1" applyAlignment="1">
      <alignment vertical="center"/>
    </xf>
    <xf numFmtId="0" fontId="0" fillId="13" borderId="1" xfId="0" applyFont="1" applyFill="1" applyBorder="1" applyAlignment="1">
      <alignment vertical="center"/>
    </xf>
    <xf numFmtId="0" fontId="0" fillId="2" borderId="1" xfId="0" applyFont="1" applyFill="1" applyBorder="1" applyAlignment="1">
      <alignment wrapText="1"/>
    </xf>
    <xf numFmtId="0" fontId="0" fillId="13" borderId="1" xfId="0" applyFont="1" applyFill="1" applyBorder="1"/>
    <xf numFmtId="0" fontId="0" fillId="2" borderId="1" xfId="0" applyFont="1" applyFill="1" applyBorder="1"/>
    <xf numFmtId="0" fontId="0" fillId="2" borderId="1" xfId="0" applyFont="1" applyFill="1" applyBorder="1" applyAlignment="1">
      <alignment horizontal="center" vertical="center"/>
    </xf>
    <xf numFmtId="0" fontId="0" fillId="13" borderId="1" xfId="0" applyFont="1" applyFill="1" applyBorder="1" applyAlignment="1">
      <alignment vertical="center" wrapText="1"/>
    </xf>
    <xf numFmtId="0" fontId="0" fillId="3" borderId="1" xfId="0" applyFont="1" applyFill="1" applyBorder="1" applyAlignment="1">
      <alignment vertical="center"/>
    </xf>
    <xf numFmtId="0" fontId="0" fillId="2" borderId="1" xfId="0" applyFont="1" applyFill="1" applyBorder="1" applyAlignment="1">
      <alignment vertical="center" wrapText="1"/>
    </xf>
    <xf numFmtId="0" fontId="0" fillId="0" borderId="1" xfId="0" applyFill="1" applyBorder="1" applyAlignment="1">
      <alignment wrapText="1"/>
    </xf>
    <xf numFmtId="0" fontId="0" fillId="0" borderId="1" xfId="0" applyFont="1" applyFill="1" applyBorder="1" applyAlignment="1">
      <alignment wrapText="1"/>
    </xf>
    <xf numFmtId="0" fontId="0" fillId="13" borderId="1" xfId="0" applyFont="1" applyFill="1" applyBorder="1" applyAlignment="1">
      <alignment wrapText="1"/>
    </xf>
    <xf numFmtId="0" fontId="18" fillId="0" borderId="3" xfId="2" applyFont="1" applyFill="1" applyBorder="1" applyAlignment="1">
      <alignment horizontal="center" vertical="center" wrapText="1"/>
    </xf>
    <xf numFmtId="0" fontId="18" fillId="0" borderId="1" xfId="2" applyFont="1" applyFill="1" applyBorder="1" applyAlignment="1">
      <alignment horizontal="center" vertical="center" wrapText="1"/>
    </xf>
    <xf numFmtId="0" fontId="18" fillId="0" borderId="1" xfId="2" applyFont="1" applyFill="1" applyBorder="1" applyAlignment="1">
      <alignment vertical="center" wrapText="1"/>
    </xf>
    <xf numFmtId="0" fontId="16" fillId="0" borderId="1" xfId="0" applyFont="1" applyFill="1" applyBorder="1" applyAlignment="1">
      <alignment wrapText="1"/>
    </xf>
    <xf numFmtId="0" fontId="40" fillId="0" borderId="1" xfId="0" applyFont="1" applyFill="1" applyBorder="1" applyAlignment="1">
      <alignment horizontal="center" vertical="center" wrapText="1"/>
    </xf>
    <xf numFmtId="0" fontId="40" fillId="0" borderId="1" xfId="0" applyFont="1" applyFill="1" applyBorder="1" applyAlignment="1">
      <alignment wrapText="1"/>
    </xf>
    <xf numFmtId="9" fontId="40" fillId="0" borderId="1" xfId="0" applyNumberFormat="1" applyFont="1" applyFill="1" applyBorder="1" applyAlignment="1">
      <alignment horizontal="center" vertical="center" wrapText="1"/>
    </xf>
    <xf numFmtId="0" fontId="0" fillId="0" borderId="1" xfId="0" applyFont="1" applyFill="1" applyBorder="1" applyAlignment="1">
      <alignment horizontal="center" vertical="center" wrapText="1"/>
    </xf>
    <xf numFmtId="0" fontId="56" fillId="0" borderId="1" xfId="2" applyFont="1" applyFill="1" applyBorder="1" applyAlignment="1">
      <alignment horizontal="left" vertical="center" wrapText="1"/>
    </xf>
    <xf numFmtId="0" fontId="56" fillId="0" borderId="1" xfId="2" applyFont="1" applyFill="1" applyBorder="1" applyAlignment="1">
      <alignment horizontal="center" vertical="center" wrapText="1"/>
    </xf>
    <xf numFmtId="0" fontId="57" fillId="0" borderId="1" xfId="2" applyFont="1" applyFill="1" applyBorder="1" applyAlignment="1">
      <alignment horizontal="center" vertical="center" wrapText="1"/>
    </xf>
    <xf numFmtId="0" fontId="57" fillId="0" borderId="1" xfId="2" applyFont="1" applyFill="1" applyBorder="1" applyAlignment="1">
      <alignment horizontal="left" vertical="center" wrapText="1"/>
    </xf>
    <xf numFmtId="0" fontId="57" fillId="0" borderId="1" xfId="0" applyFont="1" applyFill="1" applyBorder="1" applyAlignment="1">
      <alignment horizontal="center" vertical="center" wrapText="1"/>
    </xf>
    <xf numFmtId="15" fontId="57" fillId="0" borderId="1" xfId="2" applyNumberFormat="1" applyFont="1" applyFill="1" applyBorder="1" applyAlignment="1">
      <alignment horizontal="center" vertical="center" wrapText="1"/>
    </xf>
    <xf numFmtId="0" fontId="0" fillId="4" borderId="1" xfId="0" applyFont="1" applyFill="1" applyBorder="1" applyAlignment="1">
      <alignment vertical="center" wrapText="1"/>
    </xf>
    <xf numFmtId="0" fontId="0" fillId="3" borderId="1"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vertical="center" wrapText="1"/>
    </xf>
    <xf numFmtId="0" fontId="0" fillId="0" borderId="1" xfId="0" applyFill="1" applyBorder="1" applyAlignment="1">
      <alignment vertical="center" wrapText="1"/>
    </xf>
    <xf numFmtId="0" fontId="0" fillId="0" borderId="1" xfId="0" applyFont="1" applyBorder="1" applyAlignment="1">
      <alignment vertical="center" wrapText="1"/>
    </xf>
    <xf numFmtId="0" fontId="0" fillId="0" borderId="1" xfId="0" applyFont="1" applyFill="1" applyBorder="1" applyAlignment="1">
      <alignment vertical="center" wrapText="1"/>
    </xf>
    <xf numFmtId="0" fontId="4" fillId="0" borderId="1" xfId="0" applyNumberFormat="1" applyFont="1" applyFill="1" applyBorder="1" applyAlignment="1">
      <alignment vertical="center" wrapText="1"/>
    </xf>
    <xf numFmtId="9" fontId="4" fillId="0" borderId="1" xfId="0" applyNumberFormat="1" applyFont="1" applyFill="1" applyBorder="1" applyAlignment="1">
      <alignment horizontal="center" vertical="center" wrapText="1"/>
    </xf>
    <xf numFmtId="10" fontId="4" fillId="0" borderId="1" xfId="0" applyNumberFormat="1" applyFont="1" applyFill="1" applyBorder="1" applyAlignment="1">
      <alignment horizontal="center" vertical="center" wrapText="1"/>
    </xf>
    <xf numFmtId="49" fontId="4" fillId="0" borderId="1" xfId="0" applyNumberFormat="1" applyFont="1" applyFill="1" applyBorder="1" applyAlignment="1">
      <alignment horizontal="center" vertical="center" wrapText="1"/>
    </xf>
    <xf numFmtId="0" fontId="0" fillId="0" borderId="1" xfId="0" applyFill="1" applyBorder="1" applyAlignment="1">
      <alignment horizontal="left" wrapText="1"/>
    </xf>
    <xf numFmtId="9" fontId="0" fillId="0" borderId="1" xfId="0" applyNumberFormat="1" applyFill="1" applyBorder="1" applyAlignment="1">
      <alignment horizontal="left" wrapText="1"/>
    </xf>
    <xf numFmtId="10" fontId="0" fillId="0" borderId="1" xfId="0" applyNumberFormat="1" applyFill="1" applyBorder="1" applyAlignment="1">
      <alignment horizontal="left" wrapText="1"/>
    </xf>
    <xf numFmtId="0" fontId="13" fillId="0" borderId="1" xfId="2" applyFont="1" applyFill="1" applyBorder="1" applyAlignment="1">
      <alignment horizontal="left" vertical="top" wrapText="1"/>
    </xf>
    <xf numFmtId="0" fontId="13" fillId="0" borderId="1" xfId="2" applyFont="1" applyFill="1" applyBorder="1" applyAlignment="1">
      <alignment horizontal="center" vertical="top" wrapText="1"/>
    </xf>
    <xf numFmtId="14" fontId="13" fillId="0" borderId="1" xfId="2" applyNumberFormat="1" applyFont="1" applyFill="1" applyBorder="1" applyAlignment="1">
      <alignment horizontal="center" vertical="top" wrapText="1"/>
    </xf>
    <xf numFmtId="0" fontId="1" fillId="0" borderId="1" xfId="2" applyFont="1" applyFill="1" applyBorder="1" applyAlignment="1">
      <alignment horizontal="left" vertical="top" wrapText="1"/>
    </xf>
    <xf numFmtId="0" fontId="13" fillId="0" borderId="1" xfId="2" applyFont="1" applyFill="1" applyBorder="1" applyAlignment="1">
      <alignment vertical="top" wrapText="1"/>
    </xf>
    <xf numFmtId="0" fontId="21" fillId="0" borderId="1" xfId="2" applyFont="1" applyFill="1" applyBorder="1" applyAlignment="1">
      <alignment horizontal="left" vertical="top" wrapText="1"/>
    </xf>
    <xf numFmtId="0" fontId="21" fillId="0" borderId="1" xfId="2" applyFont="1" applyFill="1" applyBorder="1" applyAlignment="1">
      <alignment vertical="top" wrapText="1"/>
    </xf>
    <xf numFmtId="0" fontId="13" fillId="0" borderId="1" xfId="0" applyFont="1" applyFill="1" applyBorder="1" applyAlignment="1">
      <alignment vertical="center" wrapText="1"/>
    </xf>
    <xf numFmtId="0" fontId="60" fillId="0" borderId="1" xfId="0" applyFont="1" applyFill="1" applyBorder="1" applyAlignment="1">
      <alignment horizontal="center" vertical="center" wrapText="1"/>
    </xf>
    <xf numFmtId="0" fontId="61" fillId="0" borderId="9" xfId="0" applyFont="1" applyFill="1" applyBorder="1" applyAlignment="1">
      <alignment horizontal="left" vertical="center" wrapText="1"/>
    </xf>
    <xf numFmtId="0" fontId="0" fillId="3" borderId="1" xfId="0" applyFont="1" applyFill="1" applyBorder="1" applyAlignment="1">
      <alignment vertical="center" wrapText="1"/>
    </xf>
    <xf numFmtId="0" fontId="22" fillId="3" borderId="1" xfId="0" applyNumberFormat="1" applyFont="1" applyFill="1" applyBorder="1" applyAlignment="1">
      <alignment horizontal="center" vertical="center" wrapText="1"/>
    </xf>
    <xf numFmtId="0" fontId="22" fillId="0" borderId="1" xfId="0" applyNumberFormat="1" applyFont="1" applyBorder="1" applyAlignment="1">
      <alignment horizontal="center" vertical="center" wrapText="1"/>
    </xf>
    <xf numFmtId="0" fontId="13"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4" fillId="0" borderId="1" xfId="2" applyFill="1" applyBorder="1" applyAlignment="1">
      <alignment horizontal="center" vertical="center" wrapText="1"/>
    </xf>
    <xf numFmtId="0" fontId="45" fillId="2" borderId="1" xfId="0" applyFont="1" applyFill="1" applyBorder="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18" fillId="0" borderId="1" xfId="0" applyFont="1" applyFill="1" applyBorder="1" applyAlignment="1">
      <alignment horizontal="left" vertical="center" wrapText="1"/>
    </xf>
    <xf numFmtId="0" fontId="18" fillId="0" borderId="1" xfId="0" applyFont="1" applyFill="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applyAlignment="1">
      <alignment horizontal="center" vertical="center" wrapText="1"/>
    </xf>
    <xf numFmtId="0" fontId="45" fillId="0" borderId="1" xfId="0" applyFont="1" applyBorder="1" applyAlignment="1">
      <alignment horizontal="center" vertical="center" wrapText="1"/>
    </xf>
    <xf numFmtId="0" fontId="45" fillId="15" borderId="1" xfId="0" applyFont="1" applyFill="1" applyBorder="1" applyAlignment="1">
      <alignment horizontal="center" vertical="center" wrapText="1"/>
    </xf>
    <xf numFmtId="0" fontId="18" fillId="15" borderId="1" xfId="0" applyFont="1" applyFill="1" applyBorder="1" applyAlignment="1">
      <alignment horizontal="left" vertical="center" wrapText="1"/>
    </xf>
    <xf numFmtId="0" fontId="18" fillId="15" borderId="1" xfId="0" applyFont="1" applyFill="1" applyBorder="1" applyAlignment="1">
      <alignment horizontal="center" vertical="center" wrapText="1"/>
    </xf>
    <xf numFmtId="0" fontId="18" fillId="3" borderId="1" xfId="0" applyFont="1" applyFill="1" applyBorder="1" applyAlignment="1">
      <alignment horizontal="center" vertical="center"/>
    </xf>
    <xf numFmtId="0" fontId="45" fillId="0" borderId="1" xfId="0" applyFont="1" applyBorder="1" applyAlignment="1">
      <alignment horizontal="center" vertical="center"/>
    </xf>
    <xf numFmtId="0" fontId="63" fillId="0" borderId="1" xfId="0" applyFont="1" applyBorder="1" applyAlignment="1">
      <alignment vertical="top" wrapText="1"/>
    </xf>
    <xf numFmtId="0" fontId="4" fillId="2" borderId="1" xfId="0" applyFont="1" applyFill="1" applyBorder="1" applyAlignment="1">
      <alignment horizontal="center" vertical="top" wrapText="1"/>
    </xf>
    <xf numFmtId="0" fontId="4" fillId="3" borderId="1" xfId="0" applyFont="1" applyFill="1" applyBorder="1" applyAlignment="1">
      <alignment horizontal="center" vertical="top" wrapText="1"/>
    </xf>
    <xf numFmtId="0" fontId="4" fillId="0" borderId="1" xfId="0" applyFont="1" applyBorder="1" applyAlignment="1">
      <alignment horizontal="center" vertical="top" wrapText="1"/>
    </xf>
    <xf numFmtId="0" fontId="0" fillId="2" borderId="1" xfId="0" applyFill="1" applyBorder="1" applyAlignment="1">
      <alignment horizontal="center" vertical="top" wrapText="1"/>
    </xf>
    <xf numFmtId="0" fontId="70" fillId="0" borderId="1" xfId="0" applyFont="1" applyBorder="1" applyAlignment="1">
      <alignment vertical="top" wrapText="1"/>
    </xf>
    <xf numFmtId="9" fontId="4" fillId="0" borderId="1" xfId="0" applyNumberFormat="1" applyFont="1" applyBorder="1" applyAlignment="1">
      <alignment horizontal="center" vertical="top" wrapText="1"/>
    </xf>
    <xf numFmtId="10" fontId="4" fillId="0" borderId="1" xfId="0" applyNumberFormat="1" applyFont="1" applyBorder="1" applyAlignment="1">
      <alignment horizontal="center" vertical="top" wrapText="1"/>
    </xf>
    <xf numFmtId="10" fontId="4" fillId="3" borderId="1" xfId="0" applyNumberFormat="1" applyFont="1" applyFill="1" applyBorder="1" applyAlignment="1">
      <alignment horizontal="center" vertical="top" wrapText="1"/>
    </xf>
    <xf numFmtId="0" fontId="71" fillId="0" borderId="1" xfId="0" applyFont="1" applyBorder="1" applyAlignment="1">
      <alignment vertical="top" wrapText="1"/>
    </xf>
    <xf numFmtId="49" fontId="4" fillId="0" borderId="1" xfId="0" applyNumberFormat="1" applyFont="1" applyBorder="1" applyAlignment="1">
      <alignment horizontal="center" vertical="top" wrapText="1"/>
    </xf>
    <xf numFmtId="49" fontId="4" fillId="3" borderId="1" xfId="0" applyNumberFormat="1" applyFont="1" applyFill="1" applyBorder="1" applyAlignment="1">
      <alignment horizontal="center" vertical="top" wrapText="1"/>
    </xf>
    <xf numFmtId="0" fontId="4" fillId="0" borderId="1" xfId="0" applyFont="1" applyBorder="1" applyAlignment="1">
      <alignment vertical="top" wrapText="1"/>
    </xf>
    <xf numFmtId="0" fontId="4" fillId="3" borderId="1" xfId="0" applyFont="1" applyFill="1" applyBorder="1" applyAlignment="1">
      <alignment vertical="top" wrapText="1"/>
    </xf>
    <xf numFmtId="0" fontId="69" fillId="0" borderId="1" xfId="0" applyFont="1" applyBorder="1" applyAlignment="1">
      <alignment vertical="top" wrapText="1"/>
    </xf>
    <xf numFmtId="0" fontId="4" fillId="2" borderId="1" xfId="0" applyFont="1" applyFill="1" applyBorder="1" applyAlignment="1">
      <alignment vertical="top" wrapText="1"/>
    </xf>
    <xf numFmtId="0" fontId="4" fillId="2" borderId="1" xfId="0" applyFont="1" applyFill="1" applyBorder="1" applyAlignment="1">
      <alignment horizontal="center" vertical="center" wrapText="1"/>
    </xf>
    <xf numFmtId="9" fontId="18" fillId="0" borderId="1" xfId="0" applyNumberFormat="1" applyFont="1" applyBorder="1" applyAlignment="1">
      <alignment horizontal="center" vertical="center" wrapText="1"/>
    </xf>
    <xf numFmtId="0" fontId="45" fillId="0" borderId="1" xfId="0" applyFont="1" applyFill="1" applyBorder="1" applyAlignment="1">
      <alignment horizontal="center" vertical="center" wrapText="1"/>
    </xf>
    <xf numFmtId="0" fontId="72" fillId="2" borderId="1" xfId="0" applyFont="1" applyFill="1" applyBorder="1" applyAlignment="1">
      <alignment horizontal="left" vertical="center" wrapText="1"/>
    </xf>
    <xf numFmtId="0" fontId="72" fillId="2" borderId="1" xfId="0" applyFont="1" applyFill="1" applyBorder="1" applyAlignment="1">
      <alignment horizontal="center" vertical="center" wrapText="1"/>
    </xf>
    <xf numFmtId="0" fontId="72" fillId="3" borderId="1" xfId="0" applyFont="1" applyFill="1" applyBorder="1" applyAlignment="1">
      <alignment horizontal="center" vertical="center" wrapText="1"/>
    </xf>
    <xf numFmtId="0" fontId="73" fillId="0" borderId="1" xfId="0" applyFont="1" applyFill="1" applyBorder="1" applyAlignment="1">
      <alignment horizontal="center" vertical="center" wrapText="1"/>
    </xf>
    <xf numFmtId="0" fontId="18" fillId="2" borderId="1" xfId="0" applyFont="1" applyFill="1" applyBorder="1"/>
    <xf numFmtId="0" fontId="18" fillId="2" borderId="1" xfId="0" applyFont="1" applyFill="1" applyBorder="1" applyAlignment="1">
      <alignment vertical="center" wrapText="1"/>
    </xf>
    <xf numFmtId="0" fontId="8" fillId="0" borderId="1" xfId="4" applyFont="1" applyBorder="1" applyAlignment="1">
      <alignment vertical="top" wrapText="1"/>
    </xf>
    <xf numFmtId="0" fontId="8" fillId="0" borderId="1" xfId="4" applyFont="1" applyBorder="1" applyAlignment="1">
      <alignment horizontal="center" vertical="center" wrapText="1"/>
    </xf>
    <xf numFmtId="0" fontId="45" fillId="0" borderId="1" xfId="4" applyFont="1" applyFill="1" applyBorder="1" applyAlignment="1">
      <alignment horizontal="center" vertical="center"/>
    </xf>
    <xf numFmtId="0" fontId="8" fillId="3" borderId="1" xfId="4" applyFont="1" applyFill="1" applyBorder="1" applyAlignment="1">
      <alignment horizontal="center" vertical="center" wrapText="1"/>
    </xf>
    <xf numFmtId="0" fontId="8" fillId="3" borderId="1" xfId="4" applyFont="1" applyFill="1" applyBorder="1" applyAlignment="1">
      <alignment horizontal="center" vertical="center"/>
    </xf>
    <xf numFmtId="0" fontId="8" fillId="2" borderId="1" xfId="4" applyFont="1" applyFill="1" applyBorder="1" applyAlignment="1">
      <alignment vertical="top" wrapText="1"/>
    </xf>
    <xf numFmtId="0" fontId="8" fillId="0" borderId="1" xfId="4" applyFont="1" applyFill="1" applyBorder="1" applyAlignment="1">
      <alignment vertical="top" wrapText="1"/>
    </xf>
    <xf numFmtId="0" fontId="8" fillId="0" borderId="1" xfId="4" applyFont="1" applyFill="1" applyBorder="1" applyAlignment="1">
      <alignment horizontal="center" vertical="center" wrapText="1"/>
    </xf>
    <xf numFmtId="0" fontId="0" fillId="2" borderId="1" xfId="0" applyFill="1" applyBorder="1" applyAlignment="1">
      <alignment vertical="top" wrapText="1"/>
    </xf>
    <xf numFmtId="0" fontId="44" fillId="2" borderId="1" xfId="0" applyFont="1" applyFill="1" applyBorder="1" applyAlignment="1">
      <alignment horizontal="center" vertical="top" wrapText="1"/>
    </xf>
    <xf numFmtId="0" fontId="73" fillId="2" borderId="1" xfId="0" applyFont="1" applyFill="1" applyBorder="1" applyAlignment="1">
      <alignment horizontal="center" vertical="center" wrapText="1"/>
    </xf>
    <xf numFmtId="9" fontId="4" fillId="2" borderId="1" xfId="0" applyNumberFormat="1" applyFont="1" applyFill="1" applyBorder="1" applyAlignment="1">
      <alignment vertical="top" wrapText="1"/>
    </xf>
    <xf numFmtId="9" fontId="4" fillId="3" borderId="1" xfId="0" applyNumberFormat="1" applyFont="1" applyFill="1" applyBorder="1" applyAlignment="1">
      <alignment vertical="top" wrapText="1"/>
    </xf>
    <xf numFmtId="49" fontId="4" fillId="0" borderId="1" xfId="0" applyNumberFormat="1" applyFont="1" applyBorder="1" applyAlignment="1">
      <alignment vertical="top" wrapText="1"/>
    </xf>
    <xf numFmtId="49" fontId="4" fillId="3" borderId="1" xfId="0" applyNumberFormat="1" applyFont="1" applyFill="1" applyBorder="1" applyAlignment="1">
      <alignment vertical="top" wrapText="1"/>
    </xf>
    <xf numFmtId="10" fontId="4" fillId="0" borderId="1" xfId="0" applyNumberFormat="1" applyFont="1" applyBorder="1" applyAlignment="1">
      <alignment vertical="top" wrapText="1"/>
    </xf>
    <xf numFmtId="9" fontId="4" fillId="0" borderId="1" xfId="0" applyNumberFormat="1" applyFont="1" applyBorder="1" applyAlignment="1">
      <alignment vertical="top" wrapText="1"/>
    </xf>
    <xf numFmtId="10" fontId="4" fillId="3" borderId="1" xfId="0" applyNumberFormat="1" applyFont="1" applyFill="1" applyBorder="1" applyAlignment="1">
      <alignment vertical="top" wrapText="1"/>
    </xf>
    <xf numFmtId="0" fontId="4" fillId="0" borderId="1" xfId="0" applyFont="1" applyFill="1" applyBorder="1" applyAlignment="1">
      <alignment vertical="top" wrapText="1"/>
    </xf>
    <xf numFmtId="0" fontId="44" fillId="0" borderId="1" xfId="0" applyFont="1" applyFill="1" applyBorder="1" applyAlignment="1">
      <alignment horizontal="center" vertical="top" wrapText="1"/>
    </xf>
    <xf numFmtId="0" fontId="44" fillId="0" borderId="1" xfId="0" applyFont="1" applyBorder="1" applyAlignment="1">
      <alignment horizontal="center" vertical="top" wrapText="1"/>
    </xf>
    <xf numFmtId="0" fontId="0" fillId="3" borderId="1" xfId="0" applyFill="1" applyBorder="1" applyAlignment="1">
      <alignment vertical="top" wrapText="1"/>
    </xf>
    <xf numFmtId="0" fontId="63" fillId="3" borderId="1" xfId="0" applyFont="1" applyFill="1" applyBorder="1" applyAlignment="1">
      <alignment vertical="top" wrapText="1"/>
    </xf>
    <xf numFmtId="0" fontId="0" fillId="0" borderId="1" xfId="0" applyBorder="1" applyAlignment="1">
      <alignment vertical="top" wrapText="1"/>
    </xf>
    <xf numFmtId="0" fontId="4" fillId="0" borderId="1" xfId="0" quotePrefix="1" applyFont="1" applyBorder="1" applyAlignment="1">
      <alignment vertical="top" wrapText="1"/>
    </xf>
    <xf numFmtId="0" fontId="60" fillId="3" borderId="1" xfId="0" applyFont="1" applyFill="1" applyBorder="1" applyAlignment="1">
      <alignment vertical="top" wrapText="1"/>
    </xf>
    <xf numFmtId="0" fontId="60" fillId="0" borderId="1" xfId="0" applyFont="1" applyBorder="1" applyAlignment="1">
      <alignment vertical="top" wrapText="1"/>
    </xf>
    <xf numFmtId="0" fontId="15" fillId="2" borderId="1" xfId="0" applyFont="1" applyFill="1" applyBorder="1" applyAlignment="1">
      <alignment vertical="top" wrapText="1"/>
    </xf>
    <xf numFmtId="0" fontId="4" fillId="2" borderId="1" xfId="0" applyFont="1" applyFill="1" applyBorder="1" applyAlignment="1">
      <alignment horizontal="left" vertical="center" wrapText="1"/>
    </xf>
    <xf numFmtId="0" fontId="44" fillId="4" borderId="1" xfId="0" applyFont="1" applyFill="1" applyBorder="1" applyAlignment="1">
      <alignment horizontal="center" vertical="center" wrapText="1"/>
    </xf>
    <xf numFmtId="0" fontId="77" fillId="0" borderId="1" xfId="0" applyFont="1" applyBorder="1" applyAlignment="1">
      <alignment vertical="center" wrapText="1"/>
    </xf>
    <xf numFmtId="0" fontId="69" fillId="0" borderId="1" xfId="0" applyFont="1" applyBorder="1" applyAlignment="1">
      <alignment horizontal="left" vertical="center" wrapText="1"/>
    </xf>
    <xf numFmtId="0" fontId="69" fillId="3" borderId="1" xfId="0" applyFont="1" applyFill="1" applyBorder="1" applyAlignment="1">
      <alignment horizontal="left" vertical="center" wrapText="1"/>
    </xf>
    <xf numFmtId="0" fontId="4" fillId="3" borderId="1" xfId="0" applyFont="1" applyFill="1" applyBorder="1" applyAlignment="1">
      <alignment horizontal="left" vertical="center" wrapText="1"/>
    </xf>
    <xf numFmtId="9" fontId="4" fillId="2" borderId="1" xfId="0" applyNumberFormat="1" applyFont="1" applyFill="1" applyBorder="1" applyAlignment="1">
      <alignment horizontal="center" vertical="center" wrapText="1"/>
    </xf>
    <xf numFmtId="164" fontId="4" fillId="3" borderId="1" xfId="0" applyNumberFormat="1" applyFont="1" applyFill="1" applyBorder="1" applyAlignment="1">
      <alignment horizontal="center" vertical="center" wrapText="1"/>
    </xf>
    <xf numFmtId="10" fontId="4" fillId="2" borderId="1" xfId="0" applyNumberFormat="1" applyFont="1" applyFill="1" applyBorder="1" applyAlignment="1">
      <alignment horizontal="center" vertical="center" wrapText="1"/>
    </xf>
    <xf numFmtId="0" fontId="15" fillId="3" borderId="1" xfId="0" applyFont="1" applyFill="1" applyBorder="1" applyAlignment="1">
      <alignment horizontal="left" vertical="center" wrapText="1"/>
    </xf>
    <xf numFmtId="0" fontId="15" fillId="2" borderId="1" xfId="0" applyFont="1" applyFill="1" applyBorder="1" applyAlignment="1">
      <alignment horizontal="left" vertical="center" wrapText="1"/>
    </xf>
    <xf numFmtId="10" fontId="15" fillId="0" borderId="1" xfId="0" applyNumberFormat="1" applyFont="1" applyBorder="1" applyAlignment="1">
      <alignment horizontal="left" vertical="center" wrapText="1"/>
    </xf>
    <xf numFmtId="10" fontId="15" fillId="3" borderId="1" xfId="0" applyNumberFormat="1" applyFont="1" applyFill="1" applyBorder="1" applyAlignment="1">
      <alignment horizontal="left" vertical="center" wrapText="1"/>
    </xf>
    <xf numFmtId="0" fontId="15" fillId="0" borderId="1" xfId="0" applyFont="1" applyBorder="1" applyAlignment="1">
      <alignment horizontal="left" wrapText="1"/>
    </xf>
    <xf numFmtId="0" fontId="15" fillId="3" borderId="1" xfId="0" applyFont="1" applyFill="1" applyBorder="1" applyAlignment="1">
      <alignment horizontal="left" wrapText="1"/>
    </xf>
    <xf numFmtId="9" fontId="15" fillId="3" borderId="1" xfId="0" applyNumberFormat="1" applyFont="1" applyFill="1" applyBorder="1" applyAlignment="1">
      <alignment horizontal="left" vertical="center" wrapText="1"/>
    </xf>
    <xf numFmtId="9" fontId="15" fillId="0" borderId="1" xfId="0" applyNumberFormat="1" applyFont="1" applyBorder="1" applyAlignment="1">
      <alignment horizontal="left" vertical="center" wrapText="1"/>
    </xf>
    <xf numFmtId="0" fontId="74" fillId="0" borderId="1" xfId="0" applyFont="1" applyBorder="1" applyAlignment="1">
      <alignment vertical="center" wrapText="1"/>
    </xf>
    <xf numFmtId="0" fontId="70" fillId="0" borderId="1" xfId="0" applyFont="1" applyBorder="1" applyAlignment="1">
      <alignment horizontal="left" vertical="center" wrapText="1"/>
    </xf>
    <xf numFmtId="0" fontId="70" fillId="3" borderId="1" xfId="0" applyFont="1" applyFill="1" applyBorder="1" applyAlignment="1">
      <alignment horizontal="left" vertical="center" wrapText="1"/>
    </xf>
    <xf numFmtId="0" fontId="44" fillId="2" borderId="1" xfId="3" applyFont="1" applyFill="1" applyBorder="1" applyAlignment="1">
      <alignment horizontal="left" vertical="top" wrapText="1"/>
    </xf>
    <xf numFmtId="0" fontId="1" fillId="2" borderId="1" xfId="3" applyFill="1" applyBorder="1" applyAlignment="1">
      <alignment horizontal="center" vertical="center" wrapText="1"/>
    </xf>
    <xf numFmtId="0" fontId="1" fillId="3" borderId="1" xfId="3" applyFill="1" applyBorder="1" applyAlignment="1">
      <alignment horizontal="center" vertical="center" wrapText="1"/>
    </xf>
    <xf numFmtId="0" fontId="4" fillId="2" borderId="1" xfId="3" applyFont="1" applyFill="1" applyBorder="1" applyAlignment="1">
      <alignment horizontal="center" vertical="center" wrapText="1"/>
    </xf>
    <xf numFmtId="9" fontId="1" fillId="2" borderId="1" xfId="3" applyNumberFormat="1" applyFill="1" applyBorder="1" applyAlignment="1">
      <alignment horizontal="center" vertical="center" wrapText="1"/>
    </xf>
    <xf numFmtId="9" fontId="1" fillId="0" borderId="1" xfId="3" applyNumberFormat="1" applyFill="1" applyBorder="1" applyAlignment="1">
      <alignment horizontal="center" vertical="center" wrapText="1"/>
    </xf>
    <xf numFmtId="0" fontId="18" fillId="2" borderId="1" xfId="0" applyFont="1" applyFill="1" applyBorder="1" applyAlignment="1">
      <alignment wrapText="1"/>
    </xf>
    <xf numFmtId="0" fontId="18" fillId="3" borderId="1" xfId="0" applyFont="1" applyFill="1" applyBorder="1" applyAlignment="1">
      <alignment wrapText="1"/>
    </xf>
    <xf numFmtId="0" fontId="18" fillId="2" borderId="1" xfId="0" applyFont="1" applyFill="1" applyBorder="1" applyAlignment="1">
      <alignment horizontal="center" wrapText="1"/>
    </xf>
    <xf numFmtId="0" fontId="18" fillId="0" borderId="1" xfId="0" applyFont="1" applyFill="1" applyBorder="1" applyAlignment="1">
      <alignment wrapText="1"/>
    </xf>
    <xf numFmtId="0" fontId="18" fillId="0" borderId="1" xfId="0" applyFont="1" applyFill="1" applyBorder="1" applyAlignment="1">
      <alignment horizontal="center" wrapText="1"/>
    </xf>
    <xf numFmtId="0" fontId="78" fillId="2" borderId="1" xfId="0" applyFont="1" applyFill="1" applyBorder="1" applyAlignment="1">
      <alignment horizontal="left" vertical="center" wrapText="1"/>
    </xf>
    <xf numFmtId="0" fontId="78" fillId="3" borderId="1" xfId="0" applyFont="1" applyFill="1" applyBorder="1" applyAlignment="1">
      <alignment horizontal="center" vertical="center" wrapText="1"/>
    </xf>
    <xf numFmtId="0" fontId="78" fillId="2" borderId="1" xfId="0" applyFont="1" applyFill="1" applyBorder="1" applyAlignment="1">
      <alignment horizontal="center" vertical="center" wrapText="1"/>
    </xf>
    <xf numFmtId="0" fontId="79" fillId="2" borderId="1" xfId="0" applyFont="1" applyFill="1" applyBorder="1" applyAlignment="1">
      <alignment horizontal="center" vertical="center" wrapText="1"/>
    </xf>
    <xf numFmtId="2" fontId="18" fillId="2" borderId="1" xfId="0" applyNumberFormat="1" applyFont="1" applyFill="1" applyBorder="1" applyAlignment="1">
      <alignment horizontal="center" vertical="center" wrapText="1"/>
    </xf>
    <xf numFmtId="0" fontId="8" fillId="3" borderId="1" xfId="0" applyFont="1" applyFill="1" applyBorder="1" applyAlignment="1">
      <alignment horizontal="left" vertical="center" wrapText="1"/>
    </xf>
    <xf numFmtId="0" fontId="18" fillId="2" borderId="1" xfId="0" applyFont="1" applyFill="1" applyBorder="1" applyAlignment="1">
      <alignment horizontal="center" vertical="center"/>
    </xf>
    <xf numFmtId="0" fontId="8" fillId="2" borderId="1" xfId="0" applyFont="1" applyFill="1" applyBorder="1" applyAlignment="1">
      <alignment wrapText="1"/>
    </xf>
    <xf numFmtId="0" fontId="8" fillId="3" borderId="1" xfId="0" applyFont="1" applyFill="1" applyBorder="1" applyAlignment="1">
      <alignment horizontal="left" vertical="center"/>
    </xf>
    <xf numFmtId="0" fontId="8" fillId="2" borderId="1" xfId="0" applyFont="1" applyFill="1" applyBorder="1" applyAlignment="1">
      <alignment vertical="center" wrapText="1"/>
    </xf>
    <xf numFmtId="0" fontId="8" fillId="0" borderId="1" xfId="0" applyFont="1" applyFill="1" applyBorder="1" applyAlignment="1">
      <alignment horizontal="left" vertical="center" wrapText="1"/>
    </xf>
    <xf numFmtId="0" fontId="80" fillId="2" borderId="1" xfId="0" applyFont="1" applyFill="1" applyBorder="1" applyAlignment="1">
      <alignment horizontal="left" vertical="center" wrapText="1"/>
    </xf>
    <xf numFmtId="0" fontId="80" fillId="2" borderId="1" xfId="0" applyFont="1" applyFill="1" applyBorder="1" applyAlignment="1">
      <alignment horizontal="center" vertical="center" wrapText="1"/>
    </xf>
    <xf numFmtId="0" fontId="80" fillId="3" borderId="1" xfId="0" applyFont="1" applyFill="1" applyBorder="1" applyAlignment="1">
      <alignment horizontal="center" vertical="center" wrapText="1"/>
    </xf>
    <xf numFmtId="0" fontId="4" fillId="2" borderId="1" xfId="0" applyFont="1" applyFill="1" applyBorder="1" applyAlignment="1">
      <alignment horizontal="center" wrapText="1"/>
    </xf>
    <xf numFmtId="0" fontId="81" fillId="2" borderId="1" xfId="0" applyFont="1" applyFill="1" applyBorder="1" applyAlignment="1">
      <alignment horizontal="left" vertical="center" wrapText="1"/>
    </xf>
    <xf numFmtId="0" fontId="81" fillId="2" borderId="1" xfId="0" applyFont="1" applyFill="1" applyBorder="1" applyAlignment="1">
      <alignment horizontal="center" vertical="center" wrapText="1"/>
    </xf>
    <xf numFmtId="0" fontId="81" fillId="3" borderId="1" xfId="0" applyFont="1" applyFill="1" applyBorder="1" applyAlignment="1">
      <alignment horizontal="center" vertical="center" wrapText="1"/>
    </xf>
    <xf numFmtId="9" fontId="81" fillId="2" borderId="1" xfId="0" applyNumberFormat="1" applyFont="1" applyFill="1" applyBorder="1" applyAlignment="1">
      <alignment horizontal="center" vertical="center" wrapText="1"/>
    </xf>
    <xf numFmtId="0" fontId="82" fillId="2" borderId="1" xfId="0" applyFont="1" applyFill="1" applyBorder="1" applyAlignment="1">
      <alignment horizontal="center" vertical="center" wrapText="1"/>
    </xf>
    <xf numFmtId="0" fontId="74" fillId="0" borderId="1" xfId="0" applyFont="1" applyBorder="1" applyAlignment="1">
      <alignment horizontal="center" vertical="center" wrapText="1"/>
    </xf>
    <xf numFmtId="0" fontId="74" fillId="3" borderId="1" xfId="0" applyFont="1" applyFill="1" applyBorder="1" applyAlignment="1">
      <alignment horizontal="center" vertical="center" wrapText="1"/>
    </xf>
    <xf numFmtId="0" fontId="81" fillId="0" borderId="1" xfId="0" applyFont="1" applyFill="1" applyBorder="1" applyAlignment="1">
      <alignment horizontal="left" vertical="center" wrapText="1"/>
    </xf>
    <xf numFmtId="0" fontId="81" fillId="0" borderId="1" xfId="0" applyFont="1" applyFill="1" applyBorder="1" applyAlignment="1">
      <alignment horizontal="center" vertical="center" wrapText="1"/>
    </xf>
    <xf numFmtId="0" fontId="81" fillId="0" borderId="1" xfId="0" applyFont="1" applyBorder="1" applyAlignment="1">
      <alignment horizontal="center" vertical="center" wrapText="1"/>
    </xf>
    <xf numFmtId="0" fontId="82" fillId="0" borderId="1" xfId="0" applyFont="1" applyBorder="1" applyAlignment="1">
      <alignment horizontal="center" vertical="center" wrapText="1"/>
    </xf>
    <xf numFmtId="0" fontId="0" fillId="0" borderId="1" xfId="0" applyFont="1" applyFill="1" applyBorder="1" applyAlignment="1">
      <alignment horizontal="center" wrapText="1"/>
    </xf>
    <xf numFmtId="9" fontId="0" fillId="2" borderId="1" xfId="0" applyNumberFormat="1" applyFill="1" applyBorder="1" applyAlignment="1">
      <alignment horizontal="left" wrapText="1"/>
    </xf>
    <xf numFmtId="0" fontId="0" fillId="2" borderId="1" xfId="0" applyFont="1" applyFill="1" applyBorder="1" applyAlignment="1">
      <alignment horizontal="center" wrapText="1"/>
    </xf>
    <xf numFmtId="0" fontId="0" fillId="2" borderId="1" xfId="0" applyFill="1" applyBorder="1" applyAlignment="1">
      <alignment horizontal="left" wrapText="1"/>
    </xf>
    <xf numFmtId="10" fontId="0" fillId="2" borderId="1" xfId="0" applyNumberFormat="1" applyFill="1" applyBorder="1" applyAlignment="1">
      <alignment horizontal="left" wrapText="1"/>
    </xf>
    <xf numFmtId="0" fontId="0" fillId="2" borderId="1" xfId="0" applyFont="1" applyFill="1" applyBorder="1" applyAlignment="1">
      <alignment vertical="top" wrapText="1"/>
    </xf>
    <xf numFmtId="0" fontId="0" fillId="0" borderId="1" xfId="0" applyFont="1" applyBorder="1" applyAlignment="1">
      <alignment horizontal="center" vertical="center" wrapText="1"/>
    </xf>
    <xf numFmtId="0" fontId="44" fillId="2" borderId="1" xfId="0" applyFont="1" applyFill="1" applyBorder="1" applyAlignment="1">
      <alignment horizontal="center" vertical="center" wrapText="1"/>
    </xf>
    <xf numFmtId="0" fontId="83" fillId="3" borderId="1" xfId="0" applyFont="1" applyFill="1" applyBorder="1" applyAlignment="1">
      <alignment horizontal="center" vertical="center" wrapText="1"/>
    </xf>
    <xf numFmtId="0" fontId="83" fillId="0" borderId="1" xfId="0" applyFont="1" applyFill="1" applyBorder="1" applyAlignment="1">
      <alignment horizontal="center" vertical="center" wrapText="1"/>
    </xf>
    <xf numFmtId="0" fontId="44" fillId="0" borderId="1" xfId="0" applyFont="1" applyBorder="1" applyAlignment="1">
      <alignment horizontal="center" vertical="center" wrapText="1"/>
    </xf>
    <xf numFmtId="0" fontId="0" fillId="0" borderId="1" xfId="0" applyFont="1" applyBorder="1" applyAlignment="1">
      <alignment vertical="top" wrapText="1"/>
    </xf>
    <xf numFmtId="0" fontId="0" fillId="3" borderId="1" xfId="0" quotePrefix="1" applyFont="1" applyFill="1" applyBorder="1" applyAlignment="1">
      <alignment horizontal="center" vertical="center" wrapText="1"/>
    </xf>
    <xf numFmtId="0" fontId="0" fillId="0" borderId="1" xfId="0" quotePrefix="1" applyFont="1" applyBorder="1" applyAlignment="1">
      <alignment horizontal="center" vertical="center" wrapText="1"/>
    </xf>
    <xf numFmtId="0" fontId="44" fillId="0" borderId="1" xfId="0" applyFont="1" applyFill="1" applyBorder="1" applyAlignment="1">
      <alignment horizontal="center" vertical="center" wrapText="1"/>
    </xf>
    <xf numFmtId="0" fontId="0" fillId="0" borderId="1" xfId="0" applyFont="1" applyBorder="1" applyAlignment="1">
      <alignment wrapText="1"/>
    </xf>
    <xf numFmtId="0" fontId="0" fillId="0" borderId="1" xfId="0" applyFont="1" applyBorder="1" applyAlignment="1">
      <alignment horizontal="left" vertical="center" wrapText="1"/>
    </xf>
    <xf numFmtId="0" fontId="0" fillId="3" borderId="1" xfId="0" applyFont="1" applyFill="1" applyBorder="1" applyAlignment="1">
      <alignment horizontal="left" wrapText="1"/>
    </xf>
    <xf numFmtId="0" fontId="0" fillId="2" borderId="1" xfId="0" applyFont="1" applyFill="1" applyBorder="1" applyAlignment="1">
      <alignment horizontal="left" wrapText="1"/>
    </xf>
    <xf numFmtId="0" fontId="0" fillId="3" borderId="1" xfId="0" applyFont="1" applyFill="1" applyBorder="1" applyAlignment="1">
      <alignment wrapText="1"/>
    </xf>
    <xf numFmtId="0" fontId="85" fillId="2" borderId="1" xfId="0" applyFont="1" applyFill="1" applyBorder="1" applyAlignment="1">
      <alignment horizontal="left" vertical="center" wrapText="1"/>
    </xf>
    <xf numFmtId="0" fontId="85" fillId="2" borderId="1" xfId="0" applyFont="1" applyFill="1" applyBorder="1" applyAlignment="1">
      <alignment horizontal="center" vertical="center" wrapText="1"/>
    </xf>
    <xf numFmtId="0" fontId="85" fillId="3" borderId="1" xfId="0" applyFont="1" applyFill="1" applyBorder="1" applyAlignment="1">
      <alignment horizontal="center" vertical="center" wrapText="1"/>
    </xf>
    <xf numFmtId="0" fontId="82" fillId="0" borderId="1" xfId="0" applyFont="1" applyFill="1" applyBorder="1" applyAlignment="1">
      <alignment horizontal="center" vertical="center" wrapText="1"/>
    </xf>
    <xf numFmtId="0" fontId="86" fillId="2" borderId="1" xfId="0" applyFont="1" applyFill="1" applyBorder="1" applyAlignment="1">
      <alignment horizontal="left" vertical="center" wrapText="1"/>
    </xf>
    <xf numFmtId="0" fontId="86" fillId="2" borderId="1" xfId="0" applyFont="1" applyFill="1" applyBorder="1" applyAlignment="1">
      <alignment horizontal="center" vertical="center" wrapText="1"/>
    </xf>
    <xf numFmtId="0" fontId="86" fillId="3" borderId="1" xfId="0" applyFont="1" applyFill="1" applyBorder="1" applyAlignment="1">
      <alignment horizontal="center" vertical="center" wrapText="1"/>
    </xf>
    <xf numFmtId="0" fontId="87" fillId="2" borderId="1" xfId="0" applyFont="1" applyFill="1" applyBorder="1" applyAlignment="1">
      <alignment horizontal="center" vertical="center" wrapText="1"/>
    </xf>
    <xf numFmtId="0" fontId="0" fillId="2" borderId="1" xfId="0" applyFill="1" applyBorder="1" applyAlignment="1">
      <alignment horizontal="center" wrapText="1"/>
    </xf>
    <xf numFmtId="0" fontId="88" fillId="2" borderId="1" xfId="0" applyFont="1" applyFill="1" applyBorder="1" applyAlignment="1">
      <alignment horizontal="center" vertical="center" wrapText="1"/>
    </xf>
    <xf numFmtId="0" fontId="89" fillId="2" borderId="1" xfId="0" applyFont="1" applyFill="1" applyBorder="1" applyAlignment="1">
      <alignment horizontal="center" vertical="center" wrapText="1"/>
    </xf>
    <xf numFmtId="0" fontId="20" fillId="2" borderId="1" xfId="0" applyFont="1" applyFill="1" applyBorder="1" applyAlignment="1">
      <alignment horizontal="left" vertical="center" wrapText="1"/>
    </xf>
    <xf numFmtId="0" fontId="20" fillId="3" borderId="1" xfId="0" applyFont="1" applyFill="1" applyBorder="1" applyAlignment="1">
      <alignment horizontal="left" vertical="center" wrapText="1"/>
    </xf>
    <xf numFmtId="0" fontId="20" fillId="2" borderId="1" xfId="0" applyFont="1" applyFill="1" applyBorder="1" applyAlignment="1">
      <alignment vertical="center" wrapText="1"/>
    </xf>
    <xf numFmtId="0" fontId="20" fillId="2" borderId="1" xfId="0" applyFont="1" applyFill="1" applyBorder="1" applyAlignment="1">
      <alignment horizontal="center"/>
    </xf>
    <xf numFmtId="0" fontId="20" fillId="2" borderId="1" xfId="0" applyFont="1" applyFill="1" applyBorder="1" applyAlignment="1">
      <alignment wrapText="1"/>
    </xf>
    <xf numFmtId="0" fontId="20" fillId="2" borderId="1" xfId="0" applyFont="1" applyFill="1" applyBorder="1" applyAlignment="1">
      <alignment horizontal="left" wrapText="1"/>
    </xf>
    <xf numFmtId="0" fontId="20" fillId="3" borderId="1" xfId="0" applyFont="1" applyFill="1" applyBorder="1" applyAlignment="1">
      <alignment wrapText="1"/>
    </xf>
    <xf numFmtId="0" fontId="20" fillId="15" borderId="1" xfId="0" applyFont="1" applyFill="1" applyBorder="1" applyAlignment="1">
      <alignment wrapText="1"/>
    </xf>
    <xf numFmtId="0" fontId="20" fillId="15" borderId="1" xfId="0" applyFont="1" applyFill="1" applyBorder="1" applyAlignment="1">
      <alignment horizontal="center"/>
    </xf>
    <xf numFmtId="10" fontId="20" fillId="2" borderId="1" xfId="0" applyNumberFormat="1" applyFont="1" applyFill="1" applyBorder="1"/>
    <xf numFmtId="10" fontId="20" fillId="3" borderId="1" xfId="0" applyNumberFormat="1" applyFont="1" applyFill="1" applyBorder="1"/>
    <xf numFmtId="0" fontId="20" fillId="2" borderId="1" xfId="0" applyFont="1" applyFill="1" applyBorder="1"/>
    <xf numFmtId="0" fontId="20" fillId="3" borderId="1" xfId="0" applyFont="1" applyFill="1" applyBorder="1"/>
    <xf numFmtId="0" fontId="20" fillId="15" borderId="1" xfId="0" applyFont="1" applyFill="1" applyBorder="1" applyAlignment="1">
      <alignment horizontal="center" wrapText="1"/>
    </xf>
    <xf numFmtId="0" fontId="90" fillId="0" borderId="1" xfId="0" applyFont="1" applyBorder="1" applyAlignment="1">
      <alignment vertical="center" wrapText="1"/>
    </xf>
    <xf numFmtId="0" fontId="0" fillId="0" borderId="1" xfId="0" applyFont="1" applyBorder="1" applyAlignment="1">
      <alignment horizontal="center" vertical="center"/>
    </xf>
    <xf numFmtId="0" fontId="40" fillId="0" borderId="1" xfId="0" applyFont="1" applyBorder="1" applyAlignment="1">
      <alignment horizontal="center" vertical="center" wrapText="1"/>
    </xf>
    <xf numFmtId="0" fontId="40" fillId="3" borderId="1" xfId="0" applyFont="1" applyFill="1" applyBorder="1" applyAlignment="1">
      <alignment horizontal="center" vertical="center" wrapText="1"/>
    </xf>
    <xf numFmtId="9" fontId="0" fillId="0" borderId="1" xfId="0" applyNumberFormat="1" applyFont="1" applyBorder="1" applyAlignment="1">
      <alignment horizontal="center" vertical="center" wrapText="1"/>
    </xf>
    <xf numFmtId="9" fontId="0" fillId="3" borderId="1" xfId="0" applyNumberFormat="1" applyFont="1" applyFill="1" applyBorder="1" applyAlignment="1">
      <alignment horizontal="center" vertical="center" wrapText="1"/>
    </xf>
    <xf numFmtId="0" fontId="90" fillId="3" borderId="1" xfId="0" applyFont="1" applyFill="1" applyBorder="1" applyAlignment="1">
      <alignment vertical="center" wrapText="1"/>
    </xf>
    <xf numFmtId="0" fontId="0" fillId="3" borderId="1" xfId="0" applyFont="1" applyFill="1" applyBorder="1" applyAlignment="1">
      <alignment horizontal="center" vertical="center"/>
    </xf>
    <xf numFmtId="164" fontId="0" fillId="0" borderId="1" xfId="0" applyNumberFormat="1" applyFont="1" applyBorder="1" applyAlignment="1">
      <alignment horizontal="center" vertical="center" wrapText="1"/>
    </xf>
    <xf numFmtId="0" fontId="90" fillId="0" borderId="1" xfId="0" applyFont="1" applyBorder="1" applyAlignment="1">
      <alignment horizontal="center" vertical="center" wrapText="1"/>
    </xf>
    <xf numFmtId="10" fontId="0" fillId="3" borderId="1" xfId="0" applyNumberFormat="1" applyFont="1" applyFill="1" applyBorder="1" applyAlignment="1">
      <alignment horizontal="center" vertical="center" wrapText="1"/>
    </xf>
    <xf numFmtId="10" fontId="0" fillId="0" borderId="1" xfId="0" applyNumberFormat="1" applyFont="1" applyBorder="1" applyAlignment="1">
      <alignment horizontal="center" vertical="center" wrapText="1"/>
    </xf>
    <xf numFmtId="0" fontId="40" fillId="3" borderId="1" xfId="0" applyFont="1" applyFill="1" applyBorder="1" applyAlignment="1">
      <alignment wrapText="1"/>
    </xf>
    <xf numFmtId="0" fontId="40" fillId="0" borderId="1" xfId="0" applyFont="1" applyBorder="1" applyAlignment="1">
      <alignment horizontal="center"/>
    </xf>
    <xf numFmtId="9" fontId="40" fillId="3" borderId="1" xfId="0" applyNumberFormat="1" applyFont="1" applyFill="1" applyBorder="1" applyAlignment="1">
      <alignment wrapText="1"/>
    </xf>
    <xf numFmtId="10" fontId="40" fillId="0" borderId="1" xfId="0" applyNumberFormat="1" applyFont="1" applyBorder="1" applyAlignment="1">
      <alignment wrapText="1"/>
    </xf>
    <xf numFmtId="9" fontId="40" fillId="0" borderId="1" xfId="0" applyNumberFormat="1" applyFont="1" applyBorder="1" applyAlignment="1">
      <alignment wrapText="1"/>
    </xf>
    <xf numFmtId="0" fontId="40" fillId="0" borderId="1" xfId="0" applyFont="1" applyBorder="1" applyAlignment="1">
      <alignment horizontal="center" wrapText="1"/>
    </xf>
    <xf numFmtId="0" fontId="20" fillId="7" borderId="1" xfId="0" applyFont="1" applyFill="1" applyBorder="1" applyAlignment="1">
      <alignment horizontal="left" vertical="center" wrapText="1"/>
    </xf>
    <xf numFmtId="0" fontId="20" fillId="7" borderId="1" xfId="0" applyFont="1" applyFill="1" applyBorder="1" applyAlignment="1">
      <alignment horizontal="center" vertical="center" wrapText="1"/>
    </xf>
    <xf numFmtId="0" fontId="20" fillId="9" borderId="1" xfId="0" applyFont="1" applyFill="1" applyBorder="1" applyAlignment="1">
      <alignment horizontal="center" vertical="center" wrapText="1"/>
    </xf>
    <xf numFmtId="0" fontId="91" fillId="0" borderId="1" xfId="0" applyFont="1" applyBorder="1" applyAlignment="1">
      <alignment horizontal="center" vertical="center" wrapText="1"/>
    </xf>
    <xf numFmtId="0" fontId="20" fillId="2" borderId="1" xfId="0" applyFont="1" applyFill="1" applyBorder="1" applyAlignment="1">
      <alignment horizontal="center" vertical="center" wrapText="1"/>
    </xf>
    <xf numFmtId="0" fontId="20" fillId="2" borderId="1" xfId="0" quotePrefix="1" applyFont="1" applyFill="1" applyBorder="1" applyAlignment="1">
      <alignment horizontal="left" vertical="center" wrapText="1"/>
    </xf>
    <xf numFmtId="0" fontId="20" fillId="0" borderId="1" xfId="0" applyFont="1" applyBorder="1" applyAlignment="1">
      <alignment horizontal="left" vertical="top" wrapText="1"/>
    </xf>
    <xf numFmtId="0" fontId="20" fillId="3" borderId="1" xfId="0" applyFont="1" applyFill="1" applyBorder="1" applyAlignment="1">
      <alignment horizontal="left" vertical="top" wrapText="1"/>
    </xf>
    <xf numFmtId="0" fontId="91" fillId="0" borderId="1" xfId="0" applyFont="1" applyBorder="1" applyAlignment="1">
      <alignment horizontal="left" vertical="top" wrapText="1"/>
    </xf>
    <xf numFmtId="9" fontId="20" fillId="0" borderId="1" xfId="0" applyNumberFormat="1" applyFont="1" applyBorder="1" applyAlignment="1">
      <alignment horizontal="left" vertical="top" wrapText="1"/>
    </xf>
    <xf numFmtId="9" fontId="20" fillId="3" borderId="1" xfId="0" applyNumberFormat="1" applyFont="1" applyFill="1" applyBorder="1" applyAlignment="1">
      <alignment horizontal="left" vertical="top" wrapText="1"/>
    </xf>
    <xf numFmtId="0" fontId="20" fillId="0" borderId="1" xfId="0" applyFont="1" applyBorder="1" applyAlignment="1">
      <alignment wrapText="1"/>
    </xf>
    <xf numFmtId="0" fontId="20" fillId="0" borderId="1" xfId="0" applyFont="1" applyBorder="1" applyAlignment="1">
      <alignment horizontal="center"/>
    </xf>
    <xf numFmtId="0" fontId="20" fillId="0" borderId="1" xfId="0" applyFont="1" applyBorder="1" applyAlignment="1">
      <alignment vertical="top" wrapText="1"/>
    </xf>
    <xf numFmtId="0" fontId="0" fillId="3" borderId="1" xfId="0" applyFont="1" applyFill="1" applyBorder="1" applyAlignment="1">
      <alignment vertical="top" wrapText="1"/>
    </xf>
    <xf numFmtId="0" fontId="0" fillId="3" borderId="1" xfId="0" applyFont="1" applyFill="1" applyBorder="1" applyAlignment="1">
      <alignment horizontal="left" vertical="center" wrapText="1"/>
    </xf>
    <xf numFmtId="0" fontId="0" fillId="0" borderId="1" xfId="0" applyFont="1" applyBorder="1"/>
    <xf numFmtId="0" fontId="20" fillId="0" borderId="1" xfId="0" applyFont="1" applyBorder="1" applyAlignment="1">
      <alignment vertical="center" wrapText="1"/>
    </xf>
    <xf numFmtId="0" fontId="92" fillId="0" borderId="1" xfId="0" applyFont="1" applyBorder="1" applyAlignment="1">
      <alignment horizontal="center" vertical="center" wrapText="1"/>
    </xf>
    <xf numFmtId="0" fontId="92" fillId="3" borderId="1" xfId="0" applyFont="1" applyFill="1" applyBorder="1" applyAlignment="1">
      <alignment horizontal="center" vertical="center" wrapText="1"/>
    </xf>
    <xf numFmtId="0" fontId="92" fillId="0" borderId="1" xfId="0" applyFont="1" applyBorder="1" applyAlignment="1">
      <alignment vertical="center" wrapText="1"/>
    </xf>
    <xf numFmtId="0" fontId="20" fillId="2" borderId="1" xfId="0" applyFont="1" applyFill="1" applyBorder="1" applyAlignment="1" applyProtection="1">
      <alignment horizontal="left" vertical="center" wrapText="1"/>
      <protection locked="0"/>
    </xf>
    <xf numFmtId="0" fontId="20" fillId="3" borderId="1" xfId="0" applyFont="1" applyFill="1" applyBorder="1" applyAlignment="1" applyProtection="1">
      <alignment horizontal="left" vertical="center" wrapText="1"/>
      <protection locked="0"/>
    </xf>
    <xf numFmtId="0" fontId="20" fillId="2" borderId="1" xfId="0" applyFont="1" applyFill="1" applyBorder="1" applyAlignment="1" applyProtection="1">
      <alignment horizontal="center" vertical="center" wrapText="1"/>
      <protection locked="0"/>
    </xf>
    <xf numFmtId="0" fontId="93" fillId="0" borderId="1" xfId="0" applyFont="1" applyBorder="1" applyAlignment="1">
      <alignment horizontal="center" vertical="center" wrapText="1"/>
    </xf>
    <xf numFmtId="0" fontId="93" fillId="3" borderId="1" xfId="0" applyFont="1" applyFill="1" applyBorder="1" applyAlignment="1">
      <alignment horizontal="center" vertical="center" wrapText="1"/>
    </xf>
    <xf numFmtId="0" fontId="93" fillId="0" borderId="1" xfId="0" applyFont="1" applyBorder="1" applyAlignment="1">
      <alignment horizontal="center" vertical="center"/>
    </xf>
    <xf numFmtId="0" fontId="0" fillId="0" borderId="1" xfId="0" applyFont="1" applyBorder="1" applyAlignment="1">
      <alignment horizontal="center"/>
    </xf>
    <xf numFmtId="0" fontId="0" fillId="0" borderId="1" xfId="0" applyFont="1" applyBorder="1" applyAlignment="1">
      <alignment horizontal="center" wrapText="1"/>
    </xf>
    <xf numFmtId="0" fontId="4" fillId="2" borderId="1" xfId="0" applyFont="1" applyFill="1" applyBorder="1" applyAlignment="1">
      <alignment horizontal="left" vertical="top" wrapText="1"/>
    </xf>
    <xf numFmtId="46" fontId="4" fillId="2" borderId="1" xfId="0" applyNumberFormat="1" applyFont="1" applyFill="1" applyBorder="1" applyAlignment="1">
      <alignment vertical="center" wrapText="1"/>
    </xf>
    <xf numFmtId="46" fontId="4" fillId="2" borderId="1" xfId="0" quotePrefix="1" applyNumberFormat="1" applyFont="1" applyFill="1" applyBorder="1" applyAlignment="1">
      <alignment vertical="center" wrapText="1"/>
    </xf>
    <xf numFmtId="0" fontId="4" fillId="2" borderId="1" xfId="0" applyFont="1" applyFill="1" applyBorder="1" applyAlignment="1">
      <alignment horizontal="left" wrapText="1"/>
    </xf>
    <xf numFmtId="10" fontId="4" fillId="2" borderId="1" xfId="0" applyNumberFormat="1" applyFont="1" applyFill="1" applyBorder="1" applyAlignment="1">
      <alignment horizontal="left" wrapText="1"/>
    </xf>
    <xf numFmtId="9" fontId="4" fillId="2" borderId="1" xfId="0" applyNumberFormat="1" applyFont="1" applyFill="1" applyBorder="1" applyAlignment="1">
      <alignment horizontal="left" wrapText="1"/>
    </xf>
    <xf numFmtId="0" fontId="94" fillId="2" borderId="1" xfId="0" applyFont="1" applyFill="1" applyBorder="1" applyAlignment="1">
      <alignment horizontal="center" vertical="center" wrapText="1"/>
    </xf>
    <xf numFmtId="14" fontId="20" fillId="2" borderId="1" xfId="0" applyNumberFormat="1" applyFont="1" applyFill="1" applyBorder="1" applyAlignment="1">
      <alignment horizontal="center" vertical="center" wrapText="1"/>
    </xf>
    <xf numFmtId="0" fontId="20" fillId="0" borderId="1" xfId="0" applyFont="1" applyBorder="1" applyAlignment="1">
      <alignment horizontal="center" wrapText="1"/>
    </xf>
    <xf numFmtId="3" fontId="0" fillId="2" borderId="1" xfId="0" applyNumberFormat="1" applyFill="1" applyBorder="1" applyAlignment="1">
      <alignment horizontal="center" vertical="center" wrapText="1"/>
    </xf>
    <xf numFmtId="0" fontId="91" fillId="2"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95" fillId="0" borderId="1" xfId="0" applyFont="1" applyBorder="1" applyAlignment="1">
      <alignment vertical="top" wrapText="1"/>
    </xf>
    <xf numFmtId="0" fontId="96" fillId="0" borderId="1" xfId="0" applyFont="1" applyBorder="1" applyAlignment="1">
      <alignment vertical="top" wrapText="1"/>
    </xf>
    <xf numFmtId="0" fontId="95" fillId="0" borderId="1" xfId="0" applyFont="1" applyBorder="1" applyAlignment="1">
      <alignment vertical="top" wrapText="1" shrinkToFit="1"/>
    </xf>
    <xf numFmtId="0" fontId="77" fillId="4" borderId="1" xfId="0" applyFont="1" applyFill="1" applyBorder="1" applyAlignment="1">
      <alignment horizontal="center" vertical="center"/>
    </xf>
    <xf numFmtId="0" fontId="4" fillId="0" borderId="1" xfId="0" applyFont="1" applyBorder="1" applyAlignment="1">
      <alignment horizontal="center"/>
    </xf>
    <xf numFmtId="0" fontId="36" fillId="0" borderId="1" xfId="0" applyFont="1" applyBorder="1" applyAlignment="1">
      <alignment horizontal="center" vertical="center"/>
    </xf>
    <xf numFmtId="0" fontId="18" fillId="2" borderId="1" xfId="3" applyFont="1" applyFill="1" applyBorder="1" applyAlignment="1">
      <alignment horizontal="center" vertical="center" wrapText="1"/>
    </xf>
    <xf numFmtId="9" fontId="1" fillId="3" borderId="1" xfId="3" applyNumberFormat="1" applyFill="1" applyBorder="1" applyAlignment="1">
      <alignment horizontal="center" vertical="center" wrapText="1"/>
    </xf>
    <xf numFmtId="0" fontId="20" fillId="16" borderId="1" xfId="0" applyFont="1" applyFill="1" applyBorder="1" applyAlignment="1">
      <alignment wrapText="1"/>
    </xf>
    <xf numFmtId="3" fontId="20" fillId="0" borderId="1" xfId="0" applyNumberFormat="1" applyFont="1" applyBorder="1" applyAlignment="1">
      <alignment horizontal="left" vertical="top" wrapText="1"/>
    </xf>
    <xf numFmtId="0" fontId="20" fillId="0" borderId="1" xfId="0" applyFont="1" applyBorder="1" applyAlignment="1">
      <alignment horizontal="center" vertical="top" wrapText="1"/>
    </xf>
    <xf numFmtId="0" fontId="4" fillId="0" borderId="1" xfId="0" applyFont="1" applyBorder="1" applyAlignment="1">
      <alignment horizontal="left" vertical="top" wrapText="1"/>
    </xf>
    <xf numFmtId="9" fontId="4" fillId="0" borderId="1" xfId="0" applyNumberFormat="1" applyFont="1" applyBorder="1" applyAlignment="1">
      <alignment horizontal="left" vertical="top" wrapText="1"/>
    </xf>
    <xf numFmtId="10" fontId="4" fillId="0" borderId="1" xfId="0" applyNumberFormat="1" applyFont="1" applyBorder="1" applyAlignment="1">
      <alignment horizontal="left" vertical="top" wrapText="1"/>
    </xf>
    <xf numFmtId="49" fontId="4" fillId="0" borderId="1" xfId="0" applyNumberFormat="1" applyFont="1" applyBorder="1" applyAlignment="1">
      <alignment horizontal="left" vertical="top" wrapText="1"/>
    </xf>
    <xf numFmtId="20" fontId="4" fillId="0" borderId="1" xfId="0" applyNumberFormat="1" applyFont="1" applyBorder="1" applyAlignment="1">
      <alignment horizontal="left" vertical="top" wrapText="1"/>
    </xf>
    <xf numFmtId="0" fontId="60" fillId="0" borderId="1" xfId="0" applyFont="1" applyBorder="1" applyAlignment="1">
      <alignment horizontal="left" vertical="top" wrapText="1"/>
    </xf>
    <xf numFmtId="0" fontId="0" fillId="0" borderId="1" xfId="0" applyBorder="1" applyAlignment="1">
      <alignment horizontal="center" vertical="top" wrapText="1"/>
    </xf>
    <xf numFmtId="0" fontId="0" fillId="0" borderId="1" xfId="0" applyBorder="1" applyAlignment="1">
      <alignment horizontal="left" vertical="top" wrapText="1"/>
    </xf>
    <xf numFmtId="0" fontId="4" fillId="0" borderId="1" xfId="0" applyFont="1" applyBorder="1" applyAlignment="1">
      <alignment horizontal="left" wrapText="1"/>
    </xf>
    <xf numFmtId="0" fontId="4" fillId="0" borderId="1" xfId="0" applyFont="1" applyBorder="1" applyAlignment="1">
      <alignment horizontal="center" wrapText="1"/>
    </xf>
    <xf numFmtId="9" fontId="4" fillId="0" borderId="1" xfId="0" applyNumberFormat="1" applyFont="1" applyBorder="1" applyAlignment="1">
      <alignment horizontal="left" wrapText="1"/>
    </xf>
    <xf numFmtId="10" fontId="4" fillId="0" borderId="1" xfId="0" applyNumberFormat="1" applyFont="1" applyBorder="1" applyAlignment="1">
      <alignment horizontal="left" wrapText="1"/>
    </xf>
    <xf numFmtId="46" fontId="4" fillId="0" borderId="1" xfId="0" applyNumberFormat="1" applyFont="1" applyBorder="1" applyAlignment="1">
      <alignment horizontal="left" wrapText="1"/>
    </xf>
    <xf numFmtId="20" fontId="4" fillId="0" borderId="1" xfId="0" applyNumberFormat="1" applyFont="1" applyBorder="1" applyAlignment="1">
      <alignment horizontal="left" wrapText="1"/>
    </xf>
    <xf numFmtId="9" fontId="0" fillId="3" borderId="1" xfId="0" applyNumberFormat="1" applyFont="1" applyFill="1" applyBorder="1" applyAlignment="1">
      <alignment vertical="top" wrapText="1"/>
    </xf>
    <xf numFmtId="9" fontId="0" fillId="0" borderId="1" xfId="0" applyNumberFormat="1" applyFont="1" applyBorder="1" applyAlignment="1">
      <alignment vertical="top" wrapText="1"/>
    </xf>
    <xf numFmtId="49" fontId="0" fillId="0" borderId="1" xfId="0" applyNumberFormat="1" applyFont="1" applyBorder="1" applyAlignment="1">
      <alignment vertical="top" wrapText="1"/>
    </xf>
    <xf numFmtId="49" fontId="0" fillId="3" borderId="1" xfId="0" applyNumberFormat="1" applyFont="1" applyFill="1" applyBorder="1" applyAlignment="1">
      <alignment vertical="top" wrapText="1"/>
    </xf>
    <xf numFmtId="49" fontId="0" fillId="0" borderId="1" xfId="0" applyNumberFormat="1" applyFont="1" applyBorder="1" applyAlignment="1">
      <alignment horizontal="center" vertical="center" wrapText="1"/>
    </xf>
    <xf numFmtId="49" fontId="0" fillId="3" borderId="1" xfId="0" applyNumberFormat="1" applyFont="1" applyFill="1" applyBorder="1" applyAlignment="1">
      <alignment horizontal="center" vertical="center" wrapText="1"/>
    </xf>
    <xf numFmtId="20" fontId="0" fillId="0" borderId="1" xfId="0" quotePrefix="1" applyNumberFormat="1" applyFont="1" applyBorder="1" applyAlignment="1">
      <alignment horizontal="center" vertical="center" wrapText="1"/>
    </xf>
  </cellXfs>
  <cellStyles count="5">
    <cellStyle name="Normal" xfId="0" builtinId="0"/>
    <cellStyle name="Normal 2" xfId="2"/>
    <cellStyle name="Normal 3" xfId="3"/>
    <cellStyle name="Normal_Sheet1" xfId="4"/>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rec.com/"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4" Type="http://schemas.openxmlformats.org/officeDocument/2006/relationships/hyperlink" Target="http://www.recnldc.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recnldc.com/" TargetMode="External"/><Relationship Id="rId13" Type="http://schemas.openxmlformats.org/officeDocument/2006/relationships/hyperlink" Target="http://www.yahooligans.org/" TargetMode="External"/><Relationship Id="rId3" Type="http://schemas.openxmlformats.org/officeDocument/2006/relationships/hyperlink" Target="http://www.rec.com/" TargetMode="External"/><Relationship Id="rId7" Type="http://schemas.openxmlformats.org/officeDocument/2006/relationships/hyperlink" Target="http://www.rec.com/" TargetMode="External"/><Relationship Id="rId12" Type="http://schemas.openxmlformats.org/officeDocument/2006/relationships/hyperlink" Target="http://www.altavista.net/"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6" Type="http://schemas.openxmlformats.org/officeDocument/2006/relationships/hyperlink" Target="http://www.recregistryindia.in/" TargetMode="External"/><Relationship Id="rId11" Type="http://schemas.openxmlformats.org/officeDocument/2006/relationships/hyperlink" Target="http://www.yahoo.com/" TargetMode="External"/><Relationship Id="rId5" Type="http://schemas.openxmlformats.org/officeDocument/2006/relationships/hyperlink" Target="http://www.recregistryindia.com/" TargetMode="External"/><Relationship Id="rId10" Type="http://schemas.openxmlformats.org/officeDocument/2006/relationships/hyperlink" Target="mailto:rishi@user.com" TargetMode="External"/><Relationship Id="rId4" Type="http://schemas.openxmlformats.org/officeDocument/2006/relationships/hyperlink" Target="http://www.recnldc.com/" TargetMode="External"/><Relationship Id="rId9" Type="http://schemas.openxmlformats.org/officeDocument/2006/relationships/hyperlink" Target="http://www.rishi.com/" TargetMode="External"/><Relationship Id="rId1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www.rec.com/" TargetMode="External"/><Relationship Id="rId2" Type="http://schemas.openxmlformats.org/officeDocument/2006/relationships/hyperlink" Target="http://www.recregistryindia.in/" TargetMode="External"/><Relationship Id="rId1" Type="http://schemas.openxmlformats.org/officeDocument/2006/relationships/hyperlink" Target="http://www.recregistryindia.com/" TargetMode="External"/><Relationship Id="rId6" Type="http://schemas.openxmlformats.org/officeDocument/2006/relationships/hyperlink" Target="http://www.rishi.com/" TargetMode="External"/><Relationship Id="rId5" Type="http://schemas.openxmlformats.org/officeDocument/2006/relationships/hyperlink" Target="mailto:rishi@user.com" TargetMode="External"/><Relationship Id="rId4" Type="http://schemas.openxmlformats.org/officeDocument/2006/relationships/hyperlink" Target="http://www.recnldc.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59"/>
  <sheetViews>
    <sheetView topLeftCell="C1" zoomScale="85" zoomScaleNormal="85" workbookViewId="0">
      <selection activeCell="G2" sqref="G2"/>
    </sheetView>
  </sheetViews>
  <sheetFormatPr defaultRowHeight="15"/>
  <cols>
    <col min="1" max="1" width="27.5703125" bestFit="1" customWidth="1"/>
    <col min="2" max="2" width="75.42578125" style="1" customWidth="1"/>
    <col min="3" max="3" width="34.85546875" customWidth="1"/>
    <col min="4" max="4" width="38" customWidth="1"/>
    <col min="5" max="5" width="32.5703125" customWidth="1"/>
    <col min="6" max="6" width="28.28515625" customWidth="1"/>
  </cols>
  <sheetData>
    <row r="1" spans="1:7">
      <c r="A1" t="s">
        <v>0</v>
      </c>
      <c r="B1" s="1" t="s">
        <v>511</v>
      </c>
      <c r="C1" t="s">
        <v>512</v>
      </c>
      <c r="D1" t="s">
        <v>513</v>
      </c>
      <c r="E1" t="s">
        <v>514</v>
      </c>
      <c r="F1" t="s">
        <v>515</v>
      </c>
      <c r="G1" t="s">
        <v>6646</v>
      </c>
    </row>
    <row r="2" spans="1:7" ht="60">
      <c r="A2" t="s">
        <v>6650</v>
      </c>
      <c r="B2" s="2" t="s">
        <v>1</v>
      </c>
      <c r="C2" s="3" t="s">
        <v>2</v>
      </c>
      <c r="D2" s="4" t="s">
        <v>3</v>
      </c>
      <c r="E2" s="5" t="s">
        <v>4</v>
      </c>
      <c r="F2" s="3" t="s">
        <v>5</v>
      </c>
      <c r="G2">
        <f>IF(getRGB1($C2)="FFFFFF",0,1)+IF(getRGB1($D2)="FFFFFF",0,2)+IF(getRGB1($E2)="FFFFFF",0,3)+IF(getRGB1($F2)="FFFFFF",0,4)</f>
        <v>2</v>
      </c>
    </row>
    <row r="3" spans="1:7" ht="60">
      <c r="A3" t="s">
        <v>6650</v>
      </c>
      <c r="B3" s="2" t="s">
        <v>6</v>
      </c>
      <c r="C3" s="3" t="s">
        <v>7</v>
      </c>
      <c r="D3" s="4" t="s">
        <v>8</v>
      </c>
      <c r="E3" s="5" t="s">
        <v>9</v>
      </c>
      <c r="F3" s="3" t="s">
        <v>10</v>
      </c>
      <c r="G3">
        <f>IF(getRGB1($C3)="FFFFFF",0,1)+IF(getRGB1($D3)="FFFFFF",0,2)+IF(getRGB1($E3)="FFFFFF",0,3)+IF(getRGB1($F3)="FFFFFF",0,4)</f>
        <v>2</v>
      </c>
    </row>
    <row r="4" spans="1:7" ht="60">
      <c r="A4" t="s">
        <v>6650</v>
      </c>
      <c r="B4" s="2" t="s">
        <v>11</v>
      </c>
      <c r="C4" s="3" t="s">
        <v>8</v>
      </c>
      <c r="D4" s="4" t="s">
        <v>12</v>
      </c>
      <c r="E4" s="5" t="s">
        <v>13</v>
      </c>
      <c r="F4" s="3" t="s">
        <v>14</v>
      </c>
      <c r="G4">
        <f>IF(getRGB1($C4)="FFFFFF",0,1)+IF(getRGB1($D4)="FFFFFF",0,2)+IF(getRGB1($E4)="FFFFFF",0,3)+IF(getRGB1($F4)="FFFFFF",0,4)</f>
        <v>2</v>
      </c>
    </row>
    <row r="5" spans="1:7" ht="60">
      <c r="A5" t="s">
        <v>6650</v>
      </c>
      <c r="B5" s="2" t="s">
        <v>15</v>
      </c>
      <c r="C5" s="4" t="s">
        <v>8</v>
      </c>
      <c r="D5" s="3" t="s">
        <v>12</v>
      </c>
      <c r="E5" s="5" t="s">
        <v>13</v>
      </c>
      <c r="F5" s="3" t="s">
        <v>14</v>
      </c>
      <c r="G5">
        <f>IF(getRGB1($C5)="FFFFFF",0,1)+IF(getRGB1($D5)="FFFFFF",0,2)+IF(getRGB1($E5)="FFFFFF",0,3)+IF(getRGB1($F5)="FFFFFF",0,4)</f>
        <v>1</v>
      </c>
    </row>
    <row r="6" spans="1:7" ht="45">
      <c r="A6" t="s">
        <v>6650</v>
      </c>
      <c r="B6" s="2" t="s">
        <v>16</v>
      </c>
      <c r="C6" s="3" t="s">
        <v>17</v>
      </c>
      <c r="D6" s="3" t="s">
        <v>18</v>
      </c>
      <c r="E6" s="6" t="s">
        <v>19</v>
      </c>
      <c r="F6" s="3" t="s">
        <v>20</v>
      </c>
      <c r="G6">
        <f>IF(getRGB1($C6)="FFFFFF",0,1)+IF(getRGB1($D6)="FFFFFF",0,2)+IF(getRGB1($E6)="FFFFFF",0,3)+IF(getRGB1($F6)="FFFFFF",0,4)</f>
        <v>3</v>
      </c>
    </row>
    <row r="7" spans="1:7" ht="45">
      <c r="A7" t="s">
        <v>6650</v>
      </c>
      <c r="B7" s="2" t="s">
        <v>21</v>
      </c>
      <c r="C7" s="4" t="s">
        <v>22</v>
      </c>
      <c r="D7" s="3" t="s">
        <v>23</v>
      </c>
      <c r="E7" s="5" t="s">
        <v>24</v>
      </c>
      <c r="F7" s="3" t="s">
        <v>25</v>
      </c>
      <c r="G7">
        <f>IF(getRGB1($C7)="FFFFFF",0,1)+IF(getRGB1($D7)="FFFFFF",0,2)+IF(getRGB1($E7)="FFFFFF",0,3)+IF(getRGB1($F7)="FFFFFF",0,4)</f>
        <v>1</v>
      </c>
    </row>
    <row r="8" spans="1:7" ht="60">
      <c r="A8" t="s">
        <v>6650</v>
      </c>
      <c r="B8" s="2" t="s">
        <v>26</v>
      </c>
      <c r="C8" s="3" t="s">
        <v>27</v>
      </c>
      <c r="D8" s="3" t="s">
        <v>28</v>
      </c>
      <c r="E8" s="5" t="s">
        <v>29</v>
      </c>
      <c r="F8" s="4" t="s">
        <v>30</v>
      </c>
      <c r="G8">
        <f>IF(getRGB1($C8)="FFFFFF",0,1)+IF(getRGB1($D8)="FFFFFF",0,2)+IF(getRGB1($E8)="FFFFFF",0,3)+IF(getRGB1($F8)="FFFFFF",0,4)</f>
        <v>4</v>
      </c>
    </row>
    <row r="9" spans="1:7" ht="45">
      <c r="A9" t="s">
        <v>6650</v>
      </c>
      <c r="B9" s="2" t="s">
        <v>31</v>
      </c>
      <c r="C9" s="7" t="s">
        <v>32</v>
      </c>
      <c r="D9" s="7" t="s">
        <v>33</v>
      </c>
      <c r="E9" s="6" t="s">
        <v>34</v>
      </c>
      <c r="F9" s="7" t="s">
        <v>35</v>
      </c>
      <c r="G9">
        <f>IF(getRGB1($C9)="FFFFFF",0,1)+IF(getRGB1($D9)="FFFFFF",0,2)+IF(getRGB1($E9)="FFFFFF",0,3)+IF(getRGB1($F9)="FFFFFF",0,4)</f>
        <v>3</v>
      </c>
    </row>
    <row r="10" spans="1:7" ht="45">
      <c r="A10" t="s">
        <v>6650</v>
      </c>
      <c r="B10" s="2" t="s">
        <v>36</v>
      </c>
      <c r="C10" s="7" t="s">
        <v>37</v>
      </c>
      <c r="D10" s="4" t="s">
        <v>38</v>
      </c>
      <c r="E10" s="8" t="s">
        <v>39</v>
      </c>
      <c r="F10" s="7" t="s">
        <v>40</v>
      </c>
      <c r="G10">
        <f>IF(getRGB1($C10)="FFFFFF",0,1)+IF(getRGB1($D10)="FFFFFF",0,2)+IF(getRGB1($E10)="FFFFFF",0,3)+IF(getRGB1($F10)="FFFFFF",0,4)</f>
        <v>2</v>
      </c>
    </row>
    <row r="11" spans="1:7" ht="45">
      <c r="A11" t="s">
        <v>6650</v>
      </c>
      <c r="B11" s="2" t="s">
        <v>41</v>
      </c>
      <c r="C11" s="4" t="s">
        <v>37</v>
      </c>
      <c r="D11" s="7" t="s">
        <v>38</v>
      </c>
      <c r="E11" s="8" t="s">
        <v>39</v>
      </c>
      <c r="F11" s="7" t="s">
        <v>40</v>
      </c>
      <c r="G11">
        <f>IF(getRGB1($C11)="FFFFFF",0,1)+IF(getRGB1($D11)="FFFFFF",0,2)+IF(getRGB1($E11)="FFFFFF",0,3)+IF(getRGB1($F11)="FFFFFF",0,4)</f>
        <v>1</v>
      </c>
    </row>
    <row r="12" spans="1:7" ht="30">
      <c r="A12" t="s">
        <v>6650</v>
      </c>
      <c r="B12" s="2" t="s">
        <v>42</v>
      </c>
      <c r="C12" s="9" t="s">
        <v>43</v>
      </c>
      <c r="D12" s="4" t="s">
        <v>44</v>
      </c>
      <c r="E12" s="8" t="s">
        <v>45</v>
      </c>
      <c r="F12" s="7" t="s">
        <v>46</v>
      </c>
      <c r="G12">
        <f>IF(getRGB1($C12)="FFFFFF",0,1)+IF(getRGB1($D12)="FFFFFF",0,2)+IF(getRGB1($E12)="FFFFFF",0,3)+IF(getRGB1($F12)="FFFFFF",0,4)</f>
        <v>2</v>
      </c>
    </row>
    <row r="13" spans="1:7" ht="45">
      <c r="A13" t="s">
        <v>6650</v>
      </c>
      <c r="B13" s="2" t="s">
        <v>47</v>
      </c>
      <c r="C13" s="7" t="s">
        <v>48</v>
      </c>
      <c r="D13" s="9" t="s">
        <v>49</v>
      </c>
      <c r="E13" s="10" t="s">
        <v>50</v>
      </c>
      <c r="F13" s="7" t="s">
        <v>51</v>
      </c>
      <c r="G13">
        <f>IF(getRGB1($C13)="FFFFFF",0,1)+IF(getRGB1($D13)="FFFFFF",0,2)+IF(getRGB1($E13)="FFFFFF",0,3)+IF(getRGB1($F13)="FFFFFF",0,4)</f>
        <v>3</v>
      </c>
    </row>
    <row r="14" spans="1:7" ht="45">
      <c r="A14" t="s">
        <v>6650</v>
      </c>
      <c r="B14" s="2" t="s">
        <v>52</v>
      </c>
      <c r="C14" s="7" t="s">
        <v>53</v>
      </c>
      <c r="D14" s="7" t="s">
        <v>54</v>
      </c>
      <c r="E14" s="6" t="s">
        <v>55</v>
      </c>
      <c r="F14" s="7" t="s">
        <v>56</v>
      </c>
      <c r="G14">
        <f>IF(getRGB1($C14)="FFFFFF",0,1)+IF(getRGB1($D14)="FFFFFF",0,2)+IF(getRGB1($E14)="FFFFFF",0,3)+IF(getRGB1($F14)="FFFFFF",0,4)</f>
        <v>3</v>
      </c>
    </row>
    <row r="15" spans="1:7" ht="30">
      <c r="A15" t="s">
        <v>6650</v>
      </c>
      <c r="B15" s="2" t="s">
        <v>57</v>
      </c>
      <c r="C15" s="7" t="s">
        <v>58</v>
      </c>
      <c r="D15" s="7" t="s">
        <v>59</v>
      </c>
      <c r="E15" s="8" t="s">
        <v>60</v>
      </c>
      <c r="F15" s="4" t="s">
        <v>61</v>
      </c>
      <c r="G15">
        <f>IF(getRGB1($C15)="FFFFFF",0,1)+IF(getRGB1($D15)="FFFFFF",0,2)+IF(getRGB1($E15)="FFFFFF",0,3)+IF(getRGB1($F15)="FFFFFF",0,4)</f>
        <v>4</v>
      </c>
    </row>
    <row r="16" spans="1:7" ht="75">
      <c r="A16" t="s">
        <v>6650</v>
      </c>
      <c r="B16" s="2" t="s">
        <v>62</v>
      </c>
      <c r="C16" s="7" t="s">
        <v>63</v>
      </c>
      <c r="D16" s="4" t="s">
        <v>64</v>
      </c>
      <c r="E16" s="8" t="s">
        <v>65</v>
      </c>
      <c r="F16" s="7" t="s">
        <v>66</v>
      </c>
      <c r="G16">
        <f>IF(getRGB1($C16)="FFFFFF",0,1)+IF(getRGB1($D16)="FFFFFF",0,2)+IF(getRGB1($E16)="FFFFFF",0,3)+IF(getRGB1($F16)="FFFFFF",0,4)</f>
        <v>2</v>
      </c>
    </row>
    <row r="17" spans="1:7" ht="45">
      <c r="A17" t="s">
        <v>6650</v>
      </c>
      <c r="B17" s="2" t="s">
        <v>67</v>
      </c>
      <c r="C17" s="7">
        <v>0</v>
      </c>
      <c r="D17" s="7">
        <v>0.5</v>
      </c>
      <c r="E17" s="6">
        <v>1</v>
      </c>
      <c r="F17" s="7">
        <v>100</v>
      </c>
      <c r="G17">
        <f>IF(getRGB1($C17)="FFFFFF",0,1)+IF(getRGB1($D17)="FFFFFF",0,2)+IF(getRGB1($E17)="FFFFFF",0,3)+IF(getRGB1($F17)="FFFFFF",0,4)</f>
        <v>3</v>
      </c>
    </row>
    <row r="18" spans="1:7" ht="75">
      <c r="A18" t="s">
        <v>6650</v>
      </c>
      <c r="B18" s="2" t="s">
        <v>68</v>
      </c>
      <c r="C18" s="7" t="s">
        <v>69</v>
      </c>
      <c r="D18" s="4" t="s">
        <v>70</v>
      </c>
      <c r="E18" s="8" t="s">
        <v>71</v>
      </c>
      <c r="F18" s="7" t="s">
        <v>66</v>
      </c>
      <c r="G18">
        <f>IF(getRGB1($C18)="FFFFFF",0,1)+IF(getRGB1($D18)="FFFFFF",0,2)+IF(getRGB1($E18)="FFFFFF",0,3)+IF(getRGB1($F18)="FFFFFF",0,4)</f>
        <v>2</v>
      </c>
    </row>
    <row r="19" spans="1:7" ht="30">
      <c r="A19" t="s">
        <v>6650</v>
      </c>
      <c r="B19" s="2" t="s">
        <v>72</v>
      </c>
      <c r="C19" s="7" t="s">
        <v>73</v>
      </c>
      <c r="D19" s="7" t="s">
        <v>74</v>
      </c>
      <c r="E19" s="6" t="s">
        <v>75</v>
      </c>
      <c r="F19" s="7" t="s">
        <v>76</v>
      </c>
      <c r="G19">
        <f>IF(getRGB1($C19)="FFFFFF",0,1)+IF(getRGB1($D19)="FFFFFF",0,2)+IF(getRGB1($E19)="FFFFFF",0,3)+IF(getRGB1($F19)="FFFFFF",0,4)</f>
        <v>3</v>
      </c>
    </row>
    <row r="20" spans="1:7" ht="30">
      <c r="A20" t="s">
        <v>6650</v>
      </c>
      <c r="B20" s="2" t="s">
        <v>77</v>
      </c>
      <c r="C20" s="7" t="s">
        <v>78</v>
      </c>
      <c r="D20" s="7" t="s">
        <v>79</v>
      </c>
      <c r="E20" s="6" t="s">
        <v>80</v>
      </c>
      <c r="F20" s="7" t="s">
        <v>81</v>
      </c>
      <c r="G20">
        <f>IF(getRGB1($C20)="FFFFFF",0,1)+IF(getRGB1($D20)="FFFFFF",0,2)+IF(getRGB1($E20)="FFFFFF",0,3)+IF(getRGB1($F20)="FFFFFF",0,4)</f>
        <v>3</v>
      </c>
    </row>
    <row r="21" spans="1:7" ht="30">
      <c r="A21" t="s">
        <v>6650</v>
      </c>
      <c r="B21" s="2" t="s">
        <v>82</v>
      </c>
      <c r="C21" s="7" t="s">
        <v>83</v>
      </c>
      <c r="D21" s="3" t="s">
        <v>84</v>
      </c>
      <c r="E21" s="6" t="s">
        <v>85</v>
      </c>
      <c r="F21" s="3" t="s">
        <v>86</v>
      </c>
      <c r="G21">
        <f>IF(getRGB1($C21)="FFFFFF",0,1)+IF(getRGB1($D21)="FFFFFF",0,2)+IF(getRGB1($E21)="FFFFFF",0,3)+IF(getRGB1($F21)="FFFFFF",0,4)</f>
        <v>3</v>
      </c>
    </row>
    <row r="22" spans="1:7">
      <c r="A22" t="s">
        <v>6650</v>
      </c>
      <c r="B22" s="2" t="s">
        <v>87</v>
      </c>
      <c r="C22" s="4">
        <v>9</v>
      </c>
      <c r="D22" s="3">
        <v>3</v>
      </c>
      <c r="E22" s="5">
        <v>4</v>
      </c>
      <c r="F22" s="3">
        <v>5</v>
      </c>
      <c r="G22">
        <f>IF(getRGB1($C22)="FFFFFF",0,1)+IF(getRGB1($D22)="FFFFFF",0,2)+IF(getRGB1($E22)="FFFFFF",0,3)+IF(getRGB1($F22)="FFFFFF",0,4)</f>
        <v>1</v>
      </c>
    </row>
    <row r="23" spans="1:7" ht="45">
      <c r="A23" t="s">
        <v>6650</v>
      </c>
      <c r="B23" s="2" t="s">
        <v>88</v>
      </c>
      <c r="C23" s="11">
        <v>0.02</v>
      </c>
      <c r="D23" s="12">
        <v>0.05</v>
      </c>
      <c r="E23" s="13">
        <v>0.01</v>
      </c>
      <c r="F23" s="12">
        <v>0.03</v>
      </c>
      <c r="G23">
        <f>IF(getRGB1($C23)="FFFFFF",0,1)+IF(getRGB1($D23)="FFFFFF",0,2)+IF(getRGB1($E23)="FFFFFF",0,3)+IF(getRGB1($F23)="FFFFFF",0,4)</f>
        <v>1</v>
      </c>
    </row>
    <row r="24" spans="1:7" ht="30">
      <c r="A24" t="s">
        <v>6650</v>
      </c>
      <c r="B24" s="2" t="s">
        <v>89</v>
      </c>
      <c r="C24" s="4" t="s">
        <v>44</v>
      </c>
      <c r="D24" s="7" t="s">
        <v>90</v>
      </c>
      <c r="E24" s="8" t="s">
        <v>45</v>
      </c>
      <c r="F24" s="7" t="s">
        <v>46</v>
      </c>
      <c r="G24">
        <f>IF(getRGB1($C24)="FFFFFF",0,1)+IF(getRGB1($D24)="FFFFFF",0,2)+IF(getRGB1($E24)="FFFFFF",0,3)+IF(getRGB1($F24)="FFFFFF",0,4)</f>
        <v>1</v>
      </c>
    </row>
    <row r="25" spans="1:7" ht="45">
      <c r="A25" t="s">
        <v>6650</v>
      </c>
      <c r="B25" s="2" t="s">
        <v>91</v>
      </c>
      <c r="C25" s="7" t="s">
        <v>92</v>
      </c>
      <c r="D25" s="7" t="s">
        <v>93</v>
      </c>
      <c r="E25" s="8" t="s">
        <v>94</v>
      </c>
      <c r="F25" s="4" t="s">
        <v>95</v>
      </c>
      <c r="G25">
        <f>IF(getRGB1($C25)="FFFFFF",0,1)+IF(getRGB1($D25)="FFFFFF",0,2)+IF(getRGB1($E25)="FFFFFF",0,3)+IF(getRGB1($F25)="FFFFFF",0,4)</f>
        <v>4</v>
      </c>
    </row>
    <row r="26" spans="1:7" ht="30">
      <c r="A26" t="s">
        <v>6650</v>
      </c>
      <c r="B26" s="2" t="s">
        <v>96</v>
      </c>
      <c r="C26" s="3" t="s">
        <v>97</v>
      </c>
      <c r="D26" s="4" t="s">
        <v>98</v>
      </c>
      <c r="E26" s="5" t="s">
        <v>99</v>
      </c>
      <c r="F26" s="3" t="s">
        <v>100</v>
      </c>
      <c r="G26">
        <f>IF(getRGB1($C26)="FFFFFF",0,1)+IF(getRGB1($D26)="FFFFFF",0,2)+IF(getRGB1($E26)="FFFFFF",0,3)+IF(getRGB1($F26)="FFFFFF",0,4)</f>
        <v>2</v>
      </c>
    </row>
    <row r="27" spans="1:7" ht="30">
      <c r="A27" t="s">
        <v>6650</v>
      </c>
      <c r="B27" s="2" t="s">
        <v>101</v>
      </c>
      <c r="C27" s="4" t="s">
        <v>97</v>
      </c>
      <c r="D27" s="3" t="s">
        <v>98</v>
      </c>
      <c r="E27" s="5" t="s">
        <v>99</v>
      </c>
      <c r="F27" s="3" t="s">
        <v>100</v>
      </c>
      <c r="G27">
        <f>IF(getRGB1($C27)="FFFFFF",0,1)+IF(getRGB1($D27)="FFFFFF",0,2)+IF(getRGB1($E27)="FFFFFF",0,3)+IF(getRGB1($F27)="FFFFFF",0,4)</f>
        <v>1</v>
      </c>
    </row>
    <row r="28" spans="1:7">
      <c r="A28" t="s">
        <v>6650</v>
      </c>
      <c r="B28" s="2" t="s">
        <v>102</v>
      </c>
      <c r="C28" s="4" t="s">
        <v>83</v>
      </c>
      <c r="D28" s="3" t="s">
        <v>103</v>
      </c>
      <c r="E28" s="14" t="s">
        <v>104</v>
      </c>
      <c r="F28" s="3" t="s">
        <v>105</v>
      </c>
      <c r="G28">
        <f>IF(getRGB1($C28)="FFFFFF",0,1)+IF(getRGB1($D28)="FFFFFF",0,2)+IF(getRGB1($E28)="FFFFFF",0,3)+IF(getRGB1($F28)="FFFFFF",0,4)</f>
        <v>1</v>
      </c>
    </row>
    <row r="29" spans="1:7" ht="30">
      <c r="A29" t="s">
        <v>6650</v>
      </c>
      <c r="B29" s="2" t="s">
        <v>106</v>
      </c>
      <c r="C29" s="3" t="s">
        <v>107</v>
      </c>
      <c r="D29" s="4" t="s">
        <v>108</v>
      </c>
      <c r="E29" s="5" t="s">
        <v>109</v>
      </c>
      <c r="F29" s="3" t="s">
        <v>110</v>
      </c>
      <c r="G29">
        <f>IF(getRGB1($C29)="FFFFFF",0,1)+IF(getRGB1($D29)="FFFFFF",0,2)+IF(getRGB1($E29)="FFFFFF",0,3)+IF(getRGB1($F29)="FFFFFF",0,4)</f>
        <v>2</v>
      </c>
    </row>
    <row r="30" spans="1:7" ht="30">
      <c r="A30" t="s">
        <v>6650</v>
      </c>
      <c r="B30" s="2" t="s">
        <v>111</v>
      </c>
      <c r="C30" s="7" t="s">
        <v>32</v>
      </c>
      <c r="D30" s="7" t="s">
        <v>112</v>
      </c>
      <c r="E30" s="8" t="s">
        <v>113</v>
      </c>
      <c r="F30" s="4" t="s">
        <v>114</v>
      </c>
      <c r="G30">
        <f>IF(getRGB1($C30)="FFFFFF",0,1)+IF(getRGB1($D30)="FFFFFF",0,2)+IF(getRGB1($E30)="FFFFFF",0,3)+IF(getRGB1($F30)="FFFFFF",0,4)</f>
        <v>4</v>
      </c>
    </row>
    <row r="31" spans="1:7">
      <c r="A31" t="s">
        <v>6650</v>
      </c>
      <c r="B31" s="2" t="s">
        <v>115</v>
      </c>
      <c r="C31" s="15">
        <v>400</v>
      </c>
      <c r="D31" s="15">
        <v>220</v>
      </c>
      <c r="E31" s="16">
        <v>132</v>
      </c>
      <c r="F31" s="4" t="s">
        <v>116</v>
      </c>
      <c r="G31">
        <f>IF(getRGB1($C31)="FFFFFF",0,1)+IF(getRGB1($D31)="FFFFFF",0,2)+IF(getRGB1($E31)="FFFFFF",0,3)+IF(getRGB1($F31)="FFFFFF",0,4)</f>
        <v>4</v>
      </c>
    </row>
    <row r="32" spans="1:7" ht="30">
      <c r="A32" t="s">
        <v>6650</v>
      </c>
      <c r="B32" s="2" t="s">
        <v>117</v>
      </c>
      <c r="C32" s="15">
        <v>400</v>
      </c>
      <c r="D32" s="3">
        <v>220</v>
      </c>
      <c r="E32" s="5">
        <v>132</v>
      </c>
      <c r="F32" s="4" t="s">
        <v>116</v>
      </c>
      <c r="G32">
        <f>IF(getRGB1($C32)="FFFFFF",0,1)+IF(getRGB1($D32)="FFFFFF",0,2)+IF(getRGB1($E32)="FFFFFF",0,3)+IF(getRGB1($F32)="FFFFFF",0,4)</f>
        <v>4</v>
      </c>
    </row>
    <row r="33" spans="1:7" ht="30">
      <c r="A33" t="s">
        <v>6650</v>
      </c>
      <c r="B33" s="2" t="s">
        <v>118</v>
      </c>
      <c r="C33" s="17">
        <v>0.3</v>
      </c>
      <c r="D33" s="17">
        <v>0.15</v>
      </c>
      <c r="E33" s="18">
        <v>0.2</v>
      </c>
      <c r="F33" s="19">
        <v>0.25</v>
      </c>
      <c r="G33">
        <f>IF(getRGB1($C33)="FFFFFF",0,1)+IF(getRGB1($D33)="FFFFFF",0,2)+IF(getRGB1($E33)="FFFFFF",0,3)+IF(getRGB1($F33)="FFFFFF",0,4)</f>
        <v>4</v>
      </c>
    </row>
    <row r="34" spans="1:7" ht="30">
      <c r="A34" t="s">
        <v>6650</v>
      </c>
      <c r="B34" s="2" t="s">
        <v>119</v>
      </c>
      <c r="C34" s="3" t="s">
        <v>120</v>
      </c>
      <c r="D34" s="4" t="s">
        <v>121</v>
      </c>
      <c r="E34" s="5" t="s">
        <v>122</v>
      </c>
      <c r="F34" s="3" t="s">
        <v>123</v>
      </c>
      <c r="G34">
        <f>IF(getRGB1($C34)="FFFFFF",0,1)+IF(getRGB1($D34)="FFFFFF",0,2)+IF(getRGB1($E34)="FFFFFF",0,3)+IF(getRGB1($F34)="FFFFFF",0,4)</f>
        <v>2</v>
      </c>
    </row>
    <row r="35" spans="1:7" ht="30">
      <c r="A35" t="s">
        <v>6650</v>
      </c>
      <c r="B35" s="2" t="s">
        <v>124</v>
      </c>
      <c r="C35" s="7" t="s">
        <v>125</v>
      </c>
      <c r="D35" s="9" t="s">
        <v>126</v>
      </c>
      <c r="E35" s="8" t="s">
        <v>127</v>
      </c>
      <c r="F35" s="20" t="s">
        <v>128</v>
      </c>
      <c r="G35">
        <f>IF(getRGB1($C35)="FFFFFF",0,1)+IF(getRGB1($D35)="FFFFFF",0,2)+IF(getRGB1($E35)="FFFFFF",0,3)+IF(getRGB1($F35)="FFFFFF",0,4)</f>
        <v>4</v>
      </c>
    </row>
    <row r="36" spans="1:7" ht="30">
      <c r="A36" t="s">
        <v>6650</v>
      </c>
      <c r="B36" s="2" t="s">
        <v>129</v>
      </c>
      <c r="C36" s="21">
        <v>5.0000000000000001E-3</v>
      </c>
      <c r="D36" s="21">
        <v>2E-3</v>
      </c>
      <c r="E36" s="22">
        <v>2.5000000000000001E-3</v>
      </c>
      <c r="F36" s="21">
        <v>1E-3</v>
      </c>
      <c r="G36">
        <f>IF(getRGB1($C36)="FFFFFF",0,1)+IF(getRGB1($D36)="FFFFFF",0,2)+IF(getRGB1($E36)="FFFFFF",0,3)+IF(getRGB1($F36)="FFFFFF",0,4)</f>
        <v>3</v>
      </c>
    </row>
    <row r="37" spans="1:7" ht="30">
      <c r="A37" t="s">
        <v>6650</v>
      </c>
      <c r="B37" s="2" t="s">
        <v>130</v>
      </c>
      <c r="C37" s="3" t="s">
        <v>131</v>
      </c>
      <c r="D37" s="4" t="s">
        <v>132</v>
      </c>
      <c r="E37" s="5" t="s">
        <v>133</v>
      </c>
      <c r="F37" s="3" t="s">
        <v>134</v>
      </c>
      <c r="G37">
        <f>IF(getRGB1($C37)="FFFFFF",0,1)+IF(getRGB1($D37)="FFFFFF",0,2)+IF(getRGB1($E37)="FFFFFF",0,3)+IF(getRGB1($F37)="FFFFFF",0,4)</f>
        <v>2</v>
      </c>
    </row>
    <row r="38" spans="1:7" ht="30">
      <c r="A38" t="s">
        <v>6650</v>
      </c>
      <c r="B38" s="2" t="s">
        <v>135</v>
      </c>
      <c r="C38" s="19">
        <v>0.01</v>
      </c>
      <c r="D38" s="12">
        <v>1.4999999999999999E-2</v>
      </c>
      <c r="E38" s="18">
        <v>0.02</v>
      </c>
      <c r="F38" s="17">
        <v>0.03</v>
      </c>
      <c r="G38">
        <f>IF(getRGB1($C38)="FFFFFF",0,1)+IF(getRGB1($D38)="FFFFFF",0,2)+IF(getRGB1($E38)="FFFFFF",0,3)+IF(getRGB1($F38)="FFFFFF",0,4)</f>
        <v>1</v>
      </c>
    </row>
    <row r="39" spans="1:7" ht="30">
      <c r="A39" t="s">
        <v>6650</v>
      </c>
      <c r="B39" s="2" t="s">
        <v>136</v>
      </c>
      <c r="C39" s="3" t="s">
        <v>74</v>
      </c>
      <c r="D39" s="3" t="s">
        <v>137</v>
      </c>
      <c r="E39" s="6" t="s">
        <v>76</v>
      </c>
      <c r="F39" s="3" t="s">
        <v>73</v>
      </c>
      <c r="G39">
        <f>IF(getRGB1($C39)="FFFFFF",0,1)+IF(getRGB1($D39)="FFFFFF",0,2)+IF(getRGB1($E39)="FFFFFF",0,3)+IF(getRGB1($F39)="FFFFFF",0,4)</f>
        <v>3</v>
      </c>
    </row>
    <row r="40" spans="1:7" ht="30">
      <c r="A40" t="s">
        <v>6650</v>
      </c>
      <c r="B40" s="2" t="s">
        <v>138</v>
      </c>
      <c r="C40" s="3" t="s">
        <v>139</v>
      </c>
      <c r="D40" s="4" t="s">
        <v>140</v>
      </c>
      <c r="E40" s="5" t="s">
        <v>141</v>
      </c>
      <c r="F40" s="3" t="s">
        <v>142</v>
      </c>
      <c r="G40">
        <f>IF(getRGB1($C40)="FFFFFF",0,1)+IF(getRGB1($D40)="FFFFFF",0,2)+IF(getRGB1($E40)="FFFFFF",0,3)+IF(getRGB1($F40)="FFFFFF",0,4)</f>
        <v>2</v>
      </c>
    </row>
    <row r="41" spans="1:7" ht="30">
      <c r="A41" t="s">
        <v>6650</v>
      </c>
      <c r="B41" s="2" t="s">
        <v>143</v>
      </c>
      <c r="C41" s="7" t="s">
        <v>139</v>
      </c>
      <c r="D41" s="7" t="s">
        <v>140</v>
      </c>
      <c r="E41" s="6" t="s">
        <v>144</v>
      </c>
      <c r="F41" s="7" t="s">
        <v>142</v>
      </c>
      <c r="G41">
        <f>IF(getRGB1($C41)="FFFFFF",0,1)+IF(getRGB1($D41)="FFFFFF",0,2)+IF(getRGB1($E41)="FFFFFF",0,3)+IF(getRGB1($F41)="FFFFFF",0,4)</f>
        <v>3</v>
      </c>
    </row>
    <row r="42" spans="1:7" ht="30">
      <c r="A42" t="s">
        <v>6650</v>
      </c>
      <c r="B42" s="2" t="s">
        <v>145</v>
      </c>
      <c r="C42" s="3" t="s">
        <v>146</v>
      </c>
      <c r="D42" s="4" t="s">
        <v>147</v>
      </c>
      <c r="E42" s="5" t="s">
        <v>148</v>
      </c>
      <c r="F42" s="3" t="s">
        <v>149</v>
      </c>
      <c r="G42">
        <f>IF(getRGB1($C42)="FFFFFF",0,1)+IF(getRGB1($D42)="FFFFFF",0,2)+IF(getRGB1($E42)="FFFFFF",0,3)+IF(getRGB1($F42)="FFFFFF",0,4)</f>
        <v>2</v>
      </c>
    </row>
    <row r="43" spans="1:7" ht="45">
      <c r="A43" t="s">
        <v>6650</v>
      </c>
      <c r="B43" s="2" t="s">
        <v>150</v>
      </c>
      <c r="C43" s="3" t="s">
        <v>151</v>
      </c>
      <c r="D43" s="3" t="s">
        <v>152</v>
      </c>
      <c r="E43" s="5" t="s">
        <v>153</v>
      </c>
      <c r="F43" s="4" t="s">
        <v>154</v>
      </c>
      <c r="G43">
        <f>IF(getRGB1($C43)="FFFFFF",0,1)+IF(getRGB1($D43)="FFFFFF",0,2)+IF(getRGB1($E43)="FFFFFF",0,3)+IF(getRGB1($F43)="FFFFFF",0,4)</f>
        <v>4</v>
      </c>
    </row>
    <row r="44" spans="1:7">
      <c r="A44" t="s">
        <v>6650</v>
      </c>
      <c r="B44" s="2" t="s">
        <v>155</v>
      </c>
      <c r="C44" s="3" t="s">
        <v>156</v>
      </c>
      <c r="D44" s="3" t="s">
        <v>157</v>
      </c>
      <c r="E44" s="5" t="s">
        <v>158</v>
      </c>
      <c r="F44" s="4" t="s">
        <v>159</v>
      </c>
      <c r="G44">
        <f>IF(getRGB1($C44)="FFFFFF",0,1)+IF(getRGB1($D44)="FFFFFF",0,2)+IF(getRGB1($E44)="FFFFFF",0,3)+IF(getRGB1($F44)="FFFFFF",0,4)</f>
        <v>4</v>
      </c>
    </row>
    <row r="45" spans="1:7">
      <c r="A45" t="s">
        <v>6650</v>
      </c>
      <c r="B45" s="2" t="s">
        <v>160</v>
      </c>
      <c r="C45" s="4" t="s">
        <v>161</v>
      </c>
      <c r="D45" s="3" t="s">
        <v>162</v>
      </c>
      <c r="E45" s="5" t="s">
        <v>163</v>
      </c>
      <c r="F45" s="3" t="s">
        <v>164</v>
      </c>
      <c r="G45">
        <f>IF(getRGB1($C45)="FFFFFF",0,1)+IF(getRGB1($D45)="FFFFFF",0,2)+IF(getRGB1($E45)="FFFFFF",0,3)+IF(getRGB1($F45)="FFFFFF",0,4)</f>
        <v>1</v>
      </c>
    </row>
    <row r="46" spans="1:7" ht="30">
      <c r="A46" t="s">
        <v>6650</v>
      </c>
      <c r="B46" s="2" t="s">
        <v>165</v>
      </c>
      <c r="C46" s="4" t="s">
        <v>166</v>
      </c>
      <c r="D46" s="7" t="s">
        <v>167</v>
      </c>
      <c r="E46" s="14" t="s">
        <v>168</v>
      </c>
      <c r="F46" s="9" t="s">
        <v>169</v>
      </c>
      <c r="G46">
        <f>IF(getRGB1($C46)="FFFFFF",0,1)+IF(getRGB1($D46)="FFFFFF",0,2)+IF(getRGB1($E46)="FFFFFF",0,3)+IF(getRGB1($F46)="FFFFFF",0,4)</f>
        <v>1</v>
      </c>
    </row>
    <row r="47" spans="1:7">
      <c r="A47" t="s">
        <v>6650</v>
      </c>
      <c r="B47" s="2" t="s">
        <v>170</v>
      </c>
      <c r="C47" s="7" t="s">
        <v>38</v>
      </c>
      <c r="D47" s="7" t="s">
        <v>40</v>
      </c>
      <c r="E47" s="6" t="s">
        <v>37</v>
      </c>
      <c r="F47" s="7" t="s">
        <v>39</v>
      </c>
      <c r="G47">
        <f>IF(getRGB1($C47)="FFFFFF",0,1)+IF(getRGB1($D47)="FFFFFF",0,2)+IF(getRGB1($E47)="FFFFFF",0,3)+IF(getRGB1($F47)="FFFFFF",0,4)</f>
        <v>3</v>
      </c>
    </row>
    <row r="48" spans="1:7" ht="30">
      <c r="A48" t="s">
        <v>6650</v>
      </c>
      <c r="B48" s="2" t="s">
        <v>171</v>
      </c>
      <c r="C48" s="3" t="s">
        <v>37</v>
      </c>
      <c r="D48" s="4" t="s">
        <v>38</v>
      </c>
      <c r="E48" s="5" t="s">
        <v>39</v>
      </c>
      <c r="F48" s="3" t="s">
        <v>40</v>
      </c>
      <c r="G48">
        <f>IF(getRGB1($C48)="FFFFFF",0,1)+IF(getRGB1($D48)="FFFFFF",0,2)+IF(getRGB1($E48)="FFFFFF",0,3)+IF(getRGB1($F48)="FFFFFF",0,4)</f>
        <v>2</v>
      </c>
    </row>
    <row r="49" spans="1:7">
      <c r="A49" t="s">
        <v>6650</v>
      </c>
      <c r="B49" s="2" t="s">
        <v>172</v>
      </c>
      <c r="C49" s="3" t="s">
        <v>173</v>
      </c>
      <c r="D49" s="4" t="s">
        <v>174</v>
      </c>
      <c r="E49" s="5" t="s">
        <v>74</v>
      </c>
      <c r="F49" s="3" t="s">
        <v>73</v>
      </c>
      <c r="G49">
        <f>IF(getRGB1($C49)="FFFFFF",0,1)+IF(getRGB1($D49)="FFFFFF",0,2)+IF(getRGB1($E49)="FFFFFF",0,3)+IF(getRGB1($F49)="FFFFFF",0,4)</f>
        <v>2</v>
      </c>
    </row>
    <row r="50" spans="1:7">
      <c r="A50" t="s">
        <v>6650</v>
      </c>
      <c r="B50" s="2" t="s">
        <v>175</v>
      </c>
      <c r="C50" s="4" t="s">
        <v>173</v>
      </c>
      <c r="D50" s="7" t="s">
        <v>174</v>
      </c>
      <c r="E50" s="8" t="s">
        <v>74</v>
      </c>
      <c r="F50" s="7" t="s">
        <v>73</v>
      </c>
      <c r="G50">
        <f>IF(getRGB1($C50)="FFFFFF",0,1)+IF(getRGB1($D50)="FFFFFF",0,2)+IF(getRGB1($E50)="FFFFFF",0,3)+IF(getRGB1($F50)="FFFFFF",0,4)</f>
        <v>1</v>
      </c>
    </row>
    <row r="51" spans="1:7" ht="30">
      <c r="A51" t="s">
        <v>6650</v>
      </c>
      <c r="B51" s="2" t="s">
        <v>176</v>
      </c>
      <c r="C51" s="4" t="s">
        <v>73</v>
      </c>
      <c r="D51" s="3" t="s">
        <v>177</v>
      </c>
      <c r="E51" s="5" t="s">
        <v>137</v>
      </c>
      <c r="F51" s="3" t="s">
        <v>174</v>
      </c>
      <c r="G51">
        <f>IF(getRGB1($C51)="FFFFFF",0,1)+IF(getRGB1($D51)="FFFFFF",0,2)+IF(getRGB1($E51)="FFFFFF",0,3)+IF(getRGB1($F51)="FFFFFF",0,4)</f>
        <v>1</v>
      </c>
    </row>
    <row r="52" spans="1:7" ht="30">
      <c r="A52" t="s">
        <v>6650</v>
      </c>
      <c r="B52" s="2" t="s">
        <v>178</v>
      </c>
      <c r="C52" s="4" t="s">
        <v>137</v>
      </c>
      <c r="D52" s="3" t="s">
        <v>179</v>
      </c>
      <c r="E52" s="5" t="s">
        <v>180</v>
      </c>
      <c r="F52" s="3" t="s">
        <v>173</v>
      </c>
      <c r="G52">
        <f>IF(getRGB1($C52)="FFFFFF",0,1)+IF(getRGB1($D52)="FFFFFF",0,2)+IF(getRGB1($E52)="FFFFFF",0,3)+IF(getRGB1($F52)="FFFFFF",0,4)</f>
        <v>1</v>
      </c>
    </row>
    <row r="53" spans="1:7" ht="30">
      <c r="A53" t="s">
        <v>6650</v>
      </c>
      <c r="B53" s="2" t="s">
        <v>181</v>
      </c>
      <c r="C53" s="4" t="s">
        <v>182</v>
      </c>
      <c r="D53" s="3" t="s">
        <v>183</v>
      </c>
      <c r="E53" s="5" t="s">
        <v>184</v>
      </c>
      <c r="F53" s="3" t="s">
        <v>185</v>
      </c>
      <c r="G53">
        <f>IF(getRGB1($C53)="FFFFFF",0,1)+IF(getRGB1($D53)="FFFFFF",0,2)+IF(getRGB1($E53)="FFFFFF",0,3)+IF(getRGB1($F53)="FFFFFF",0,4)</f>
        <v>1</v>
      </c>
    </row>
    <row r="54" spans="1:7" ht="60">
      <c r="A54" t="s">
        <v>6650</v>
      </c>
      <c r="B54" s="2" t="s">
        <v>186</v>
      </c>
      <c r="C54" s="3" t="s">
        <v>187</v>
      </c>
      <c r="D54" s="3" t="s">
        <v>188</v>
      </c>
      <c r="E54" s="6" t="s">
        <v>189</v>
      </c>
      <c r="F54" s="3" t="s">
        <v>190</v>
      </c>
      <c r="G54">
        <f>IF(getRGB1($C54)="FFFFFF",0,1)+IF(getRGB1($D54)="FFFFFF",0,2)+IF(getRGB1($E54)="FFFFFF",0,3)+IF(getRGB1($F54)="FFFFFF",0,4)</f>
        <v>3</v>
      </c>
    </row>
    <row r="55" spans="1:7" ht="30">
      <c r="A55" t="s">
        <v>6650</v>
      </c>
      <c r="B55" s="2" t="s">
        <v>191</v>
      </c>
      <c r="C55" s="3" t="s">
        <v>192</v>
      </c>
      <c r="D55" s="3" t="s">
        <v>193</v>
      </c>
      <c r="E55" s="5" t="s">
        <v>194</v>
      </c>
      <c r="F55" s="4" t="s">
        <v>195</v>
      </c>
      <c r="G55">
        <f>IF(getRGB1($C55)="FFFFFF",0,1)+IF(getRGB1($D55)="FFFFFF",0,2)+IF(getRGB1($E55)="FFFFFF",0,3)+IF(getRGB1($F55)="FFFFFF",0,4)</f>
        <v>4</v>
      </c>
    </row>
    <row r="56" spans="1:7">
      <c r="A56" t="s">
        <v>6650</v>
      </c>
      <c r="B56" s="2" t="s">
        <v>196</v>
      </c>
      <c r="C56" s="3" t="s">
        <v>74</v>
      </c>
      <c r="D56" s="4" t="s">
        <v>137</v>
      </c>
      <c r="E56" s="5" t="s">
        <v>76</v>
      </c>
      <c r="F56" s="3" t="s">
        <v>179</v>
      </c>
      <c r="G56">
        <f>IF(getRGB1($C56)="FFFFFF",0,1)+IF(getRGB1($D56)="FFFFFF",0,2)+IF(getRGB1($E56)="FFFFFF",0,3)+IF(getRGB1($F56)="FFFFFF",0,4)</f>
        <v>2</v>
      </c>
    </row>
    <row r="57" spans="1:7" ht="30">
      <c r="A57" t="s">
        <v>6650</v>
      </c>
      <c r="B57" s="2" t="s">
        <v>197</v>
      </c>
      <c r="C57" s="3" t="s">
        <v>198</v>
      </c>
      <c r="D57" s="4" t="s">
        <v>199</v>
      </c>
      <c r="E57" s="8" t="s">
        <v>200</v>
      </c>
      <c r="F57" s="7" t="s">
        <v>61</v>
      </c>
      <c r="G57">
        <f>IF(getRGB1($C57)="FFFFFF",0,1)+IF(getRGB1($D57)="FFFFFF",0,2)+IF(getRGB1($E57)="FFFFFF",0,3)+IF(getRGB1($F57)="FFFFFF",0,4)</f>
        <v>2</v>
      </c>
    </row>
    <row r="58" spans="1:7" ht="30">
      <c r="A58" t="s">
        <v>6650</v>
      </c>
      <c r="B58" s="2" t="s">
        <v>201</v>
      </c>
      <c r="C58" s="7" t="s">
        <v>202</v>
      </c>
      <c r="D58" s="7" t="s">
        <v>203</v>
      </c>
      <c r="E58" s="6" t="s">
        <v>204</v>
      </c>
      <c r="F58" s="7" t="s">
        <v>205</v>
      </c>
      <c r="G58">
        <f>IF(getRGB1($C58)="FFFFFF",0,1)+IF(getRGB1($D58)="FFFFFF",0,2)+IF(getRGB1($E58)="FFFFFF",0,3)+IF(getRGB1($F58)="FFFFFF",0,4)</f>
        <v>3</v>
      </c>
    </row>
    <row r="59" spans="1:7" ht="105">
      <c r="A59" t="s">
        <v>6650</v>
      </c>
      <c r="B59" s="2" t="s">
        <v>516</v>
      </c>
      <c r="C59" s="7" t="s">
        <v>206</v>
      </c>
      <c r="D59" s="7" t="s">
        <v>207</v>
      </c>
      <c r="E59" s="6" t="s">
        <v>208</v>
      </c>
      <c r="F59" s="7" t="s">
        <v>209</v>
      </c>
      <c r="G59">
        <f>IF(getRGB1($C59)="FFFFFF",0,1)+IF(getRGB1($D59)="FFFFFF",0,2)+IF(getRGB1($E59)="FFFFFF",0,3)+IF(getRGB1($F59)="FFFFFF",0,4)</f>
        <v>3</v>
      </c>
    </row>
    <row r="60" spans="1:7" ht="30">
      <c r="A60" t="s">
        <v>6650</v>
      </c>
      <c r="B60" s="2" t="s">
        <v>210</v>
      </c>
      <c r="C60" s="4">
        <v>10</v>
      </c>
      <c r="D60" s="7">
        <v>90</v>
      </c>
      <c r="E60" s="8">
        <v>45</v>
      </c>
      <c r="F60" s="7">
        <v>5</v>
      </c>
      <c r="G60">
        <f>IF(getRGB1($C60)="FFFFFF",0,1)+IF(getRGB1($D60)="FFFFFF",0,2)+IF(getRGB1($E60)="FFFFFF",0,3)+IF(getRGB1($F60)="FFFFFF",0,4)</f>
        <v>1</v>
      </c>
    </row>
    <row r="61" spans="1:7" ht="30">
      <c r="A61" t="s">
        <v>6650</v>
      </c>
      <c r="B61" s="2" t="s">
        <v>211</v>
      </c>
      <c r="C61" s="7" t="s">
        <v>212</v>
      </c>
      <c r="D61" s="7" t="s">
        <v>213</v>
      </c>
      <c r="E61" s="6" t="s">
        <v>214</v>
      </c>
      <c r="F61" s="7" t="s">
        <v>209</v>
      </c>
      <c r="G61">
        <f>IF(getRGB1($C61)="FFFFFF",0,1)+IF(getRGB1($D61)="FFFFFF",0,2)+IF(getRGB1($E61)="FFFFFF",0,3)+IF(getRGB1($F61)="FFFFFF",0,4)</f>
        <v>3</v>
      </c>
    </row>
    <row r="62" spans="1:7">
      <c r="A62" t="s">
        <v>6650</v>
      </c>
      <c r="B62" s="2" t="s">
        <v>215</v>
      </c>
      <c r="C62" s="7" t="s">
        <v>216</v>
      </c>
      <c r="D62" s="4" t="s">
        <v>108</v>
      </c>
      <c r="E62" s="8" t="s">
        <v>217</v>
      </c>
      <c r="F62" s="7" t="s">
        <v>209</v>
      </c>
      <c r="G62">
        <f>IF(getRGB1($C62)="FFFFFF",0,1)+IF(getRGB1($D62)="FFFFFF",0,2)+IF(getRGB1($E62)="FFFFFF",0,3)+IF(getRGB1($F62)="FFFFFF",0,4)</f>
        <v>2</v>
      </c>
    </row>
    <row r="63" spans="1:7" ht="45">
      <c r="A63" t="s">
        <v>6650</v>
      </c>
      <c r="B63" s="2" t="s">
        <v>218</v>
      </c>
      <c r="C63" s="7" t="s">
        <v>219</v>
      </c>
      <c r="D63" s="4" t="s">
        <v>220</v>
      </c>
      <c r="E63" s="8" t="s">
        <v>221</v>
      </c>
      <c r="F63" s="7" t="s">
        <v>209</v>
      </c>
      <c r="G63">
        <f>IF(getRGB1($C63)="FFFFFF",0,1)+IF(getRGB1($D63)="FFFFFF",0,2)+IF(getRGB1($E63)="FFFFFF",0,3)+IF(getRGB1($F63)="FFFFFF",0,4)</f>
        <v>2</v>
      </c>
    </row>
    <row r="64" spans="1:7" ht="45">
      <c r="A64" t="s">
        <v>6650</v>
      </c>
      <c r="B64" s="2" t="s">
        <v>517</v>
      </c>
      <c r="C64" s="7">
        <v>4</v>
      </c>
      <c r="D64" s="7">
        <v>1</v>
      </c>
      <c r="E64" s="6" t="s">
        <v>222</v>
      </c>
      <c r="F64" s="9" t="s">
        <v>223</v>
      </c>
      <c r="G64">
        <f>IF(getRGB1($C64)="FFFFFF",0,1)+IF(getRGB1($D64)="FFFFFF",0,2)+IF(getRGB1($E64)="FFFFFF",0,3)+IF(getRGB1($F64)="FFFFFF",0,4)</f>
        <v>3</v>
      </c>
    </row>
    <row r="65" spans="1:7" ht="45">
      <c r="A65" t="s">
        <v>6650</v>
      </c>
      <c r="B65" s="2" t="s">
        <v>224</v>
      </c>
      <c r="C65" s="23" t="s">
        <v>225</v>
      </c>
      <c r="D65" s="23" t="s">
        <v>226</v>
      </c>
      <c r="E65" s="24" t="s">
        <v>227</v>
      </c>
      <c r="F65" s="7" t="s">
        <v>209</v>
      </c>
      <c r="G65">
        <f>IF(getRGB1($C65)="FFFFFF",0,1)+IF(getRGB1($D65)="FFFFFF",0,2)+IF(getRGB1($E65)="FFFFFF",0,3)+IF(getRGB1($F65)="FFFFFF",0,4)</f>
        <v>3</v>
      </c>
    </row>
    <row r="66" spans="1:7">
      <c r="A66" t="s">
        <v>6650</v>
      </c>
      <c r="B66" s="2" t="s">
        <v>228</v>
      </c>
      <c r="C66" s="12" t="s">
        <v>229</v>
      </c>
      <c r="D66" s="7" t="s">
        <v>230</v>
      </c>
      <c r="E66" s="6" t="s">
        <v>231</v>
      </c>
      <c r="F66" s="7" t="s">
        <v>232</v>
      </c>
      <c r="G66">
        <f>IF(getRGB1($C66)="FFFFFF",0,1)+IF(getRGB1($D66)="FFFFFF",0,2)+IF(getRGB1($E66)="FFFFFF",0,3)+IF(getRGB1($F66)="FFFFFF",0,4)</f>
        <v>3</v>
      </c>
    </row>
    <row r="67" spans="1:7" ht="90">
      <c r="A67" t="s">
        <v>6650</v>
      </c>
      <c r="B67" s="2" t="s">
        <v>518</v>
      </c>
      <c r="C67" s="7" t="s">
        <v>233</v>
      </c>
      <c r="D67" s="7" t="s">
        <v>234</v>
      </c>
      <c r="E67" s="8" t="s">
        <v>235</v>
      </c>
      <c r="F67" s="4" t="s">
        <v>236</v>
      </c>
      <c r="G67">
        <f>IF(getRGB1($C67)="FFFFFF",0,1)+IF(getRGB1($D67)="FFFFFF",0,2)+IF(getRGB1($E67)="FFFFFF",0,3)+IF(getRGB1($F67)="FFFFFF",0,4)</f>
        <v>4</v>
      </c>
    </row>
    <row r="68" spans="1:7" ht="120">
      <c r="A68" t="s">
        <v>6650</v>
      </c>
      <c r="B68" s="2" t="s">
        <v>519</v>
      </c>
      <c r="C68" s="7" t="s">
        <v>237</v>
      </c>
      <c r="D68" s="4">
        <v>2</v>
      </c>
      <c r="E68" s="8" t="s">
        <v>238</v>
      </c>
      <c r="F68" s="7" t="s">
        <v>239</v>
      </c>
      <c r="G68">
        <f>IF(getRGB1($C68)="FFFFFF",0,1)+IF(getRGB1($D68)="FFFFFF",0,2)+IF(getRGB1($E68)="FFFFFF",0,3)+IF(getRGB1($F68)="FFFFFF",0,4)</f>
        <v>2</v>
      </c>
    </row>
    <row r="69" spans="1:7" ht="90">
      <c r="A69" t="s">
        <v>6650</v>
      </c>
      <c r="B69" s="2" t="s">
        <v>520</v>
      </c>
      <c r="C69" s="25" t="s">
        <v>240</v>
      </c>
      <c r="D69" s="25" t="s">
        <v>241</v>
      </c>
      <c r="E69" s="26" t="s">
        <v>242</v>
      </c>
      <c r="F69" s="7" t="s">
        <v>236</v>
      </c>
      <c r="G69">
        <f>IF(getRGB1($C69)="FFFFFF",0,1)+IF(getRGB1($D69)="FFFFFF",0,2)+IF(getRGB1($E69)="FFFFFF",0,3)+IF(getRGB1($F69)="FFFFFF",0,4)</f>
        <v>3</v>
      </c>
    </row>
    <row r="70" spans="1:7" ht="90">
      <c r="A70" t="s">
        <v>6650</v>
      </c>
      <c r="B70" s="2" t="s">
        <v>521</v>
      </c>
      <c r="C70" s="9" t="s">
        <v>239</v>
      </c>
      <c r="D70" s="9" t="s">
        <v>243</v>
      </c>
      <c r="E70" s="6" t="s">
        <v>244</v>
      </c>
      <c r="F70" s="9" t="s">
        <v>245</v>
      </c>
      <c r="G70">
        <f>IF(getRGB1($C70)="FFFFFF",0,1)+IF(getRGB1($D70)="FFFFFF",0,2)+IF(getRGB1($E70)="FFFFFF",0,3)+IF(getRGB1($F70)="FFFFFF",0,4)</f>
        <v>3</v>
      </c>
    </row>
    <row r="71" spans="1:7" ht="30">
      <c r="A71" t="s">
        <v>6650</v>
      </c>
      <c r="B71" s="2" t="s">
        <v>246</v>
      </c>
      <c r="C71" s="4" t="s">
        <v>247</v>
      </c>
      <c r="D71" s="7" t="s">
        <v>248</v>
      </c>
      <c r="E71" s="8" t="s">
        <v>249</v>
      </c>
      <c r="F71" s="7" t="s">
        <v>250</v>
      </c>
      <c r="G71">
        <f>IF(getRGB1($C71)="FFFFFF",0,1)+IF(getRGB1($D71)="FFFFFF",0,2)+IF(getRGB1($E71)="FFFFFF",0,3)+IF(getRGB1($F71)="FFFFFF",0,4)</f>
        <v>1</v>
      </c>
    </row>
    <row r="72" spans="1:7" ht="30">
      <c r="A72" t="s">
        <v>6650</v>
      </c>
      <c r="B72" s="2" t="s">
        <v>251</v>
      </c>
      <c r="C72" s="7">
        <v>1</v>
      </c>
      <c r="D72" s="9">
        <v>3</v>
      </c>
      <c r="E72" s="8" t="s">
        <v>239</v>
      </c>
      <c r="F72" s="4" t="s">
        <v>252</v>
      </c>
      <c r="G72">
        <f>IF(getRGB1($C72)="FFFFFF",0,1)+IF(getRGB1($D72)="FFFFFF",0,2)+IF(getRGB1($E72)="FFFFFF",0,3)+IF(getRGB1($F72)="FFFFFF",0,4)</f>
        <v>4</v>
      </c>
    </row>
    <row r="73" spans="1:7" ht="45">
      <c r="A73" t="s">
        <v>6650</v>
      </c>
      <c r="B73" s="2" t="s">
        <v>253</v>
      </c>
      <c r="C73" s="4" t="s">
        <v>254</v>
      </c>
      <c r="D73" s="7" t="s">
        <v>8</v>
      </c>
      <c r="E73" s="8">
        <v>95</v>
      </c>
      <c r="F73" s="7" t="s">
        <v>209</v>
      </c>
      <c r="G73">
        <f>IF(getRGB1($C73)="FFFFFF",0,1)+IF(getRGB1($D73)="FFFFFF",0,2)+IF(getRGB1($E73)="FFFFFF",0,3)+IF(getRGB1($F73)="FFFFFF",0,4)</f>
        <v>1</v>
      </c>
    </row>
    <row r="74" spans="1:7" ht="30">
      <c r="A74" t="s">
        <v>6650</v>
      </c>
      <c r="B74" s="2" t="s">
        <v>255</v>
      </c>
      <c r="C74" s="7" t="s">
        <v>256</v>
      </c>
      <c r="D74" s="4" t="s">
        <v>257</v>
      </c>
      <c r="E74" s="8" t="s">
        <v>258</v>
      </c>
      <c r="F74" s="7" t="s">
        <v>259</v>
      </c>
      <c r="G74">
        <f>IF(getRGB1($C74)="FFFFFF",0,1)+IF(getRGB1($D74)="FFFFFF",0,2)+IF(getRGB1($E74)="FFFFFF",0,3)+IF(getRGB1($F74)="FFFFFF",0,4)</f>
        <v>2</v>
      </c>
    </row>
    <row r="75" spans="1:7" ht="30">
      <c r="A75" t="s">
        <v>6650</v>
      </c>
      <c r="B75" s="2" t="s">
        <v>260</v>
      </c>
      <c r="C75" s="7" t="s">
        <v>261</v>
      </c>
      <c r="D75" s="4" t="s">
        <v>262</v>
      </c>
      <c r="E75" s="8" t="s">
        <v>263</v>
      </c>
      <c r="F75" s="7" t="s">
        <v>264</v>
      </c>
      <c r="G75">
        <f>IF(getRGB1($C75)="FFFFFF",0,1)+IF(getRGB1($D75)="FFFFFF",0,2)+IF(getRGB1($E75)="FFFFFF",0,3)+IF(getRGB1($F75)="FFFFFF",0,4)</f>
        <v>2</v>
      </c>
    </row>
    <row r="76" spans="1:7" ht="30">
      <c r="A76" t="s">
        <v>6650</v>
      </c>
      <c r="B76" s="2" t="s">
        <v>265</v>
      </c>
      <c r="C76" s="4" t="s">
        <v>73</v>
      </c>
      <c r="D76" s="7" t="s">
        <v>76</v>
      </c>
      <c r="E76" s="8" t="s">
        <v>74</v>
      </c>
      <c r="F76" s="7" t="s">
        <v>266</v>
      </c>
      <c r="G76">
        <f>IF(getRGB1($C76)="FFFFFF",0,1)+IF(getRGB1($D76)="FFFFFF",0,2)+IF(getRGB1($E76)="FFFFFF",0,3)+IF(getRGB1($F76)="FFFFFF",0,4)</f>
        <v>1</v>
      </c>
    </row>
    <row r="77" spans="1:7" ht="30">
      <c r="A77" t="s">
        <v>6650</v>
      </c>
      <c r="B77" s="2" t="s">
        <v>267</v>
      </c>
      <c r="C77" s="7" t="s">
        <v>180</v>
      </c>
      <c r="D77" s="4" t="s">
        <v>73</v>
      </c>
      <c r="E77" s="8" t="s">
        <v>76</v>
      </c>
      <c r="F77" s="7" t="s">
        <v>266</v>
      </c>
      <c r="G77">
        <f>IF(getRGB1($C77)="FFFFFF",0,1)+IF(getRGB1($D77)="FFFFFF",0,2)+IF(getRGB1($E77)="FFFFFF",0,3)+IF(getRGB1($F77)="FFFFFF",0,4)</f>
        <v>2</v>
      </c>
    </row>
    <row r="78" spans="1:7" ht="30">
      <c r="A78" t="s">
        <v>6650</v>
      </c>
      <c r="B78" s="2" t="s">
        <v>268</v>
      </c>
      <c r="C78" s="7" t="s">
        <v>76</v>
      </c>
      <c r="D78" s="7" t="s">
        <v>266</v>
      </c>
      <c r="E78" s="6" t="s">
        <v>73</v>
      </c>
      <c r="F78" s="7" t="s">
        <v>74</v>
      </c>
      <c r="G78">
        <f>IF(getRGB1($C78)="FFFFFF",0,1)+IF(getRGB1($D78)="FFFFFF",0,2)+IF(getRGB1($E78)="FFFFFF",0,3)+IF(getRGB1($F78)="FFFFFF",0,4)</f>
        <v>3</v>
      </c>
    </row>
    <row r="79" spans="1:7" ht="30">
      <c r="A79" t="s">
        <v>6650</v>
      </c>
      <c r="B79" s="2" t="s">
        <v>269</v>
      </c>
      <c r="C79" s="7" t="s">
        <v>74</v>
      </c>
      <c r="D79" s="7" t="s">
        <v>266</v>
      </c>
      <c r="E79" s="6" t="s">
        <v>76</v>
      </c>
      <c r="F79" s="7" t="s">
        <v>270</v>
      </c>
      <c r="G79">
        <f>IF(getRGB1($C79)="FFFFFF",0,1)+IF(getRGB1($D79)="FFFFFF",0,2)+IF(getRGB1($E79)="FFFFFF",0,3)+IF(getRGB1($F79)="FFFFFF",0,4)</f>
        <v>3</v>
      </c>
    </row>
    <row r="80" spans="1:7">
      <c r="A80" t="s">
        <v>6650</v>
      </c>
      <c r="B80" s="2" t="s">
        <v>271</v>
      </c>
      <c r="C80" s="27" t="s">
        <v>272</v>
      </c>
      <c r="D80" s="27" t="s">
        <v>273</v>
      </c>
      <c r="E80" s="28" t="s">
        <v>274</v>
      </c>
      <c r="F80" s="7" t="s">
        <v>275</v>
      </c>
      <c r="G80">
        <f>IF(getRGB1($C80)="FFFFFF",0,1)+IF(getRGB1($D80)="FFFFFF",0,2)+IF(getRGB1($E80)="FFFFFF",0,3)+IF(getRGB1($F80)="FFFFFF",0,4)</f>
        <v>3</v>
      </c>
    </row>
    <row r="81" spans="1:7" ht="30">
      <c r="A81" t="s">
        <v>6650</v>
      </c>
      <c r="B81" s="2" t="s">
        <v>276</v>
      </c>
      <c r="C81" s="7">
        <v>2</v>
      </c>
      <c r="D81" s="7">
        <v>10</v>
      </c>
      <c r="E81" s="6">
        <v>1</v>
      </c>
      <c r="F81" s="7">
        <v>5</v>
      </c>
      <c r="G81">
        <f>IF(getRGB1($C81)="FFFFFF",0,1)+IF(getRGB1($D81)="FFFFFF",0,2)+IF(getRGB1($E81)="FFFFFF",0,3)+IF(getRGB1($F81)="FFFFFF",0,4)</f>
        <v>3</v>
      </c>
    </row>
    <row r="82" spans="1:7" ht="45">
      <c r="A82" t="s">
        <v>6650</v>
      </c>
      <c r="B82" s="2" t="s">
        <v>277</v>
      </c>
      <c r="C82" s="7" t="s">
        <v>278</v>
      </c>
      <c r="D82" s="4" t="s">
        <v>279</v>
      </c>
      <c r="E82" s="8" t="s">
        <v>280</v>
      </c>
      <c r="F82" s="7" t="s">
        <v>209</v>
      </c>
      <c r="G82">
        <f>IF(getRGB1($C82)="FFFFFF",0,1)+IF(getRGB1($D82)="FFFFFF",0,2)+IF(getRGB1($E82)="FFFFFF",0,3)+IF(getRGB1($F82)="FFFFFF",0,4)</f>
        <v>2</v>
      </c>
    </row>
    <row r="83" spans="1:7">
      <c r="A83" t="s">
        <v>6650</v>
      </c>
      <c r="B83" s="29" t="s">
        <v>281</v>
      </c>
      <c r="C83" s="4" t="s">
        <v>73</v>
      </c>
      <c r="D83" s="7" t="s">
        <v>282</v>
      </c>
      <c r="E83" s="8" t="s">
        <v>283</v>
      </c>
      <c r="F83" s="7" t="s">
        <v>284</v>
      </c>
      <c r="G83">
        <f>IF(getRGB1($C83)="FFFFFF",0,1)+IF(getRGB1($D83)="FFFFFF",0,2)+IF(getRGB1($E83)="FFFFFF",0,3)+IF(getRGB1($F83)="FFFFFF",0,4)</f>
        <v>1</v>
      </c>
    </row>
    <row r="84" spans="1:7" ht="30">
      <c r="A84" t="s">
        <v>6650</v>
      </c>
      <c r="B84" s="29" t="s">
        <v>285</v>
      </c>
      <c r="C84" s="4" t="b">
        <v>1</v>
      </c>
      <c r="D84" s="7" t="b">
        <v>0</v>
      </c>
      <c r="E84" s="7"/>
      <c r="F84" s="7"/>
      <c r="G84">
        <f>IF(getRGB1($C84)="FFFFFF",0,1)+IF(getRGB1($D84)="FFFFFF",0,2)+IF(getRGB1($E84)="FFFFFF",0,3)+IF(getRGB1($F84)="FFFFFF",0,4)</f>
        <v>1</v>
      </c>
    </row>
    <row r="85" spans="1:7">
      <c r="A85" t="s">
        <v>6650</v>
      </c>
      <c r="B85" s="29" t="s">
        <v>286</v>
      </c>
      <c r="C85" s="7">
        <v>1</v>
      </c>
      <c r="D85" s="7">
        <v>2</v>
      </c>
      <c r="E85" s="4">
        <v>3</v>
      </c>
      <c r="F85" s="7">
        <v>4</v>
      </c>
      <c r="G85">
        <f>IF(getRGB1($C85)="FFFFFF",0,1)+IF(getRGB1($D85)="FFFFFF",0,2)+IF(getRGB1($E85)="FFFFFF",0,3)+IF(getRGB1($F85)="FFFFFF",0,4)</f>
        <v>3</v>
      </c>
    </row>
    <row r="86" spans="1:7" ht="30">
      <c r="A86" t="s">
        <v>6650</v>
      </c>
      <c r="B86" s="29" t="s">
        <v>287</v>
      </c>
      <c r="C86" s="7" t="s">
        <v>288</v>
      </c>
      <c r="D86" s="7" t="s">
        <v>289</v>
      </c>
      <c r="E86" s="7" t="s">
        <v>290</v>
      </c>
      <c r="F86" s="4" t="s">
        <v>250</v>
      </c>
      <c r="G86">
        <f>IF(getRGB1($C86)="FFFFFF",0,1)+IF(getRGB1($D86)="FFFFFF",0,2)+IF(getRGB1($E86)="FFFFFF",0,3)+IF(getRGB1($F86)="FFFFFF",0,4)</f>
        <v>4</v>
      </c>
    </row>
    <row r="87" spans="1:7" ht="30">
      <c r="A87" t="s">
        <v>6650</v>
      </c>
      <c r="B87" s="29" t="s">
        <v>291</v>
      </c>
      <c r="C87" s="7">
        <v>7</v>
      </c>
      <c r="D87" s="7">
        <v>5</v>
      </c>
      <c r="E87" s="4">
        <v>1</v>
      </c>
      <c r="F87" s="7">
        <v>2</v>
      </c>
      <c r="G87">
        <f>IF(getRGB1($C87)="FFFFFF",0,1)+IF(getRGB1($D87)="FFFFFF",0,2)+IF(getRGB1($E87)="FFFFFF",0,3)+IF(getRGB1($F87)="FFFFFF",0,4)</f>
        <v>3</v>
      </c>
    </row>
    <row r="88" spans="1:7" ht="30">
      <c r="A88" t="s">
        <v>6650</v>
      </c>
      <c r="B88" s="29" t="s">
        <v>292</v>
      </c>
      <c r="C88" s="4" t="s">
        <v>293</v>
      </c>
      <c r="D88" s="7" t="s">
        <v>294</v>
      </c>
      <c r="E88" s="9" t="s">
        <v>295</v>
      </c>
      <c r="F88" s="7" t="s">
        <v>296</v>
      </c>
      <c r="G88">
        <f>IF(getRGB1($C88)="FFFFFF",0,1)+IF(getRGB1($D88)="FFFFFF",0,2)+IF(getRGB1($E88)="FFFFFF",0,3)+IF(getRGB1($F88)="FFFFFF",0,4)</f>
        <v>1</v>
      </c>
    </row>
    <row r="89" spans="1:7" ht="45">
      <c r="A89" t="s">
        <v>6650</v>
      </c>
      <c r="B89" s="29" t="s">
        <v>297</v>
      </c>
      <c r="C89" s="7">
        <v>1</v>
      </c>
      <c r="D89" s="4" t="s">
        <v>239</v>
      </c>
      <c r="E89" s="7">
        <v>3</v>
      </c>
      <c r="F89" s="7" t="s">
        <v>298</v>
      </c>
      <c r="G89">
        <f>IF(getRGB1($C89)="FFFFFF",0,1)+IF(getRGB1($D89)="FFFFFF",0,2)+IF(getRGB1($E89)="FFFFFF",0,3)+IF(getRGB1($F89)="FFFFFF",0,4)</f>
        <v>2</v>
      </c>
    </row>
    <row r="90" spans="1:7" ht="45">
      <c r="A90" t="s">
        <v>6650</v>
      </c>
      <c r="B90" s="29" t="s">
        <v>299</v>
      </c>
      <c r="C90" s="7" t="s">
        <v>300</v>
      </c>
      <c r="D90" s="7" t="s">
        <v>301</v>
      </c>
      <c r="E90" s="4" t="s">
        <v>283</v>
      </c>
      <c r="F90" s="7" t="s">
        <v>302</v>
      </c>
      <c r="G90">
        <f>IF(getRGB1($C90)="FFFFFF",0,1)+IF(getRGB1($D90)="FFFFFF",0,2)+IF(getRGB1($E90)="FFFFFF",0,3)+IF(getRGB1($F90)="FFFFFF",0,4)</f>
        <v>3</v>
      </c>
    </row>
    <row r="91" spans="1:7" ht="30">
      <c r="A91" t="s">
        <v>6650</v>
      </c>
      <c r="B91" s="29" t="s">
        <v>303</v>
      </c>
      <c r="C91" s="7" t="s">
        <v>304</v>
      </c>
      <c r="D91" s="7" t="s">
        <v>305</v>
      </c>
      <c r="E91" s="7" t="s">
        <v>306</v>
      </c>
      <c r="F91" s="7" t="s">
        <v>209</v>
      </c>
      <c r="G91">
        <f>IF(getRGB1($C91)="FFFFFF",0,1)+IF(getRGB1($D91)="FFFFFF",0,2)+IF(getRGB1($E91)="FFFFFF",0,3)+IF(getRGB1($F91)="FFFFFF",0,4)</f>
        <v>0</v>
      </c>
    </row>
    <row r="92" spans="1:7" ht="30">
      <c r="A92" t="s">
        <v>6650</v>
      </c>
      <c r="B92" s="29" t="s">
        <v>307</v>
      </c>
      <c r="C92" s="7" t="s">
        <v>308</v>
      </c>
      <c r="D92" s="7" t="s">
        <v>309</v>
      </c>
      <c r="E92" s="7" t="s">
        <v>92</v>
      </c>
      <c r="F92" s="7" t="s">
        <v>310</v>
      </c>
      <c r="G92">
        <f>IF(getRGB1($C92)="FFFFFF",0,1)+IF(getRGB1($D92)="FFFFFF",0,2)+IF(getRGB1($E92)="FFFFFF",0,3)+IF(getRGB1($F92)="FFFFFF",0,4)</f>
        <v>0</v>
      </c>
    </row>
    <row r="93" spans="1:7" ht="45">
      <c r="A93" t="s">
        <v>6650</v>
      </c>
      <c r="B93" s="29" t="s">
        <v>311</v>
      </c>
      <c r="C93" s="7" t="s">
        <v>312</v>
      </c>
      <c r="D93" s="4" t="s">
        <v>313</v>
      </c>
      <c r="E93" s="7" t="s">
        <v>314</v>
      </c>
      <c r="F93" s="7" t="s">
        <v>61</v>
      </c>
      <c r="G93">
        <f>IF(getRGB1($C93)="FFFFFF",0,1)+IF(getRGB1($D93)="FFFFFF",0,2)+IF(getRGB1($E93)="FFFFFF",0,3)+IF(getRGB1($F93)="FFFFFF",0,4)</f>
        <v>2</v>
      </c>
    </row>
    <row r="94" spans="1:7" ht="61.5">
      <c r="A94" t="s">
        <v>6650</v>
      </c>
      <c r="B94" s="29" t="s">
        <v>522</v>
      </c>
      <c r="C94" s="30">
        <v>1.25</v>
      </c>
      <c r="D94" s="25">
        <v>1.2</v>
      </c>
      <c r="E94" s="25">
        <v>1</v>
      </c>
      <c r="F94" s="25" t="s">
        <v>61</v>
      </c>
      <c r="G94">
        <f>IF(getRGB1($C94)="FFFFFF",0,1)+IF(getRGB1($D94)="FFFFFF",0,2)+IF(getRGB1($E94)="FFFFFF",0,3)+IF(getRGB1($F94)="FFFFFF",0,4)</f>
        <v>1</v>
      </c>
    </row>
    <row r="95" spans="1:7" ht="30">
      <c r="A95" t="s">
        <v>6650</v>
      </c>
      <c r="B95" s="29" t="s">
        <v>315</v>
      </c>
      <c r="C95" s="9">
        <v>1</v>
      </c>
      <c r="D95" s="7">
        <v>2</v>
      </c>
      <c r="E95" s="4">
        <v>3</v>
      </c>
      <c r="F95" s="7">
        <v>4</v>
      </c>
      <c r="G95">
        <f>IF(getRGB1($C95)="FFFFFF",0,1)+IF(getRGB1($D95)="FFFFFF",0,2)+IF(getRGB1($E95)="FFFFFF",0,3)+IF(getRGB1($F95)="FFFFFF",0,4)</f>
        <v>3</v>
      </c>
    </row>
    <row r="96" spans="1:7">
      <c r="A96" t="s">
        <v>6650</v>
      </c>
      <c r="B96" s="29" t="s">
        <v>316</v>
      </c>
      <c r="C96" s="4" t="b">
        <v>1</v>
      </c>
      <c r="D96" s="7" t="b">
        <v>0</v>
      </c>
      <c r="E96" s="7"/>
      <c r="F96" s="7"/>
      <c r="G96">
        <f>IF(getRGB1($C96)="FFFFFF",0,1)+IF(getRGB1($D96)="FFFFFF",0,2)+IF(getRGB1($E96)="FFFFFF",0,3)+IF(getRGB1($F96)="FFFFFF",0,4)</f>
        <v>1</v>
      </c>
    </row>
    <row r="97" spans="1:7" ht="30">
      <c r="A97" t="s">
        <v>6650</v>
      </c>
      <c r="B97" s="29" t="s">
        <v>317</v>
      </c>
      <c r="C97" s="7" t="s">
        <v>308</v>
      </c>
      <c r="D97" s="7" t="s">
        <v>309</v>
      </c>
      <c r="E97" s="4" t="s">
        <v>92</v>
      </c>
      <c r="F97" s="7" t="s">
        <v>310</v>
      </c>
      <c r="G97">
        <f>IF(getRGB1($C97)="FFFFFF",0,1)+IF(getRGB1($D97)="FFFFFF",0,2)+IF(getRGB1($E97)="FFFFFF",0,3)+IF(getRGB1($F97)="FFFFFF",0,4)</f>
        <v>3</v>
      </c>
    </row>
    <row r="98" spans="1:7" ht="75">
      <c r="A98" t="s">
        <v>6650</v>
      </c>
      <c r="B98" s="2" t="s">
        <v>523</v>
      </c>
      <c r="C98" s="9">
        <v>1</v>
      </c>
      <c r="D98" s="4">
        <v>2</v>
      </c>
      <c r="E98" s="7" t="s">
        <v>295</v>
      </c>
      <c r="F98" s="7" t="s">
        <v>318</v>
      </c>
      <c r="G98">
        <f>IF(getRGB1($C98)="FFFFFF",0,1)+IF(getRGB1($D98)="FFFFFF",0,2)+IF(getRGB1($E98)="FFFFFF",0,3)+IF(getRGB1($F98)="FFFFFF",0,4)</f>
        <v>2</v>
      </c>
    </row>
    <row r="99" spans="1:7" ht="75">
      <c r="A99" t="s">
        <v>6650</v>
      </c>
      <c r="B99" s="2" t="s">
        <v>319</v>
      </c>
      <c r="C99" s="7" t="s">
        <v>320</v>
      </c>
      <c r="D99" s="7" t="s">
        <v>321</v>
      </c>
      <c r="E99" s="7" t="s">
        <v>322</v>
      </c>
      <c r="F99" s="30" t="s">
        <v>323</v>
      </c>
      <c r="G99">
        <f>IF(getRGB1($C99)="FFFFFF",0,1)+IF(getRGB1($D99)="FFFFFF",0,2)+IF(getRGB1($E99)="FFFFFF",0,3)+IF(getRGB1($F99)="FFFFFF",0,4)</f>
        <v>4</v>
      </c>
    </row>
    <row r="100" spans="1:7" ht="45">
      <c r="A100" t="s">
        <v>6650</v>
      </c>
      <c r="B100" s="2" t="s">
        <v>324</v>
      </c>
      <c r="C100" s="7" t="s">
        <v>325</v>
      </c>
      <c r="D100" s="4" t="s">
        <v>326</v>
      </c>
      <c r="E100" s="7" t="s">
        <v>327</v>
      </c>
      <c r="F100" s="7" t="s">
        <v>328</v>
      </c>
      <c r="G100">
        <f>IF(getRGB1($C100)="FFFFFF",0,1)+IF(getRGB1($D100)="FFFFFF",0,2)+IF(getRGB1($E100)="FFFFFF",0,3)+IF(getRGB1($F100)="FFFFFF",0,4)</f>
        <v>2</v>
      </c>
    </row>
    <row r="101" spans="1:7" ht="60">
      <c r="A101" t="s">
        <v>6650</v>
      </c>
      <c r="B101" s="2" t="s">
        <v>329</v>
      </c>
      <c r="C101" s="4" t="s">
        <v>330</v>
      </c>
      <c r="D101" s="9" t="s">
        <v>331</v>
      </c>
      <c r="E101" s="9" t="s">
        <v>332</v>
      </c>
      <c r="F101" s="7" t="s">
        <v>333</v>
      </c>
      <c r="G101">
        <f>IF(getRGB1($C101)="FFFFFF",0,1)+IF(getRGB1($D101)="FFFFFF",0,2)+IF(getRGB1($E101)="FFFFFF",0,3)+IF(getRGB1($F101)="FFFFFF",0,4)</f>
        <v>1</v>
      </c>
    </row>
    <row r="102" spans="1:7" ht="45">
      <c r="A102" t="s">
        <v>6650</v>
      </c>
      <c r="B102" s="2" t="s">
        <v>334</v>
      </c>
      <c r="C102" s="7" t="s">
        <v>335</v>
      </c>
      <c r="D102" s="7" t="s">
        <v>336</v>
      </c>
      <c r="E102" s="31" t="s">
        <v>337</v>
      </c>
      <c r="F102" s="4" t="s">
        <v>338</v>
      </c>
      <c r="G102">
        <f>IF(getRGB1($C102)="FFFFFF",0,1)+IF(getRGB1($D102)="FFFFFF",0,2)+IF(getRGB1($E102)="FFFFFF",0,3)+IF(getRGB1($F102)="FFFFFF",0,4)</f>
        <v>4</v>
      </c>
    </row>
    <row r="103" spans="1:7" ht="45">
      <c r="A103" t="s">
        <v>6650</v>
      </c>
      <c r="B103" s="2" t="s">
        <v>339</v>
      </c>
      <c r="C103" s="7" t="s">
        <v>340</v>
      </c>
      <c r="D103" s="7" t="s">
        <v>341</v>
      </c>
      <c r="E103" s="7" t="s">
        <v>342</v>
      </c>
      <c r="F103" s="4" t="s">
        <v>343</v>
      </c>
      <c r="G103">
        <f>IF(getRGB1($C103)="FFFFFF",0,1)+IF(getRGB1($D103)="FFFFFF",0,2)+IF(getRGB1($E103)="FFFFFF",0,3)+IF(getRGB1($F103)="FFFFFF",0,4)</f>
        <v>4</v>
      </c>
    </row>
    <row r="104" spans="1:7" ht="60">
      <c r="A104" t="s">
        <v>6650</v>
      </c>
      <c r="B104" s="2" t="s">
        <v>344</v>
      </c>
      <c r="C104" s="7" t="s">
        <v>345</v>
      </c>
      <c r="D104" s="7" t="s">
        <v>346</v>
      </c>
      <c r="E104" s="4" t="s">
        <v>347</v>
      </c>
      <c r="F104" s="7" t="s">
        <v>348</v>
      </c>
      <c r="G104">
        <f>IF(getRGB1($C104)="FFFFFF",0,1)+IF(getRGB1($D104)="FFFFFF",0,2)+IF(getRGB1($E104)="FFFFFF",0,3)+IF(getRGB1($F104)="FFFFFF",0,4)</f>
        <v>3</v>
      </c>
    </row>
    <row r="105" spans="1:7" ht="45">
      <c r="A105" t="s">
        <v>6650</v>
      </c>
      <c r="B105" s="2" t="s">
        <v>349</v>
      </c>
      <c r="C105" s="7" t="s">
        <v>340</v>
      </c>
      <c r="D105" s="7" t="s">
        <v>350</v>
      </c>
      <c r="E105" s="7" t="s">
        <v>342</v>
      </c>
      <c r="F105" s="7" t="s">
        <v>351</v>
      </c>
      <c r="G105">
        <f>IF(getRGB1($C105)="FFFFFF",0,1)+IF(getRGB1($D105)="FFFFFF",0,2)+IF(getRGB1($E105)="FFFFFF",0,3)+IF(getRGB1($F105)="FFFFFF",0,4)</f>
        <v>0</v>
      </c>
    </row>
    <row r="106" spans="1:7" ht="60">
      <c r="A106" t="s">
        <v>6650</v>
      </c>
      <c r="B106" s="2" t="s">
        <v>352</v>
      </c>
      <c r="C106" s="7" t="s">
        <v>353</v>
      </c>
      <c r="D106" s="4" t="s">
        <v>354</v>
      </c>
      <c r="E106" s="7" t="s">
        <v>355</v>
      </c>
      <c r="F106" s="7" t="s">
        <v>209</v>
      </c>
      <c r="G106">
        <f>IF(getRGB1($C106)="FFFFFF",0,1)+IF(getRGB1($D106)="FFFFFF",0,2)+IF(getRGB1($E106)="FFFFFF",0,3)+IF(getRGB1($F106)="FFFFFF",0,4)</f>
        <v>2</v>
      </c>
    </row>
    <row r="107" spans="1:7" ht="60">
      <c r="A107" t="s">
        <v>6650</v>
      </c>
      <c r="B107" s="2" t="s">
        <v>356</v>
      </c>
      <c r="C107" s="7" t="s">
        <v>357</v>
      </c>
      <c r="D107" s="7" t="s">
        <v>358</v>
      </c>
      <c r="E107" s="7" t="s">
        <v>359</v>
      </c>
      <c r="F107" s="4" t="s">
        <v>360</v>
      </c>
      <c r="G107">
        <f>IF(getRGB1($C107)="FFFFFF",0,1)+IF(getRGB1($D107)="FFFFFF",0,2)+IF(getRGB1($E107)="FFFFFF",0,3)+IF(getRGB1($F107)="FFFFFF",0,4)</f>
        <v>4</v>
      </c>
    </row>
    <row r="108" spans="1:7" ht="45">
      <c r="A108" t="s">
        <v>6650</v>
      </c>
      <c r="B108" s="2" t="s">
        <v>361</v>
      </c>
      <c r="C108" s="7">
        <v>20</v>
      </c>
      <c r="D108" s="7">
        <v>120</v>
      </c>
      <c r="E108" s="4">
        <v>100</v>
      </c>
      <c r="F108" s="7">
        <v>110</v>
      </c>
      <c r="G108">
        <f>IF(getRGB1($C108)="FFFFFF",0,1)+IF(getRGB1($D108)="FFFFFF",0,2)+IF(getRGB1($E108)="FFFFFF",0,3)+IF(getRGB1($F108)="FFFFFF",0,4)</f>
        <v>3</v>
      </c>
    </row>
    <row r="109" spans="1:7" ht="75">
      <c r="A109" t="s">
        <v>6650</v>
      </c>
      <c r="B109" s="2" t="s">
        <v>362</v>
      </c>
      <c r="C109" s="7" t="s">
        <v>363</v>
      </c>
      <c r="D109" s="4" t="s">
        <v>364</v>
      </c>
      <c r="E109" s="7" t="s">
        <v>365</v>
      </c>
      <c r="F109" s="7" t="s">
        <v>366</v>
      </c>
      <c r="G109">
        <f>IF(getRGB1($C109)="FFFFFF",0,1)+IF(getRGB1($D109)="FFFFFF",0,2)+IF(getRGB1($E109)="FFFFFF",0,3)+IF(getRGB1($F109)="FFFFFF",0,4)</f>
        <v>2</v>
      </c>
    </row>
    <row r="110" spans="1:7" ht="45">
      <c r="A110" t="s">
        <v>6650</v>
      </c>
      <c r="B110" s="2" t="s">
        <v>367</v>
      </c>
      <c r="C110" s="7" t="s">
        <v>368</v>
      </c>
      <c r="D110" s="7" t="s">
        <v>369</v>
      </c>
      <c r="E110" s="4" t="s">
        <v>370</v>
      </c>
      <c r="F110" s="7" t="s">
        <v>209</v>
      </c>
      <c r="G110">
        <f>IF(getRGB1($C110)="FFFFFF",0,1)+IF(getRGB1($D110)="FFFFFF",0,2)+IF(getRGB1($E110)="FFFFFF",0,3)+IF(getRGB1($F110)="FFFFFF",0,4)</f>
        <v>3</v>
      </c>
    </row>
    <row r="111" spans="1:7" ht="30">
      <c r="A111" t="s">
        <v>6650</v>
      </c>
      <c r="B111" s="2" t="s">
        <v>371</v>
      </c>
      <c r="C111" s="7" t="s">
        <v>372</v>
      </c>
      <c r="D111" s="4" t="s">
        <v>373</v>
      </c>
      <c r="E111" s="7" t="s">
        <v>374</v>
      </c>
      <c r="F111" s="7" t="s">
        <v>375</v>
      </c>
      <c r="G111">
        <f>IF(getRGB1($C111)="FFFFFF",0,1)+IF(getRGB1($D111)="FFFFFF",0,2)+IF(getRGB1($E111)="FFFFFF",0,3)+IF(getRGB1($F111)="FFFFFF",0,4)</f>
        <v>2</v>
      </c>
    </row>
    <row r="112" spans="1:7" ht="30">
      <c r="A112" t="s">
        <v>6650</v>
      </c>
      <c r="B112" s="29" t="s">
        <v>376</v>
      </c>
      <c r="C112" s="4" t="b">
        <v>1</v>
      </c>
      <c r="D112" s="7" t="b">
        <v>0</v>
      </c>
      <c r="E112" s="7"/>
      <c r="F112" s="7"/>
      <c r="G112">
        <f>IF(getRGB1($C112)="FFFFFF",0,1)+IF(getRGB1($D112)="FFFFFF",0,2)+IF(getRGB1($E112)="FFFFFF",0,3)+IF(getRGB1($F112)="FFFFFF",0,4)</f>
        <v>1</v>
      </c>
    </row>
    <row r="113" spans="1:7" ht="30">
      <c r="A113" t="s">
        <v>6650</v>
      </c>
      <c r="B113" s="29" t="s">
        <v>377</v>
      </c>
      <c r="C113" s="7" t="b">
        <v>0</v>
      </c>
      <c r="D113" s="4" t="b">
        <v>1</v>
      </c>
      <c r="E113" s="7"/>
      <c r="F113" s="7"/>
      <c r="G113">
        <f>IF(getRGB1($C113)="FFFFFF",0,1)+IF(getRGB1($D113)="FFFFFF",0,2)+IF(getRGB1($E113)="FFFFFF",0,3)+IF(getRGB1($F113)="FFFFFF",0,4)</f>
        <v>2</v>
      </c>
    </row>
    <row r="114" spans="1:7" ht="30">
      <c r="A114" t="s">
        <v>6650</v>
      </c>
      <c r="B114" s="29" t="s">
        <v>378</v>
      </c>
      <c r="C114" s="7" t="s">
        <v>379</v>
      </c>
      <c r="D114" s="7" t="s">
        <v>380</v>
      </c>
      <c r="E114" s="4" t="s">
        <v>381</v>
      </c>
      <c r="F114" s="7" t="s">
        <v>209</v>
      </c>
      <c r="G114">
        <f>IF(getRGB1($C114)="FFFFFF",0,1)+IF(getRGB1($D114)="FFFFFF",0,2)+IF(getRGB1($E114)="FFFFFF",0,3)+IF(getRGB1($F114)="FFFFFF",0,4)</f>
        <v>3</v>
      </c>
    </row>
    <row r="115" spans="1:7" ht="45">
      <c r="A115" t="s">
        <v>6650</v>
      </c>
      <c r="B115" s="29" t="s">
        <v>382</v>
      </c>
      <c r="C115" s="4" t="s">
        <v>383</v>
      </c>
      <c r="D115" s="7" t="s">
        <v>384</v>
      </c>
      <c r="E115" s="7" t="s">
        <v>385</v>
      </c>
      <c r="F115" s="7" t="s">
        <v>209</v>
      </c>
      <c r="G115">
        <f>IF(getRGB1($C115)="FFFFFF",0,1)+IF(getRGB1($D115)="FFFFFF",0,2)+IF(getRGB1($E115)="FFFFFF",0,3)+IF(getRGB1($F115)="FFFFFF",0,4)</f>
        <v>1</v>
      </c>
    </row>
    <row r="116" spans="1:7" ht="30">
      <c r="A116" t="s">
        <v>6650</v>
      </c>
      <c r="B116" s="29" t="s">
        <v>386</v>
      </c>
      <c r="C116" s="7" t="s">
        <v>387</v>
      </c>
      <c r="D116" s="4" t="s">
        <v>388</v>
      </c>
      <c r="E116" s="7" t="s">
        <v>389</v>
      </c>
      <c r="F116" s="7" t="s">
        <v>209</v>
      </c>
      <c r="G116">
        <f>IF(getRGB1($C116)="FFFFFF",0,1)+IF(getRGB1($D116)="FFFFFF",0,2)+IF(getRGB1($E116)="FFFFFF",0,3)+IF(getRGB1($F116)="FFFFFF",0,4)</f>
        <v>2</v>
      </c>
    </row>
    <row r="117" spans="1:7" ht="45">
      <c r="A117" t="s">
        <v>6650</v>
      </c>
      <c r="B117" s="29" t="s">
        <v>390</v>
      </c>
      <c r="C117" s="7" t="s">
        <v>391</v>
      </c>
      <c r="D117" s="7" t="s">
        <v>392</v>
      </c>
      <c r="E117" s="4" t="s">
        <v>393</v>
      </c>
      <c r="F117" s="7" t="s">
        <v>394</v>
      </c>
      <c r="G117">
        <f>IF(getRGB1($C117)="FFFFFF",0,1)+IF(getRGB1($D117)="FFFFFF",0,2)+IF(getRGB1($E117)="FFFFFF",0,3)+IF(getRGB1($F117)="FFFFFF",0,4)</f>
        <v>3</v>
      </c>
    </row>
    <row r="118" spans="1:7" ht="30">
      <c r="A118" t="s">
        <v>6650</v>
      </c>
      <c r="B118" s="29" t="s">
        <v>395</v>
      </c>
      <c r="C118" s="7" t="s">
        <v>396</v>
      </c>
      <c r="D118" s="4" t="s">
        <v>397</v>
      </c>
      <c r="E118" s="7" t="s">
        <v>398</v>
      </c>
      <c r="F118" s="7" t="s">
        <v>399</v>
      </c>
      <c r="G118">
        <f>IF(getRGB1($C118)="FFFFFF",0,1)+IF(getRGB1($D118)="FFFFFF",0,2)+IF(getRGB1($E118)="FFFFFF",0,3)+IF(getRGB1($F118)="FFFFFF",0,4)</f>
        <v>2</v>
      </c>
    </row>
    <row r="119" spans="1:7" ht="30">
      <c r="A119" t="s">
        <v>6650</v>
      </c>
      <c r="B119" s="29" t="s">
        <v>400</v>
      </c>
      <c r="C119" s="7" t="s">
        <v>401</v>
      </c>
      <c r="D119" s="7" t="s">
        <v>402</v>
      </c>
      <c r="E119" s="4" t="s">
        <v>403</v>
      </c>
      <c r="F119" s="7" t="s">
        <v>209</v>
      </c>
      <c r="G119">
        <f>IF(getRGB1($C119)="FFFFFF",0,1)+IF(getRGB1($D119)="FFFFFF",0,2)+IF(getRGB1($E119)="FFFFFF",0,3)+IF(getRGB1($F119)="FFFFFF",0,4)</f>
        <v>3</v>
      </c>
    </row>
    <row r="120" spans="1:7" ht="45">
      <c r="A120" t="s">
        <v>6650</v>
      </c>
      <c r="B120" s="29" t="s">
        <v>404</v>
      </c>
      <c r="C120" s="7" t="s">
        <v>405</v>
      </c>
      <c r="D120" s="7" t="s">
        <v>406</v>
      </c>
      <c r="E120" s="4" t="s">
        <v>407</v>
      </c>
      <c r="F120" s="7" t="s">
        <v>209</v>
      </c>
      <c r="G120">
        <f>IF(getRGB1($C120)="FFFFFF",0,1)+IF(getRGB1($D120)="FFFFFF",0,2)+IF(getRGB1($E120)="FFFFFF",0,3)+IF(getRGB1($F120)="FFFFFF",0,4)</f>
        <v>3</v>
      </c>
    </row>
    <row r="121" spans="1:7">
      <c r="A121" t="s">
        <v>6650</v>
      </c>
      <c r="B121" s="29" t="s">
        <v>408</v>
      </c>
      <c r="C121" s="4" t="b">
        <v>1</v>
      </c>
      <c r="D121" s="7" t="b">
        <v>0</v>
      </c>
      <c r="E121" s="7"/>
      <c r="F121" s="7"/>
      <c r="G121">
        <f>IF(getRGB1($C121)="FFFFFF",0,1)+IF(getRGB1($D121)="FFFFFF",0,2)+IF(getRGB1($E121)="FFFFFF",0,3)+IF(getRGB1($F121)="FFFFFF",0,4)</f>
        <v>1</v>
      </c>
    </row>
    <row r="122" spans="1:7" ht="30">
      <c r="A122" t="s">
        <v>6650</v>
      </c>
      <c r="B122" s="29" t="s">
        <v>409</v>
      </c>
      <c r="C122" s="4" t="s">
        <v>410</v>
      </c>
      <c r="D122" s="7" t="s">
        <v>411</v>
      </c>
      <c r="E122" s="7" t="s">
        <v>412</v>
      </c>
      <c r="F122" s="7" t="s">
        <v>209</v>
      </c>
      <c r="G122">
        <f>IF(getRGB1($C122)="FFFFFF",0,1)+IF(getRGB1($D122)="FFFFFF",0,2)+IF(getRGB1($E122)="FFFFFF",0,3)+IF(getRGB1($F122)="FFFFFF",0,4)</f>
        <v>1</v>
      </c>
    </row>
    <row r="123" spans="1:7" ht="30">
      <c r="A123" t="s">
        <v>6650</v>
      </c>
      <c r="B123" s="29" t="s">
        <v>413</v>
      </c>
      <c r="C123" s="7" t="s">
        <v>414</v>
      </c>
      <c r="D123" s="4" t="s">
        <v>415</v>
      </c>
      <c r="E123" s="7" t="s">
        <v>416</v>
      </c>
      <c r="F123" s="7" t="s">
        <v>417</v>
      </c>
      <c r="G123">
        <f>IF(getRGB1($C123)="FFFFFF",0,1)+IF(getRGB1($D123)="FFFFFF",0,2)+IF(getRGB1($E123)="FFFFFF",0,3)+IF(getRGB1($F123)="FFFFFF",0,4)</f>
        <v>2</v>
      </c>
    </row>
    <row r="124" spans="1:7" ht="30">
      <c r="A124" t="s">
        <v>6650</v>
      </c>
      <c r="B124" s="29" t="s">
        <v>418</v>
      </c>
      <c r="C124" s="4" t="s">
        <v>419</v>
      </c>
      <c r="D124" s="7" t="s">
        <v>420</v>
      </c>
      <c r="E124" s="7" t="s">
        <v>421</v>
      </c>
      <c r="F124" s="7" t="s">
        <v>422</v>
      </c>
      <c r="G124">
        <f>IF(getRGB1($C124)="FFFFFF",0,1)+IF(getRGB1($D124)="FFFFFF",0,2)+IF(getRGB1($E124)="FFFFFF",0,3)+IF(getRGB1($F124)="FFFFFF",0,4)</f>
        <v>1</v>
      </c>
    </row>
    <row r="125" spans="1:7" ht="30">
      <c r="A125" t="s">
        <v>6650</v>
      </c>
      <c r="B125" s="29" t="s">
        <v>423</v>
      </c>
      <c r="C125" s="7" t="b">
        <v>0</v>
      </c>
      <c r="D125" s="4" t="b">
        <v>1</v>
      </c>
      <c r="E125" s="7"/>
      <c r="F125" s="7"/>
      <c r="G125">
        <f>IF(getRGB1($C125)="FFFFFF",0,1)+IF(getRGB1($D125)="FFFFFF",0,2)+IF(getRGB1($E125)="FFFFFF",0,3)+IF(getRGB1($F125)="FFFFFF",0,4)</f>
        <v>2</v>
      </c>
    </row>
    <row r="126" spans="1:7" ht="30">
      <c r="A126" t="s">
        <v>6650</v>
      </c>
      <c r="B126" s="29" t="s">
        <v>424</v>
      </c>
      <c r="C126" s="7" t="s">
        <v>425</v>
      </c>
      <c r="D126" s="4" t="s">
        <v>426</v>
      </c>
      <c r="E126" s="7" t="s">
        <v>427</v>
      </c>
      <c r="F126" s="7" t="s">
        <v>428</v>
      </c>
      <c r="G126">
        <f>IF(getRGB1($C126)="FFFFFF",0,1)+IF(getRGB1($D126)="FFFFFF",0,2)+IF(getRGB1($E126)="FFFFFF",0,3)+IF(getRGB1($F126)="FFFFFF",0,4)</f>
        <v>2</v>
      </c>
    </row>
    <row r="127" spans="1:7" ht="30">
      <c r="A127" t="s">
        <v>6650</v>
      </c>
      <c r="B127" s="29" t="s">
        <v>429</v>
      </c>
      <c r="C127" s="4" t="s">
        <v>430</v>
      </c>
      <c r="D127" s="7" t="s">
        <v>430</v>
      </c>
      <c r="E127" s="7" t="s">
        <v>431</v>
      </c>
      <c r="F127" s="7" t="s">
        <v>432</v>
      </c>
      <c r="G127">
        <f>IF(getRGB1($C127)="FFFFFF",0,1)+IF(getRGB1($D127)="FFFFFF",0,2)+IF(getRGB1($E127)="FFFFFF",0,3)+IF(getRGB1($F127)="FFFFFF",0,4)</f>
        <v>1</v>
      </c>
    </row>
    <row r="128" spans="1:7" ht="75">
      <c r="A128" t="s">
        <v>6650</v>
      </c>
      <c r="B128" s="29" t="s">
        <v>433</v>
      </c>
      <c r="C128" s="7" t="s">
        <v>434</v>
      </c>
      <c r="D128" s="7" t="s">
        <v>435</v>
      </c>
      <c r="E128" s="7" t="s">
        <v>436</v>
      </c>
      <c r="F128" s="4" t="s">
        <v>437</v>
      </c>
      <c r="G128">
        <f>IF(getRGB1($C128)="FFFFFF",0,1)+IF(getRGB1($D128)="FFFFFF",0,2)+IF(getRGB1($E128)="FFFFFF",0,3)+IF(getRGB1($F128)="FFFFFF",0,4)</f>
        <v>4</v>
      </c>
    </row>
    <row r="129" spans="1:7" ht="45">
      <c r="A129" t="s">
        <v>6650</v>
      </c>
      <c r="B129" s="29" t="s">
        <v>438</v>
      </c>
      <c r="C129" s="7" t="s">
        <v>439</v>
      </c>
      <c r="D129" s="7" t="s">
        <v>440</v>
      </c>
      <c r="E129" s="4" t="s">
        <v>441</v>
      </c>
      <c r="F129" s="7" t="s">
        <v>209</v>
      </c>
      <c r="G129">
        <f>IF(getRGB1($C129)="FFFFFF",0,1)+IF(getRGB1($D129)="FFFFFF",0,2)+IF(getRGB1($E129)="FFFFFF",0,3)+IF(getRGB1($F129)="FFFFFF",0,4)</f>
        <v>3</v>
      </c>
    </row>
    <row r="130" spans="1:7" ht="30">
      <c r="A130" t="s">
        <v>6650</v>
      </c>
      <c r="B130" s="29" t="s">
        <v>442</v>
      </c>
      <c r="C130" s="7" t="s">
        <v>443</v>
      </c>
      <c r="D130" s="7"/>
      <c r="E130" s="7"/>
      <c r="F130" s="7"/>
      <c r="G130">
        <f>IF(getRGB1($C130)="FFFFFF",0,1)+IF(getRGB1($D130)="FFFFFF",0,2)+IF(getRGB1($E130)="FFFFFF",0,3)+IF(getRGB1($F130)="FFFFFF",0,4)</f>
        <v>0</v>
      </c>
    </row>
    <row r="131" spans="1:7" ht="30">
      <c r="A131" t="s">
        <v>6650</v>
      </c>
      <c r="B131" s="29" t="s">
        <v>444</v>
      </c>
      <c r="C131" s="4" t="s">
        <v>445</v>
      </c>
      <c r="D131" s="7" t="s">
        <v>446</v>
      </c>
      <c r="E131" s="7" t="s">
        <v>447</v>
      </c>
      <c r="F131" s="7" t="s">
        <v>448</v>
      </c>
      <c r="G131">
        <f>IF(getRGB1($C131)="FFFFFF",0,1)+IF(getRGB1($D131)="FFFFFF",0,2)+IF(getRGB1($E131)="FFFFFF",0,3)+IF(getRGB1($F131)="FFFFFF",0,4)</f>
        <v>1</v>
      </c>
    </row>
    <row r="132" spans="1:7" ht="30">
      <c r="A132" t="s">
        <v>6650</v>
      </c>
      <c r="B132" s="29" t="s">
        <v>449</v>
      </c>
      <c r="C132" s="7" t="s">
        <v>205</v>
      </c>
      <c r="D132" s="7" t="s">
        <v>450</v>
      </c>
      <c r="E132" s="4" t="s">
        <v>451</v>
      </c>
      <c r="F132" s="7" t="s">
        <v>452</v>
      </c>
      <c r="G132">
        <f>IF(getRGB1($C132)="FFFFFF",0,1)+IF(getRGB1($D132)="FFFFFF",0,2)+IF(getRGB1($E132)="FFFFFF",0,3)+IF(getRGB1($F132)="FFFFFF",0,4)</f>
        <v>3</v>
      </c>
    </row>
    <row r="133" spans="1:7" ht="30">
      <c r="A133" t="s">
        <v>6650</v>
      </c>
      <c r="B133" s="29" t="s">
        <v>453</v>
      </c>
      <c r="C133" s="7" t="s">
        <v>454</v>
      </c>
      <c r="D133" s="7" t="s">
        <v>455</v>
      </c>
      <c r="E133" s="7" t="s">
        <v>456</v>
      </c>
      <c r="F133" s="4" t="s">
        <v>457</v>
      </c>
      <c r="G133">
        <f>IF(getRGB1($C133)="FFFFFF",0,1)+IF(getRGB1($D133)="FFFFFF",0,2)+IF(getRGB1($E133)="FFFFFF",0,3)+IF(getRGB1($F133)="FFFFFF",0,4)</f>
        <v>4</v>
      </c>
    </row>
    <row r="134" spans="1:7">
      <c r="A134" t="s">
        <v>6650</v>
      </c>
      <c r="B134" s="29" t="s">
        <v>458</v>
      </c>
      <c r="C134" s="4" t="s">
        <v>459</v>
      </c>
      <c r="D134" s="7" t="s">
        <v>460</v>
      </c>
      <c r="E134" s="7" t="s">
        <v>461</v>
      </c>
      <c r="F134" s="7" t="s">
        <v>462</v>
      </c>
      <c r="G134">
        <f>IF(getRGB1($C134)="FFFFFF",0,1)+IF(getRGB1($D134)="FFFFFF",0,2)+IF(getRGB1($E134)="FFFFFF",0,3)+IF(getRGB1($F134)="FFFFFF",0,4)</f>
        <v>1</v>
      </c>
    </row>
    <row r="135" spans="1:7" ht="45">
      <c r="A135" t="s">
        <v>6650</v>
      </c>
      <c r="B135" s="29" t="s">
        <v>463</v>
      </c>
      <c r="C135" s="4" t="b">
        <v>1</v>
      </c>
      <c r="D135" s="7" t="b">
        <v>0</v>
      </c>
      <c r="E135" s="7"/>
      <c r="F135" s="7"/>
      <c r="G135">
        <f>IF(getRGB1($C135)="FFFFFF",0,1)+IF(getRGB1($D135)="FFFFFF",0,2)+IF(getRGB1($E135)="FFFFFF",0,3)+IF(getRGB1($F135)="FFFFFF",0,4)</f>
        <v>1</v>
      </c>
    </row>
    <row r="136" spans="1:7" ht="30">
      <c r="A136" t="s">
        <v>6650</v>
      </c>
      <c r="B136" s="29" t="s">
        <v>464</v>
      </c>
      <c r="C136" s="4" t="s">
        <v>465</v>
      </c>
      <c r="D136" s="7" t="s">
        <v>466</v>
      </c>
      <c r="E136" s="7" t="s">
        <v>467</v>
      </c>
      <c r="F136" s="7" t="s">
        <v>468</v>
      </c>
      <c r="G136">
        <f>IF(getRGB1($C136)="FFFFFF",0,1)+IF(getRGB1($D136)="FFFFFF",0,2)+IF(getRGB1($E136)="FFFFFF",0,3)+IF(getRGB1($F136)="FFFFFF",0,4)</f>
        <v>1</v>
      </c>
    </row>
    <row r="137" spans="1:7" ht="30">
      <c r="A137" t="s">
        <v>6650</v>
      </c>
      <c r="B137" s="29" t="s">
        <v>469</v>
      </c>
      <c r="C137" s="7" t="s">
        <v>470</v>
      </c>
      <c r="D137" s="7" t="s">
        <v>471</v>
      </c>
      <c r="E137" s="4" t="s">
        <v>472</v>
      </c>
      <c r="F137" s="7" t="s">
        <v>468</v>
      </c>
      <c r="G137">
        <f>IF(getRGB1($C137)="FFFFFF",0,1)+IF(getRGB1($D137)="FFFFFF",0,2)+IF(getRGB1($E137)="FFFFFF",0,3)+IF(getRGB1($F137)="FFFFFF",0,4)</f>
        <v>3</v>
      </c>
    </row>
    <row r="138" spans="1:7" ht="45">
      <c r="A138" t="s">
        <v>6650</v>
      </c>
      <c r="B138" s="29" t="s">
        <v>473</v>
      </c>
      <c r="C138" s="7" t="s">
        <v>474</v>
      </c>
      <c r="D138" s="4" t="s">
        <v>475</v>
      </c>
      <c r="E138" s="7" t="s">
        <v>476</v>
      </c>
      <c r="F138" s="7" t="s">
        <v>468</v>
      </c>
      <c r="G138">
        <f>IF(getRGB1($C138)="FFFFFF",0,1)+IF(getRGB1($D138)="FFFFFF",0,2)+IF(getRGB1($E138)="FFFFFF",0,3)+IF(getRGB1($F138)="FFFFFF",0,4)</f>
        <v>2</v>
      </c>
    </row>
    <row r="139" spans="1:7" ht="30">
      <c r="A139" t="s">
        <v>6650</v>
      </c>
      <c r="B139" s="29" t="s">
        <v>477</v>
      </c>
      <c r="C139" s="4" t="s">
        <v>478</v>
      </c>
      <c r="D139" s="7" t="s">
        <v>479</v>
      </c>
      <c r="E139" s="7" t="s">
        <v>480</v>
      </c>
      <c r="F139" s="7" t="s">
        <v>468</v>
      </c>
      <c r="G139">
        <f>IF(getRGB1($C139)="FFFFFF",0,1)+IF(getRGB1($D139)="FFFFFF",0,2)+IF(getRGB1($E139)="FFFFFF",0,3)+IF(getRGB1($F139)="FFFFFF",0,4)</f>
        <v>1</v>
      </c>
    </row>
    <row r="140" spans="1:7" ht="30">
      <c r="A140" t="s">
        <v>6650</v>
      </c>
      <c r="B140" s="29" t="s">
        <v>481</v>
      </c>
      <c r="C140" s="7" t="s">
        <v>482</v>
      </c>
      <c r="D140" s="4" t="s">
        <v>483</v>
      </c>
      <c r="E140" s="7" t="s">
        <v>484</v>
      </c>
      <c r="F140" s="7" t="s">
        <v>485</v>
      </c>
      <c r="G140">
        <f>IF(getRGB1($C140)="FFFFFF",0,1)+IF(getRGB1($D140)="FFFFFF",0,2)+IF(getRGB1($E140)="FFFFFF",0,3)+IF(getRGB1($F140)="FFFFFF",0,4)</f>
        <v>2</v>
      </c>
    </row>
    <row r="141" spans="1:7" ht="90">
      <c r="A141" t="s">
        <v>6650</v>
      </c>
      <c r="B141" s="29" t="s">
        <v>486</v>
      </c>
      <c r="C141" s="4" t="s">
        <v>234</v>
      </c>
      <c r="D141" s="7" t="s">
        <v>434</v>
      </c>
      <c r="E141" s="7" t="s">
        <v>487</v>
      </c>
      <c r="F141" s="7" t="s">
        <v>488</v>
      </c>
      <c r="G141">
        <f>IF(getRGB1($C141)="FFFFFF",0,1)+IF(getRGB1($D141)="FFFFFF",0,2)+IF(getRGB1($E141)="FFFFFF",0,3)+IF(getRGB1($F141)="FFFFFF",0,4)</f>
        <v>1</v>
      </c>
    </row>
    <row r="142" spans="1:7" ht="30">
      <c r="A142" t="s">
        <v>6650</v>
      </c>
      <c r="B142" s="29" t="s">
        <v>489</v>
      </c>
      <c r="C142" s="4" t="s">
        <v>490</v>
      </c>
      <c r="D142" s="7" t="s">
        <v>74</v>
      </c>
      <c r="E142" s="7" t="s">
        <v>76</v>
      </c>
      <c r="F142" s="7" t="s">
        <v>73</v>
      </c>
      <c r="G142">
        <f>IF(getRGB1($C142)="FFFFFF",0,1)+IF(getRGB1($D142)="FFFFFF",0,2)+IF(getRGB1($E142)="FFFFFF",0,3)+IF(getRGB1($F142)="FFFFFF",0,4)</f>
        <v>1</v>
      </c>
    </row>
    <row r="143" spans="1:7" ht="45">
      <c r="A143" t="s">
        <v>6650</v>
      </c>
      <c r="B143" s="29" t="s">
        <v>491</v>
      </c>
      <c r="C143" s="4" t="b">
        <v>1</v>
      </c>
      <c r="D143" s="7" t="b">
        <v>0</v>
      </c>
      <c r="E143" s="7"/>
      <c r="F143" s="7"/>
      <c r="G143">
        <f>IF(getRGB1($C143)="FFFFFF",0,1)+IF(getRGB1($D143)="FFFFFF",0,2)+IF(getRGB1($E143)="FFFFFF",0,3)+IF(getRGB1($F143)="FFFFFF",0,4)</f>
        <v>1</v>
      </c>
    </row>
    <row r="144" spans="1:7" ht="30">
      <c r="A144" t="s">
        <v>6650</v>
      </c>
      <c r="B144" s="29" t="s">
        <v>492</v>
      </c>
      <c r="C144" s="4" t="s">
        <v>493</v>
      </c>
      <c r="D144" s="7" t="s">
        <v>494</v>
      </c>
      <c r="E144" s="7" t="s">
        <v>495</v>
      </c>
      <c r="F144" s="7" t="s">
        <v>66</v>
      </c>
      <c r="G144">
        <f>IF(getRGB1($C144)="FFFFFF",0,1)+IF(getRGB1($D144)="FFFFFF",0,2)+IF(getRGB1($E144)="FFFFFF",0,3)+IF(getRGB1($F144)="FFFFFF",0,4)</f>
        <v>1</v>
      </c>
    </row>
    <row r="145" spans="1:7" ht="30">
      <c r="A145" t="s">
        <v>6650</v>
      </c>
      <c r="B145" s="29" t="s">
        <v>496</v>
      </c>
      <c r="C145" s="4" t="s">
        <v>497</v>
      </c>
      <c r="D145" s="7" t="s">
        <v>498</v>
      </c>
      <c r="E145" s="7" t="s">
        <v>499</v>
      </c>
      <c r="F145" s="7" t="s">
        <v>61</v>
      </c>
      <c r="G145">
        <f>IF(getRGB1($C145)="FFFFFF",0,1)+IF(getRGB1($D145)="FFFFFF",0,2)+IF(getRGB1($E145)="FFFFFF",0,3)+IF(getRGB1($F145)="FFFFFF",0,4)</f>
        <v>1</v>
      </c>
    </row>
    <row r="146" spans="1:7" ht="30">
      <c r="A146" t="s">
        <v>6650</v>
      </c>
      <c r="B146" s="29" t="s">
        <v>500</v>
      </c>
      <c r="C146" s="4" t="s">
        <v>501</v>
      </c>
      <c r="D146" s="7" t="s">
        <v>502</v>
      </c>
      <c r="E146" s="7" t="s">
        <v>503</v>
      </c>
      <c r="F146" s="7" t="s">
        <v>504</v>
      </c>
      <c r="G146">
        <f>IF(getRGB1($C146)="FFFFFF",0,1)+IF(getRGB1($D146)="FFFFFF",0,2)+IF(getRGB1($E146)="FFFFFF",0,3)+IF(getRGB1($F146)="FFFFFF",0,4)</f>
        <v>1</v>
      </c>
    </row>
    <row r="147" spans="1:7" ht="45">
      <c r="A147" t="s">
        <v>6650</v>
      </c>
      <c r="B147" s="29" t="s">
        <v>505</v>
      </c>
      <c r="C147" s="4" t="s">
        <v>506</v>
      </c>
      <c r="D147" s="7" t="s">
        <v>507</v>
      </c>
      <c r="E147" s="7" t="s">
        <v>508</v>
      </c>
      <c r="F147" s="7" t="s">
        <v>509</v>
      </c>
      <c r="G147">
        <f>IF(getRGB1($C147)="FFFFFF",0,1)+IF(getRGB1($D147)="FFFFFF",0,2)+IF(getRGB1($E147)="FFFFFF",0,3)+IF(getRGB1($F147)="FFFFFF",0,4)</f>
        <v>1</v>
      </c>
    </row>
    <row r="148" spans="1:7" ht="30">
      <c r="A148" t="s">
        <v>6650</v>
      </c>
      <c r="B148" s="29" t="s">
        <v>510</v>
      </c>
      <c r="C148" s="4" t="b">
        <v>1</v>
      </c>
      <c r="D148" s="7" t="b">
        <v>0</v>
      </c>
      <c r="E148" s="7"/>
      <c r="F148" s="7"/>
      <c r="G148">
        <f>IF(getRGB1($C148)="FFFFFF",0,1)+IF(getRGB1($D148)="FFFFFF",0,2)+IF(getRGB1($E148)="FFFFFF",0,3)+IF(getRGB1($F148)="FFFFFF",0,4)</f>
        <v>1</v>
      </c>
    </row>
    <row r="149" spans="1:7">
      <c r="A149" t="s">
        <v>6651</v>
      </c>
      <c r="B149" s="32" t="s">
        <v>524</v>
      </c>
      <c r="C149" s="33" t="s">
        <v>525</v>
      </c>
      <c r="D149" s="33" t="s">
        <v>526</v>
      </c>
      <c r="E149" s="34" t="s">
        <v>527</v>
      </c>
      <c r="F149" s="33" t="s">
        <v>528</v>
      </c>
      <c r="G149">
        <f>IF(getRGB1($C149)="FFFFFF",0,1)+IF(getRGB1($D149)="FFFFFF",0,2)+IF(getRGB1($E149)="FFFFFF",0,3)+IF(getRGB1($F149)="FFFFFF",0,4)</f>
        <v>3</v>
      </c>
    </row>
    <row r="150" spans="1:7">
      <c r="A150" t="s">
        <v>6651</v>
      </c>
      <c r="B150" s="35" t="s">
        <v>529</v>
      </c>
      <c r="C150" s="36" t="s">
        <v>530</v>
      </c>
      <c r="D150" s="36" t="s">
        <v>531</v>
      </c>
      <c r="E150" s="34" t="s">
        <v>532</v>
      </c>
      <c r="F150" s="36" t="s">
        <v>533</v>
      </c>
      <c r="G150">
        <f>IF(getRGB1($C150)="FFFFFF",0,1)+IF(getRGB1($D150)="FFFFFF",0,2)+IF(getRGB1($E150)="FFFFFF",0,3)+IF(getRGB1($F150)="FFFFFF",0,4)</f>
        <v>3</v>
      </c>
    </row>
    <row r="151" spans="1:7">
      <c r="A151" t="s">
        <v>6651</v>
      </c>
      <c r="B151" s="35" t="s">
        <v>534</v>
      </c>
      <c r="C151" s="36" t="s">
        <v>535</v>
      </c>
      <c r="D151" s="34" t="s">
        <v>536</v>
      </c>
      <c r="E151" s="36" t="s">
        <v>537</v>
      </c>
      <c r="F151" s="36" t="s">
        <v>538</v>
      </c>
      <c r="G151">
        <f>IF(getRGB1($C151)="FFFFFF",0,1)+IF(getRGB1($D151)="FFFFFF",0,2)+IF(getRGB1($E151)="FFFFFF",0,3)+IF(getRGB1($F151)="FFFFFF",0,4)</f>
        <v>2</v>
      </c>
    </row>
    <row r="152" spans="1:7">
      <c r="A152" t="s">
        <v>6651</v>
      </c>
      <c r="B152" s="35" t="s">
        <v>539</v>
      </c>
      <c r="C152" s="36" t="s">
        <v>540</v>
      </c>
      <c r="D152" s="36" t="s">
        <v>541</v>
      </c>
      <c r="E152" s="34" t="s">
        <v>542</v>
      </c>
      <c r="F152" s="36" t="s">
        <v>543</v>
      </c>
      <c r="G152">
        <f>IF(getRGB1($C152)="FFFFFF",0,1)+IF(getRGB1($D152)="FFFFFF",0,2)+IF(getRGB1($E152)="FFFFFF",0,3)+IF(getRGB1($F152)="FFFFFF",0,4)</f>
        <v>3</v>
      </c>
    </row>
    <row r="153" spans="1:7" ht="57">
      <c r="A153" t="s">
        <v>6651</v>
      </c>
      <c r="B153" s="35" t="s">
        <v>544</v>
      </c>
      <c r="C153" s="36" t="s">
        <v>545</v>
      </c>
      <c r="D153" s="34" t="s">
        <v>546</v>
      </c>
      <c r="E153" s="36" t="s">
        <v>547</v>
      </c>
      <c r="F153" s="36" t="s">
        <v>548</v>
      </c>
      <c r="G153">
        <f>IF(getRGB1($C153)="FFFFFF",0,1)+IF(getRGB1($D153)="FFFFFF",0,2)+IF(getRGB1($E153)="FFFFFF",0,3)+IF(getRGB1($F153)="FFFFFF",0,4)</f>
        <v>2</v>
      </c>
    </row>
    <row r="154" spans="1:7">
      <c r="A154" t="s">
        <v>6651</v>
      </c>
      <c r="B154" s="35" t="s">
        <v>549</v>
      </c>
      <c r="C154" s="36" t="s">
        <v>74</v>
      </c>
      <c r="D154" s="36" t="s">
        <v>266</v>
      </c>
      <c r="E154" s="34" t="s">
        <v>174</v>
      </c>
      <c r="F154" s="36" t="s">
        <v>550</v>
      </c>
      <c r="G154">
        <f>IF(getRGB1($C154)="FFFFFF",0,1)+IF(getRGB1($D154)="FFFFFF",0,2)+IF(getRGB1($E154)="FFFFFF",0,3)+IF(getRGB1($F154)="FFFFFF",0,4)</f>
        <v>3</v>
      </c>
    </row>
    <row r="155" spans="1:7" ht="57">
      <c r="A155" t="s">
        <v>6651</v>
      </c>
      <c r="B155" s="35" t="s">
        <v>551</v>
      </c>
      <c r="C155" s="36" t="s">
        <v>552</v>
      </c>
      <c r="D155" s="36" t="s">
        <v>553</v>
      </c>
      <c r="E155" s="34" t="s">
        <v>554</v>
      </c>
      <c r="F155" s="36" t="s">
        <v>555</v>
      </c>
      <c r="G155">
        <f>IF(getRGB1($C155)="FFFFFF",0,1)+IF(getRGB1($D155)="FFFFFF",0,2)+IF(getRGB1($E155)="FFFFFF",0,3)+IF(getRGB1($F155)="FFFFFF",0,4)</f>
        <v>3</v>
      </c>
    </row>
    <row r="156" spans="1:7">
      <c r="A156" t="s">
        <v>6651</v>
      </c>
      <c r="B156" s="35" t="s">
        <v>556</v>
      </c>
      <c r="C156" s="36" t="s">
        <v>179</v>
      </c>
      <c r="D156" s="34" t="s">
        <v>137</v>
      </c>
      <c r="E156" s="36" t="s">
        <v>74</v>
      </c>
      <c r="F156" s="36" t="s">
        <v>557</v>
      </c>
      <c r="G156">
        <f>IF(getRGB1($C156)="FFFFFF",0,1)+IF(getRGB1($D156)="FFFFFF",0,2)+IF(getRGB1($E156)="FFFFFF",0,3)+IF(getRGB1($F156)="FFFFFF",0,4)</f>
        <v>2</v>
      </c>
    </row>
    <row r="157" spans="1:7">
      <c r="A157" t="s">
        <v>6651</v>
      </c>
      <c r="B157" s="35" t="s">
        <v>558</v>
      </c>
      <c r="C157" s="34" t="s">
        <v>179</v>
      </c>
      <c r="D157" s="36" t="s">
        <v>137</v>
      </c>
      <c r="E157" s="36" t="s">
        <v>174</v>
      </c>
      <c r="F157" s="36" t="s">
        <v>74</v>
      </c>
      <c r="G157">
        <f>IF(getRGB1($C157)="FFFFFF",0,1)+IF(getRGB1($D157)="FFFFFF",0,2)+IF(getRGB1($E157)="FFFFFF",0,3)+IF(getRGB1($F157)="FFFFFF",0,4)</f>
        <v>1</v>
      </c>
    </row>
    <row r="158" spans="1:7" ht="16.5">
      <c r="A158" t="s">
        <v>6651</v>
      </c>
      <c r="B158" s="35" t="s">
        <v>559</v>
      </c>
      <c r="C158" s="36" t="s">
        <v>560</v>
      </c>
      <c r="D158" s="34" t="s">
        <v>561</v>
      </c>
      <c r="E158" s="36" t="s">
        <v>562</v>
      </c>
      <c r="F158" s="36" t="s">
        <v>563</v>
      </c>
      <c r="G158">
        <f>IF(getRGB1($C158)="FFFFFF",0,1)+IF(getRGB1($D158)="FFFFFF",0,2)+IF(getRGB1($E158)="FFFFFF",0,3)+IF(getRGB1($F158)="FFFFFF",0,4)</f>
        <v>2</v>
      </c>
    </row>
    <row r="159" spans="1:7" ht="57">
      <c r="A159" t="s">
        <v>6651</v>
      </c>
      <c r="B159" s="35" t="s">
        <v>564</v>
      </c>
      <c r="C159" s="36" t="s">
        <v>565</v>
      </c>
      <c r="D159" s="36" t="s">
        <v>566</v>
      </c>
      <c r="E159" s="34" t="s">
        <v>567</v>
      </c>
      <c r="F159" s="36" t="s">
        <v>568</v>
      </c>
      <c r="G159">
        <f>IF(getRGB1($C159)="FFFFFF",0,1)+IF(getRGB1($D159)="FFFFFF",0,2)+IF(getRGB1($E159)="FFFFFF",0,3)+IF(getRGB1($F159)="FFFFFF",0,4)</f>
        <v>3</v>
      </c>
    </row>
    <row r="160" spans="1:7" ht="28.5">
      <c r="A160" t="s">
        <v>6651</v>
      </c>
      <c r="B160" s="35" t="s">
        <v>569</v>
      </c>
      <c r="C160" s="34" t="s">
        <v>570</v>
      </c>
      <c r="D160" s="36" t="s">
        <v>571</v>
      </c>
      <c r="E160" s="36" t="s">
        <v>452</v>
      </c>
      <c r="F160" s="36" t="s">
        <v>572</v>
      </c>
      <c r="G160">
        <f>IF(getRGB1($C160)="FFFFFF",0,1)+IF(getRGB1($D160)="FFFFFF",0,2)+IF(getRGB1($E160)="FFFFFF",0,3)+IF(getRGB1($F160)="FFFFFF",0,4)</f>
        <v>1</v>
      </c>
    </row>
    <row r="161" spans="1:7" ht="28.5">
      <c r="A161" t="s">
        <v>6651</v>
      </c>
      <c r="B161" s="35" t="s">
        <v>573</v>
      </c>
      <c r="C161" s="36" t="s">
        <v>574</v>
      </c>
      <c r="D161" s="34" t="s">
        <v>575</v>
      </c>
      <c r="E161" s="36" t="s">
        <v>576</v>
      </c>
      <c r="F161" s="36" t="s">
        <v>577</v>
      </c>
      <c r="G161">
        <f>IF(getRGB1($C161)="FFFFFF",0,1)+IF(getRGB1($D161)="FFFFFF",0,2)+IF(getRGB1($E161)="FFFFFF",0,3)+IF(getRGB1($F161)="FFFFFF",0,4)</f>
        <v>2</v>
      </c>
    </row>
    <row r="162" spans="1:7" ht="28.5">
      <c r="A162" t="s">
        <v>6651</v>
      </c>
      <c r="B162" s="35" t="s">
        <v>578</v>
      </c>
      <c r="C162" s="36" t="s">
        <v>579</v>
      </c>
      <c r="D162" s="36" t="s">
        <v>580</v>
      </c>
      <c r="E162" s="33" t="s">
        <v>581</v>
      </c>
      <c r="F162" s="34" t="s">
        <v>582</v>
      </c>
      <c r="G162">
        <f>IF(getRGB1($C162)="FFFFFF",0,1)+IF(getRGB1($D162)="FFFFFF",0,2)+IF(getRGB1($E162)="FFFFFF",0,3)+IF(getRGB1($F162)="FFFFFF",0,4)</f>
        <v>4</v>
      </c>
    </row>
    <row r="163" spans="1:7" ht="28.5">
      <c r="A163" t="s">
        <v>6651</v>
      </c>
      <c r="B163" s="35" t="s">
        <v>583</v>
      </c>
      <c r="C163" s="36" t="s">
        <v>584</v>
      </c>
      <c r="D163" s="33" t="s">
        <v>585</v>
      </c>
      <c r="E163" s="36" t="s">
        <v>586</v>
      </c>
      <c r="F163" s="34" t="s">
        <v>587</v>
      </c>
      <c r="G163">
        <f>IF(getRGB1($C163)="FFFFFF",0,1)+IF(getRGB1($D163)="FFFFFF",0,2)+IF(getRGB1($E163)="FFFFFF",0,3)+IF(getRGB1($F163)="FFFFFF",0,4)</f>
        <v>4</v>
      </c>
    </row>
    <row r="164" spans="1:7" ht="42.75">
      <c r="A164" t="s">
        <v>6651</v>
      </c>
      <c r="B164" s="35" t="s">
        <v>588</v>
      </c>
      <c r="C164" s="36" t="s">
        <v>589</v>
      </c>
      <c r="D164" s="36" t="s">
        <v>590</v>
      </c>
      <c r="E164" s="33" t="s">
        <v>591</v>
      </c>
      <c r="F164" s="34" t="s">
        <v>592</v>
      </c>
      <c r="G164">
        <f>IF(getRGB1($C164)="FFFFFF",0,1)+IF(getRGB1($D164)="FFFFFF",0,2)+IF(getRGB1($E164)="FFFFFF",0,3)+IF(getRGB1($F164)="FFFFFF",0,4)</f>
        <v>4</v>
      </c>
    </row>
    <row r="165" spans="1:7" ht="42.75">
      <c r="A165" t="s">
        <v>6651</v>
      </c>
      <c r="B165" s="35" t="s">
        <v>593</v>
      </c>
      <c r="C165" s="36" t="s">
        <v>594</v>
      </c>
      <c r="D165" s="33" t="s">
        <v>595</v>
      </c>
      <c r="E165" s="34" t="s">
        <v>596</v>
      </c>
      <c r="F165" s="33" t="s">
        <v>597</v>
      </c>
      <c r="G165">
        <f>IF(getRGB1($C165)="FFFFFF",0,1)+IF(getRGB1($D165)="FFFFFF",0,2)+IF(getRGB1($E165)="FFFFFF",0,3)+IF(getRGB1($F165)="FFFFFF",0,4)</f>
        <v>3</v>
      </c>
    </row>
    <row r="166" spans="1:7" ht="28.5">
      <c r="A166" t="s">
        <v>6651</v>
      </c>
      <c r="B166" s="32" t="s">
        <v>598</v>
      </c>
      <c r="C166" s="33" t="s">
        <v>599</v>
      </c>
      <c r="D166" s="33" t="s">
        <v>600</v>
      </c>
      <c r="E166" s="33" t="s">
        <v>601</v>
      </c>
      <c r="F166" s="34" t="s">
        <v>602</v>
      </c>
      <c r="G166">
        <f>IF(getRGB1($C166)="FFFFFF",0,1)+IF(getRGB1($D166)="FFFFFF",0,2)+IF(getRGB1($E166)="FFFFFF",0,3)+IF(getRGB1($F166)="FFFFFF",0,4)</f>
        <v>4</v>
      </c>
    </row>
    <row r="167" spans="1:7">
      <c r="A167" t="s">
        <v>6651</v>
      </c>
      <c r="B167" s="32" t="s">
        <v>603</v>
      </c>
      <c r="C167" s="33" t="s">
        <v>604</v>
      </c>
      <c r="D167" s="33" t="s">
        <v>531</v>
      </c>
      <c r="E167" s="34" t="s">
        <v>605</v>
      </c>
      <c r="F167" s="33" t="s">
        <v>533</v>
      </c>
      <c r="G167">
        <f>IF(getRGB1($C167)="FFFFFF",0,1)+IF(getRGB1($D167)="FFFFFF",0,2)+IF(getRGB1($E167)="FFFFFF",0,3)+IF(getRGB1($F167)="FFFFFF",0,4)</f>
        <v>3</v>
      </c>
    </row>
    <row r="168" spans="1:7">
      <c r="A168" t="s">
        <v>6651</v>
      </c>
      <c r="B168" s="32" t="s">
        <v>606</v>
      </c>
      <c r="C168" s="33" t="s">
        <v>607</v>
      </c>
      <c r="D168" s="33" t="s">
        <v>608</v>
      </c>
      <c r="E168" s="33" t="s">
        <v>609</v>
      </c>
      <c r="F168" s="34" t="s">
        <v>610</v>
      </c>
      <c r="G168">
        <f>IF(getRGB1($C168)="FFFFFF",0,1)+IF(getRGB1($D168)="FFFFFF",0,2)+IF(getRGB1($E168)="FFFFFF",0,3)+IF(getRGB1($F168)="FFFFFF",0,4)</f>
        <v>4</v>
      </c>
    </row>
    <row r="169" spans="1:7">
      <c r="A169" t="s">
        <v>6651</v>
      </c>
      <c r="B169" s="32" t="s">
        <v>611</v>
      </c>
      <c r="C169" s="33" t="s">
        <v>533</v>
      </c>
      <c r="D169" s="34" t="s">
        <v>612</v>
      </c>
      <c r="E169" s="33" t="s">
        <v>613</v>
      </c>
      <c r="F169" s="33" t="s">
        <v>614</v>
      </c>
      <c r="G169">
        <f>IF(getRGB1($C169)="FFFFFF",0,1)+IF(getRGB1($D169)="FFFFFF",0,2)+IF(getRGB1($E169)="FFFFFF",0,3)+IF(getRGB1($F169)="FFFFFF",0,4)</f>
        <v>2</v>
      </c>
    </row>
    <row r="170" spans="1:7" ht="71.25">
      <c r="A170" t="s">
        <v>6651</v>
      </c>
      <c r="B170" s="33" t="s">
        <v>615</v>
      </c>
      <c r="C170" s="34" t="s">
        <v>616</v>
      </c>
      <c r="D170" s="33" t="s">
        <v>617</v>
      </c>
      <c r="E170" s="33" t="s">
        <v>618</v>
      </c>
      <c r="F170" s="33" t="s">
        <v>220</v>
      </c>
      <c r="G170">
        <f>IF(getRGB1($C170)="FFFFFF",0,1)+IF(getRGB1($D170)="FFFFFF",0,2)+IF(getRGB1($E170)="FFFFFF",0,3)+IF(getRGB1($F170)="FFFFFF",0,4)</f>
        <v>1</v>
      </c>
    </row>
    <row r="171" spans="1:7" ht="71.25">
      <c r="A171" t="s">
        <v>6651</v>
      </c>
      <c r="B171" s="33" t="s">
        <v>619</v>
      </c>
      <c r="C171" s="33" t="s">
        <v>616</v>
      </c>
      <c r="D171" s="33" t="s">
        <v>620</v>
      </c>
      <c r="E171" s="34" t="s">
        <v>621</v>
      </c>
      <c r="F171" s="33" t="s">
        <v>618</v>
      </c>
      <c r="G171">
        <f>IF(getRGB1($C171)="FFFFFF",0,1)+IF(getRGB1($D171)="FFFFFF",0,2)+IF(getRGB1($E171)="FFFFFF",0,3)+IF(getRGB1($F171)="FFFFFF",0,4)</f>
        <v>3</v>
      </c>
    </row>
    <row r="172" spans="1:7">
      <c r="A172" t="s">
        <v>6651</v>
      </c>
      <c r="B172" s="32" t="s">
        <v>622</v>
      </c>
      <c r="C172" s="33" t="s">
        <v>623</v>
      </c>
      <c r="D172" s="34" t="s">
        <v>624</v>
      </c>
      <c r="E172" s="33" t="s">
        <v>625</v>
      </c>
      <c r="F172" s="33" t="s">
        <v>61</v>
      </c>
      <c r="G172">
        <f>IF(getRGB1($C172)="FFFFFF",0,1)+IF(getRGB1($D172)="FFFFFF",0,2)+IF(getRGB1($E172)="FFFFFF",0,3)+IF(getRGB1($F172)="FFFFFF",0,4)</f>
        <v>2</v>
      </c>
    </row>
    <row r="173" spans="1:7" ht="57">
      <c r="A173" t="s">
        <v>6651</v>
      </c>
      <c r="B173" s="33" t="s">
        <v>626</v>
      </c>
      <c r="C173" s="34" t="b">
        <v>1</v>
      </c>
      <c r="D173" s="33" t="b">
        <v>0</v>
      </c>
      <c r="E173" s="33" t="s">
        <v>61</v>
      </c>
      <c r="F173" s="33"/>
      <c r="G173">
        <f>IF(getRGB1($C173)="FFFFFF",0,1)+IF(getRGB1($D173)="FFFFFF",0,2)+IF(getRGB1($E173)="FFFFFF",0,3)+IF(getRGB1($F173)="FFFFFF",0,4)</f>
        <v>1</v>
      </c>
    </row>
    <row r="174" spans="1:7" ht="42.75">
      <c r="A174" t="s">
        <v>6651</v>
      </c>
      <c r="B174" s="33" t="s">
        <v>627</v>
      </c>
      <c r="C174" s="33" t="s">
        <v>628</v>
      </c>
      <c r="D174" s="33" t="s">
        <v>629</v>
      </c>
      <c r="E174" s="34" t="s">
        <v>630</v>
      </c>
      <c r="F174" s="33" t="s">
        <v>61</v>
      </c>
      <c r="G174">
        <f>IF(getRGB1($C174)="FFFFFF",0,1)+IF(getRGB1($D174)="FFFFFF",0,2)+IF(getRGB1($E174)="FFFFFF",0,3)+IF(getRGB1($F174)="FFFFFF",0,4)</f>
        <v>3</v>
      </c>
    </row>
    <row r="175" spans="1:7" ht="57">
      <c r="A175" t="s">
        <v>6651</v>
      </c>
      <c r="B175" s="33" t="s">
        <v>631</v>
      </c>
      <c r="C175" s="34" t="b">
        <v>1</v>
      </c>
      <c r="D175" s="33" t="b">
        <v>0</v>
      </c>
      <c r="E175" s="33"/>
      <c r="F175" s="33"/>
      <c r="G175">
        <f>IF(getRGB1($C175)="FFFFFF",0,1)+IF(getRGB1($D175)="FFFFFF",0,2)+IF(getRGB1($E175)="FFFFFF",0,3)+IF(getRGB1($F175)="FFFFFF",0,4)</f>
        <v>1</v>
      </c>
    </row>
    <row r="176" spans="1:7" ht="42.75">
      <c r="A176" t="s">
        <v>6651</v>
      </c>
      <c r="B176" s="33" t="s">
        <v>632</v>
      </c>
      <c r="C176" s="33" t="s">
        <v>633</v>
      </c>
      <c r="D176" s="33" t="s">
        <v>634</v>
      </c>
      <c r="E176" s="34" t="s">
        <v>635</v>
      </c>
      <c r="F176" s="33" t="s">
        <v>61</v>
      </c>
      <c r="G176">
        <f>IF(getRGB1($C176)="FFFFFF",0,1)+IF(getRGB1($D176)="FFFFFF",0,2)+IF(getRGB1($E176)="FFFFFF",0,3)+IF(getRGB1($F176)="FFFFFF",0,4)</f>
        <v>3</v>
      </c>
    </row>
    <row r="177" spans="1:7" ht="42.75">
      <c r="A177" t="s">
        <v>6651</v>
      </c>
      <c r="B177" s="33" t="s">
        <v>636</v>
      </c>
      <c r="C177" s="34" t="b">
        <v>1</v>
      </c>
      <c r="D177" s="33" t="b">
        <v>0</v>
      </c>
      <c r="E177" s="33"/>
      <c r="F177" s="33"/>
      <c r="G177">
        <f>IF(getRGB1($C177)="FFFFFF",0,1)+IF(getRGB1($D177)="FFFFFF",0,2)+IF(getRGB1($E177)="FFFFFF",0,3)+IF(getRGB1($F177)="FFFFFF",0,4)</f>
        <v>1</v>
      </c>
    </row>
    <row r="178" spans="1:7" ht="142.5">
      <c r="A178" t="s">
        <v>6651</v>
      </c>
      <c r="B178" s="33" t="s">
        <v>637</v>
      </c>
      <c r="C178" s="33" t="s">
        <v>638</v>
      </c>
      <c r="D178" s="34" t="s">
        <v>639</v>
      </c>
      <c r="E178" s="33" t="s">
        <v>640</v>
      </c>
      <c r="F178" s="33" t="s">
        <v>61</v>
      </c>
      <c r="G178">
        <f>IF(getRGB1($C178)="FFFFFF",0,1)+IF(getRGB1($D178)="FFFFFF",0,2)+IF(getRGB1($E178)="FFFFFF",0,3)+IF(getRGB1($F178)="FFFFFF",0,4)</f>
        <v>2</v>
      </c>
    </row>
    <row r="179" spans="1:7" ht="57">
      <c r="A179" t="s">
        <v>6651</v>
      </c>
      <c r="B179" s="33" t="s">
        <v>641</v>
      </c>
      <c r="C179" s="34" t="b">
        <v>1</v>
      </c>
      <c r="D179" s="33" t="b">
        <v>0</v>
      </c>
      <c r="E179" s="33"/>
      <c r="F179" s="33"/>
      <c r="G179">
        <f>IF(getRGB1($C179)="FFFFFF",0,1)+IF(getRGB1($D179)="FFFFFF",0,2)+IF(getRGB1($E179)="FFFFFF",0,3)+IF(getRGB1($F179)="FFFFFF",0,4)</f>
        <v>1</v>
      </c>
    </row>
    <row r="180" spans="1:7" ht="28.5">
      <c r="A180" t="s">
        <v>6651</v>
      </c>
      <c r="B180" s="37" t="s">
        <v>642</v>
      </c>
      <c r="C180" s="34" t="s">
        <v>643</v>
      </c>
      <c r="D180" s="33" t="s">
        <v>644</v>
      </c>
      <c r="E180" s="33" t="s">
        <v>645</v>
      </c>
      <c r="F180" s="33" t="s">
        <v>66</v>
      </c>
      <c r="G180">
        <f>IF(getRGB1($C180)="FFFFFF",0,1)+IF(getRGB1($D180)="FFFFFF",0,2)+IF(getRGB1($E180)="FFFFFF",0,3)+IF(getRGB1($F180)="FFFFFF",0,4)</f>
        <v>1</v>
      </c>
    </row>
    <row r="181" spans="1:7" ht="185.25">
      <c r="A181" t="s">
        <v>6651</v>
      </c>
      <c r="B181" s="33" t="s">
        <v>646</v>
      </c>
      <c r="C181" s="33" t="s">
        <v>647</v>
      </c>
      <c r="D181" s="34" t="s">
        <v>648</v>
      </c>
      <c r="E181" s="33" t="s">
        <v>649</v>
      </c>
      <c r="F181" s="33" t="s">
        <v>61</v>
      </c>
      <c r="G181">
        <f>IF(getRGB1($C181)="FFFFFF",0,1)+IF(getRGB1($D181)="FFFFFF",0,2)+IF(getRGB1($E181)="FFFFFF",0,3)+IF(getRGB1($F181)="FFFFFF",0,4)</f>
        <v>2</v>
      </c>
    </row>
    <row r="182" spans="1:7" ht="42.75">
      <c r="A182" t="s">
        <v>6651</v>
      </c>
      <c r="B182" s="33" t="s">
        <v>650</v>
      </c>
      <c r="C182" s="34" t="s">
        <v>651</v>
      </c>
      <c r="D182" s="33" t="s">
        <v>652</v>
      </c>
      <c r="E182" s="33" t="s">
        <v>653</v>
      </c>
      <c r="F182" s="33" t="s">
        <v>61</v>
      </c>
      <c r="G182">
        <f>IF(getRGB1($C182)="FFFFFF",0,1)+IF(getRGB1($D182)="FFFFFF",0,2)+IF(getRGB1($E182)="FFFFFF",0,3)+IF(getRGB1($F182)="FFFFFF",0,4)</f>
        <v>1</v>
      </c>
    </row>
    <row r="183" spans="1:7" ht="71.25">
      <c r="A183" t="s">
        <v>6651</v>
      </c>
      <c r="B183" s="33" t="s">
        <v>654</v>
      </c>
      <c r="C183" s="33" t="s">
        <v>655</v>
      </c>
      <c r="D183" s="34" t="s">
        <v>656</v>
      </c>
      <c r="E183" s="33" t="s">
        <v>657</v>
      </c>
      <c r="F183" s="33" t="s">
        <v>61</v>
      </c>
      <c r="G183">
        <f>IF(getRGB1($C183)="FFFFFF",0,1)+IF(getRGB1($D183)="FFFFFF",0,2)+IF(getRGB1($E183)="FFFFFF",0,3)+IF(getRGB1($F183)="FFFFFF",0,4)</f>
        <v>2</v>
      </c>
    </row>
    <row r="184" spans="1:7" ht="57">
      <c r="A184" t="s">
        <v>6651</v>
      </c>
      <c r="B184" s="33" t="s">
        <v>658</v>
      </c>
      <c r="C184" s="33" t="s">
        <v>659</v>
      </c>
      <c r="D184" s="33" t="s">
        <v>660</v>
      </c>
      <c r="E184" s="34" t="s">
        <v>661</v>
      </c>
      <c r="F184" s="33" t="s">
        <v>61</v>
      </c>
      <c r="G184">
        <f>IF(getRGB1($C184)="FFFFFF",0,1)+IF(getRGB1($D184)="FFFFFF",0,2)+IF(getRGB1($E184)="FFFFFF",0,3)+IF(getRGB1($F184)="FFFFFF",0,4)</f>
        <v>3</v>
      </c>
    </row>
    <row r="185" spans="1:7" ht="28.5">
      <c r="A185" t="s">
        <v>6651</v>
      </c>
      <c r="B185" s="33" t="s">
        <v>662</v>
      </c>
      <c r="C185" s="38" t="s">
        <v>663</v>
      </c>
      <c r="D185" s="34" t="s">
        <v>664</v>
      </c>
      <c r="E185" s="33" t="s">
        <v>665</v>
      </c>
      <c r="F185" s="33" t="s">
        <v>61</v>
      </c>
      <c r="G185">
        <f>IF(getRGB1($C185)="FFFFFF",0,1)+IF(getRGB1($D185)="FFFFFF",0,2)+IF(getRGB1($E185)="FFFFFF",0,3)+IF(getRGB1($F185)="FFFFFF",0,4)</f>
        <v>2</v>
      </c>
    </row>
    <row r="186" spans="1:7" ht="28.5">
      <c r="A186" t="s">
        <v>6651</v>
      </c>
      <c r="B186" s="33" t="s">
        <v>666</v>
      </c>
      <c r="C186" s="33" t="s">
        <v>667</v>
      </c>
      <c r="D186" s="34" t="s">
        <v>668</v>
      </c>
      <c r="E186" s="33" t="s">
        <v>669</v>
      </c>
      <c r="F186" s="33" t="s">
        <v>61</v>
      </c>
      <c r="G186">
        <f>IF(getRGB1($C186)="FFFFFF",0,1)+IF(getRGB1($D186)="FFFFFF",0,2)+IF(getRGB1($E186)="FFFFFF",0,3)+IF(getRGB1($F186)="FFFFFF",0,4)</f>
        <v>2</v>
      </c>
    </row>
    <row r="187" spans="1:7">
      <c r="A187" t="s">
        <v>6651</v>
      </c>
      <c r="B187" s="33" t="s">
        <v>670</v>
      </c>
      <c r="C187" s="33">
        <v>12</v>
      </c>
      <c r="D187" s="34">
        <v>6</v>
      </c>
      <c r="E187" s="33">
        <v>4</v>
      </c>
      <c r="F187" s="33">
        <v>16</v>
      </c>
      <c r="G187">
        <f>IF(getRGB1($C187)="FFFFFF",0,1)+IF(getRGB1($D187)="FFFFFF",0,2)+IF(getRGB1($E187)="FFFFFF",0,3)+IF(getRGB1($F187)="FFFFFF",0,4)</f>
        <v>2</v>
      </c>
    </row>
    <row r="188" spans="1:7" ht="71.25">
      <c r="A188" t="s">
        <v>6651</v>
      </c>
      <c r="B188" s="33" t="s">
        <v>671</v>
      </c>
      <c r="C188" s="33" t="s">
        <v>672</v>
      </c>
      <c r="D188" s="33" t="s">
        <v>673</v>
      </c>
      <c r="E188" s="33" t="s">
        <v>674</v>
      </c>
      <c r="F188" s="34" t="s">
        <v>675</v>
      </c>
      <c r="G188">
        <f>IF(getRGB1($C188)="FFFFFF",0,1)+IF(getRGB1($D188)="FFFFFF",0,2)+IF(getRGB1($E188)="FFFFFF",0,3)+IF(getRGB1($F188)="FFFFFF",0,4)</f>
        <v>4</v>
      </c>
    </row>
    <row r="189" spans="1:7" ht="28.5">
      <c r="A189" t="s">
        <v>6651</v>
      </c>
      <c r="B189" s="33" t="s">
        <v>676</v>
      </c>
      <c r="C189" s="33" t="s">
        <v>677</v>
      </c>
      <c r="D189" s="34" t="s">
        <v>678</v>
      </c>
      <c r="E189" s="33" t="s">
        <v>679</v>
      </c>
      <c r="F189" s="33" t="s">
        <v>61</v>
      </c>
      <c r="G189">
        <f>IF(getRGB1($C189)="FFFFFF",0,1)+IF(getRGB1($D189)="FFFFFF",0,2)+IF(getRGB1($E189)="FFFFFF",0,3)+IF(getRGB1($F189)="FFFFFF",0,4)</f>
        <v>2</v>
      </c>
    </row>
    <row r="190" spans="1:7" ht="71.25">
      <c r="A190" t="s">
        <v>6651</v>
      </c>
      <c r="B190" s="33" t="s">
        <v>680</v>
      </c>
      <c r="C190" s="33" t="s">
        <v>681</v>
      </c>
      <c r="D190" s="33" t="s">
        <v>682</v>
      </c>
      <c r="E190" s="34" t="s">
        <v>683</v>
      </c>
      <c r="F190" s="33" t="s">
        <v>684</v>
      </c>
      <c r="G190">
        <f>IF(getRGB1($C190)="FFFFFF",0,1)+IF(getRGB1($D190)="FFFFFF",0,2)+IF(getRGB1($E190)="FFFFFF",0,3)+IF(getRGB1($F190)="FFFFFF",0,4)</f>
        <v>3</v>
      </c>
    </row>
    <row r="191" spans="1:7" ht="57">
      <c r="A191" t="s">
        <v>6651</v>
      </c>
      <c r="B191" s="37" t="s">
        <v>685</v>
      </c>
      <c r="C191" s="38" t="s">
        <v>664</v>
      </c>
      <c r="D191" s="34" t="s">
        <v>686</v>
      </c>
      <c r="E191" s="33" t="s">
        <v>687</v>
      </c>
      <c r="F191" s="33" t="s">
        <v>688</v>
      </c>
      <c r="G191">
        <f>IF(getRGB1($C191)="FFFFFF",0,1)+IF(getRGB1($D191)="FFFFFF",0,2)+IF(getRGB1($E191)="FFFFFF",0,3)+IF(getRGB1($F191)="FFFFFF",0,4)</f>
        <v>2</v>
      </c>
    </row>
    <row r="192" spans="1:7" ht="71.25">
      <c r="A192" t="s">
        <v>6651</v>
      </c>
      <c r="B192" s="37" t="s">
        <v>689</v>
      </c>
      <c r="C192" s="38" t="s">
        <v>690</v>
      </c>
      <c r="D192" s="34" t="s">
        <v>691</v>
      </c>
      <c r="E192" s="33" t="s">
        <v>692</v>
      </c>
      <c r="F192" s="33" t="s">
        <v>693</v>
      </c>
      <c r="G192">
        <f>IF(getRGB1($C192)="FFFFFF",0,1)+IF(getRGB1($D192)="FFFFFF",0,2)+IF(getRGB1($E192)="FFFFFF",0,3)+IF(getRGB1($F192)="FFFFFF",0,4)</f>
        <v>2</v>
      </c>
    </row>
    <row r="193" spans="1:7" ht="42.75">
      <c r="A193" t="s">
        <v>6651</v>
      </c>
      <c r="B193" s="37" t="s">
        <v>694</v>
      </c>
      <c r="C193" s="34" t="s">
        <v>690</v>
      </c>
      <c r="D193" s="33" t="s">
        <v>695</v>
      </c>
      <c r="E193" s="33" t="s">
        <v>696</v>
      </c>
      <c r="F193" s="33" t="s">
        <v>697</v>
      </c>
      <c r="G193">
        <f>IF(getRGB1($C193)="FFFFFF",0,1)+IF(getRGB1($D193)="FFFFFF",0,2)+IF(getRGB1($E193)="FFFFFF",0,3)+IF(getRGB1($F193)="FFFFFF",0,4)</f>
        <v>1</v>
      </c>
    </row>
    <row r="194" spans="1:7" ht="28.5">
      <c r="A194" t="s">
        <v>6651</v>
      </c>
      <c r="B194" s="37" t="s">
        <v>698</v>
      </c>
      <c r="C194" s="33" t="s">
        <v>699</v>
      </c>
      <c r="D194" s="34" t="s">
        <v>700</v>
      </c>
      <c r="E194" s="33" t="s">
        <v>701</v>
      </c>
      <c r="F194" s="33" t="s">
        <v>702</v>
      </c>
      <c r="G194">
        <f>IF(getRGB1($C194)="FFFFFF",0,1)+IF(getRGB1($D194)="FFFFFF",0,2)+IF(getRGB1($E194)="FFFFFF",0,3)+IF(getRGB1($F194)="FFFFFF",0,4)</f>
        <v>2</v>
      </c>
    </row>
    <row r="195" spans="1:7" ht="28.5">
      <c r="A195" t="s">
        <v>6651</v>
      </c>
      <c r="B195" s="37" t="s">
        <v>703</v>
      </c>
      <c r="C195" s="38">
        <v>13</v>
      </c>
      <c r="D195" s="33">
        <v>14</v>
      </c>
      <c r="E195" s="34">
        <v>15</v>
      </c>
      <c r="F195" s="33">
        <v>16</v>
      </c>
      <c r="G195">
        <f>IF(getRGB1($C195)="FFFFFF",0,1)+IF(getRGB1($D195)="FFFFFF",0,2)+IF(getRGB1($E195)="FFFFFF",0,3)+IF(getRGB1($F195)="FFFFFF",0,4)</f>
        <v>3</v>
      </c>
    </row>
    <row r="196" spans="1:7" ht="42.75">
      <c r="A196" t="s">
        <v>6651</v>
      </c>
      <c r="B196" s="37" t="s">
        <v>704</v>
      </c>
      <c r="C196" s="38" t="s">
        <v>705</v>
      </c>
      <c r="D196" s="33" t="s">
        <v>706</v>
      </c>
      <c r="E196" s="33" t="s">
        <v>707</v>
      </c>
      <c r="F196" s="34" t="s">
        <v>708</v>
      </c>
      <c r="G196">
        <f>IF(getRGB1($C196)="FFFFFF",0,1)+IF(getRGB1($D196)="FFFFFF",0,2)+IF(getRGB1($E196)="FFFFFF",0,3)+IF(getRGB1($F196)="FFFFFF",0,4)</f>
        <v>4</v>
      </c>
    </row>
    <row r="197" spans="1:7" ht="28.5">
      <c r="A197" t="s">
        <v>6651</v>
      </c>
      <c r="B197" s="37" t="s">
        <v>709</v>
      </c>
      <c r="C197" s="38" t="s">
        <v>710</v>
      </c>
      <c r="D197" s="33" t="s">
        <v>711</v>
      </c>
      <c r="E197" s="34" t="s">
        <v>712</v>
      </c>
      <c r="F197" s="33" t="s">
        <v>61</v>
      </c>
      <c r="G197">
        <f>IF(getRGB1($C197)="FFFFFF",0,1)+IF(getRGB1($D197)="FFFFFF",0,2)+IF(getRGB1($E197)="FFFFFF",0,3)+IF(getRGB1($F197)="FFFFFF",0,4)</f>
        <v>3</v>
      </c>
    </row>
    <row r="198" spans="1:7" ht="42.75">
      <c r="A198" t="s">
        <v>6651</v>
      </c>
      <c r="B198" s="37" t="s">
        <v>713</v>
      </c>
      <c r="C198" s="38" t="s">
        <v>714</v>
      </c>
      <c r="D198" s="38" t="s">
        <v>715</v>
      </c>
      <c r="E198" s="38" t="s">
        <v>716</v>
      </c>
      <c r="F198" s="34" t="s">
        <v>717</v>
      </c>
      <c r="G198">
        <f>IF(getRGB1($C198)="FFFFFF",0,1)+IF(getRGB1($D198)="FFFFFF",0,2)+IF(getRGB1($E198)="FFFFFF",0,3)+IF(getRGB1($F198)="FFFFFF",0,4)</f>
        <v>4</v>
      </c>
    </row>
    <row r="199" spans="1:7" ht="42.75">
      <c r="A199" t="s">
        <v>6651</v>
      </c>
      <c r="B199" s="37" t="s">
        <v>718</v>
      </c>
      <c r="C199" s="34" t="s">
        <v>714</v>
      </c>
      <c r="D199" s="38" t="s">
        <v>719</v>
      </c>
      <c r="E199" s="38" t="s">
        <v>716</v>
      </c>
      <c r="F199" s="33" t="s">
        <v>717</v>
      </c>
      <c r="G199">
        <f>IF(getRGB1($C199)="FFFFFF",0,1)+IF(getRGB1($D199)="FFFFFF",0,2)+IF(getRGB1($E199)="FFFFFF",0,3)+IF(getRGB1($F199)="FFFFFF",0,4)</f>
        <v>1</v>
      </c>
    </row>
    <row r="200" spans="1:7" ht="25.5">
      <c r="A200" t="s">
        <v>6651</v>
      </c>
      <c r="B200" s="39" t="s">
        <v>720</v>
      </c>
      <c r="C200" s="40" t="s">
        <v>721</v>
      </c>
      <c r="D200" s="41" t="s">
        <v>722</v>
      </c>
      <c r="E200" s="41" t="s">
        <v>723</v>
      </c>
      <c r="F200" s="42" t="s">
        <v>25</v>
      </c>
      <c r="G200">
        <f>IF(getRGB1($C200)="FFFFFF",0,1)+IF(getRGB1($D200)="FFFFFF",0,2)+IF(getRGB1($E200)="FFFFFF",0,3)+IF(getRGB1($F200)="FFFFFF",0,4)</f>
        <v>1</v>
      </c>
    </row>
    <row r="201" spans="1:7">
      <c r="A201" t="s">
        <v>6651</v>
      </c>
      <c r="B201" s="39" t="s">
        <v>724</v>
      </c>
      <c r="C201" s="40" t="s">
        <v>725</v>
      </c>
      <c r="D201" s="41" t="s">
        <v>726</v>
      </c>
      <c r="E201" s="41" t="s">
        <v>727</v>
      </c>
      <c r="F201" s="42" t="s">
        <v>66</v>
      </c>
      <c r="G201">
        <f>IF(getRGB1($C201)="FFFFFF",0,1)+IF(getRGB1($D201)="FFFFFF",0,2)+IF(getRGB1($E201)="FFFFFF",0,3)+IF(getRGB1($F201)="FFFFFF",0,4)</f>
        <v>1</v>
      </c>
    </row>
    <row r="202" spans="1:7" ht="25.5">
      <c r="A202" t="s">
        <v>6651</v>
      </c>
      <c r="B202" s="39" t="s">
        <v>728</v>
      </c>
      <c r="C202" s="40" t="s">
        <v>729</v>
      </c>
      <c r="D202" s="41" t="s">
        <v>730</v>
      </c>
      <c r="E202" s="41" t="s">
        <v>731</v>
      </c>
      <c r="F202" s="42" t="s">
        <v>732</v>
      </c>
      <c r="G202">
        <f>IF(getRGB1($C202)="FFFFFF",0,1)+IF(getRGB1($D202)="FFFFFF",0,2)+IF(getRGB1($E202)="FFFFFF",0,3)+IF(getRGB1($F202)="FFFFFF",0,4)</f>
        <v>1</v>
      </c>
    </row>
    <row r="203" spans="1:7" ht="38.25">
      <c r="A203" t="s">
        <v>6651</v>
      </c>
      <c r="B203" s="39" t="s">
        <v>733</v>
      </c>
      <c r="C203" s="43" t="s">
        <v>734</v>
      </c>
      <c r="D203" s="44" t="s">
        <v>735</v>
      </c>
      <c r="E203" s="41" t="s">
        <v>736</v>
      </c>
      <c r="F203" s="42" t="s">
        <v>737</v>
      </c>
      <c r="G203">
        <f>IF(getRGB1($C203)="FFFFFF",0,1)+IF(getRGB1($D203)="FFFFFF",0,2)+IF(getRGB1($E203)="FFFFFF",0,3)+IF(getRGB1($F203)="FFFFFF",0,4)</f>
        <v>1</v>
      </c>
    </row>
    <row r="204" spans="1:7" ht="38.25">
      <c r="A204" t="s">
        <v>6651</v>
      </c>
      <c r="B204" s="39" t="s">
        <v>738</v>
      </c>
      <c r="C204" s="43" t="s">
        <v>739</v>
      </c>
      <c r="D204" s="41" t="s">
        <v>736</v>
      </c>
      <c r="E204" s="41" t="s">
        <v>737</v>
      </c>
      <c r="F204" s="42" t="s">
        <v>740</v>
      </c>
      <c r="G204">
        <f>IF(getRGB1($C204)="FFFFFF",0,1)+IF(getRGB1($D204)="FFFFFF",0,2)+IF(getRGB1($E204)="FFFFFF",0,3)+IF(getRGB1($F204)="FFFFFF",0,4)</f>
        <v>1</v>
      </c>
    </row>
    <row r="205" spans="1:7" ht="38.25">
      <c r="A205" t="s">
        <v>6651</v>
      </c>
      <c r="B205" s="39" t="s">
        <v>741</v>
      </c>
      <c r="C205" s="43" t="s">
        <v>742</v>
      </c>
      <c r="D205" s="41" t="s">
        <v>743</v>
      </c>
      <c r="E205" s="41" t="s">
        <v>744</v>
      </c>
      <c r="F205" s="42" t="s">
        <v>745</v>
      </c>
      <c r="G205">
        <f>IF(getRGB1($C205)="FFFFFF",0,1)+IF(getRGB1($D205)="FFFFFF",0,2)+IF(getRGB1($E205)="FFFFFF",0,3)+IF(getRGB1($F205)="FFFFFF",0,4)</f>
        <v>1</v>
      </c>
    </row>
    <row r="206" spans="1:7">
      <c r="A206" t="s">
        <v>6651</v>
      </c>
      <c r="B206" s="39" t="s">
        <v>746</v>
      </c>
      <c r="C206" s="43" t="s">
        <v>747</v>
      </c>
      <c r="D206" s="41" t="s">
        <v>748</v>
      </c>
      <c r="E206" s="41" t="s">
        <v>749</v>
      </c>
      <c r="F206" s="42" t="s">
        <v>750</v>
      </c>
      <c r="G206">
        <f>IF(getRGB1($C206)="FFFFFF",0,1)+IF(getRGB1($D206)="FFFFFF",0,2)+IF(getRGB1($E206)="FFFFFF",0,3)+IF(getRGB1($F206)="FFFFFF",0,4)</f>
        <v>1</v>
      </c>
    </row>
    <row r="207" spans="1:7" ht="25.5">
      <c r="A207" t="s">
        <v>6651</v>
      </c>
      <c r="B207" s="39" t="s">
        <v>751</v>
      </c>
      <c r="C207" s="43" t="s">
        <v>752</v>
      </c>
      <c r="D207" s="41" t="s">
        <v>753</v>
      </c>
      <c r="E207" s="41" t="s">
        <v>137</v>
      </c>
      <c r="F207" s="42" t="s">
        <v>174</v>
      </c>
      <c r="G207">
        <f>IF(getRGB1($C207)="FFFFFF",0,1)+IF(getRGB1($D207)="FFFFFF",0,2)+IF(getRGB1($E207)="FFFFFF",0,3)+IF(getRGB1($F207)="FFFFFF",0,4)</f>
        <v>1</v>
      </c>
    </row>
    <row r="208" spans="1:7" ht="38.25">
      <c r="A208" t="s">
        <v>6651</v>
      </c>
      <c r="B208" s="39" t="s">
        <v>754</v>
      </c>
      <c r="C208" s="40" t="s">
        <v>755</v>
      </c>
      <c r="D208" s="41" t="s">
        <v>756</v>
      </c>
      <c r="E208" s="41" t="s">
        <v>757</v>
      </c>
      <c r="F208" s="42" t="s">
        <v>66</v>
      </c>
      <c r="G208">
        <f>IF(getRGB1($C208)="FFFFFF",0,1)+IF(getRGB1($D208)="FFFFFF",0,2)+IF(getRGB1($E208)="FFFFFF",0,3)+IF(getRGB1($F208)="FFFFFF",0,4)</f>
        <v>1</v>
      </c>
    </row>
    <row r="209" spans="1:7" ht="38.25">
      <c r="A209" t="s">
        <v>6651</v>
      </c>
      <c r="B209" s="39" t="s">
        <v>758</v>
      </c>
      <c r="C209" s="40">
        <v>48</v>
      </c>
      <c r="D209" s="41">
        <v>250</v>
      </c>
      <c r="E209" s="41">
        <v>40</v>
      </c>
      <c r="F209" s="42">
        <v>0</v>
      </c>
      <c r="G209">
        <f>IF(getRGB1($C209)="FFFFFF",0,1)+IF(getRGB1($D209)="FFFFFF",0,2)+IF(getRGB1($E209)="FFFFFF",0,3)+IF(getRGB1($F209)="FFFFFF",0,4)</f>
        <v>1</v>
      </c>
    </row>
    <row r="210" spans="1:7" ht="38.25">
      <c r="A210" t="s">
        <v>6651</v>
      </c>
      <c r="B210" s="39" t="s">
        <v>759</v>
      </c>
      <c r="C210" s="40" t="s">
        <v>755</v>
      </c>
      <c r="D210" s="41" t="s">
        <v>756</v>
      </c>
      <c r="E210" s="41" t="s">
        <v>757</v>
      </c>
      <c r="F210" s="42" t="s">
        <v>66</v>
      </c>
      <c r="G210">
        <f>IF(getRGB1($C210)="FFFFFF",0,1)+IF(getRGB1($D210)="FFFFFF",0,2)+IF(getRGB1($E210)="FFFFFF",0,3)+IF(getRGB1($F210)="FFFFFF",0,4)</f>
        <v>1</v>
      </c>
    </row>
    <row r="211" spans="1:7" ht="38.25">
      <c r="A211" t="s">
        <v>6651</v>
      </c>
      <c r="B211" s="39" t="s">
        <v>760</v>
      </c>
      <c r="C211" s="40">
        <v>48</v>
      </c>
      <c r="D211" s="41">
        <v>250</v>
      </c>
      <c r="E211" s="41">
        <v>40</v>
      </c>
      <c r="F211" s="42">
        <v>0</v>
      </c>
      <c r="G211">
        <f>IF(getRGB1($C211)="FFFFFF",0,1)+IF(getRGB1($D211)="FFFFFF",0,2)+IF(getRGB1($E211)="FFFFFF",0,3)+IF(getRGB1($F211)="FFFFFF",0,4)</f>
        <v>1</v>
      </c>
    </row>
    <row r="212" spans="1:7" ht="38.25">
      <c r="A212" t="s">
        <v>6651</v>
      </c>
      <c r="B212" s="39" t="s">
        <v>761</v>
      </c>
      <c r="C212" s="40" t="s">
        <v>762</v>
      </c>
      <c r="D212" s="41" t="s">
        <v>763</v>
      </c>
      <c r="E212" s="41" t="s">
        <v>764</v>
      </c>
      <c r="F212" s="42" t="s">
        <v>66</v>
      </c>
      <c r="G212">
        <f>IF(getRGB1($C212)="FFFFFF",0,1)+IF(getRGB1($D212)="FFFFFF",0,2)+IF(getRGB1($E212)="FFFFFF",0,3)+IF(getRGB1($F212)="FFFFFF",0,4)</f>
        <v>1</v>
      </c>
    </row>
    <row r="213" spans="1:7" ht="38.25">
      <c r="A213" t="s">
        <v>6651</v>
      </c>
      <c r="B213" s="39" t="s">
        <v>765</v>
      </c>
      <c r="C213" s="40" t="s">
        <v>762</v>
      </c>
      <c r="D213" s="41" t="s">
        <v>763</v>
      </c>
      <c r="E213" s="41" t="s">
        <v>764</v>
      </c>
      <c r="F213" s="42" t="s">
        <v>66</v>
      </c>
      <c r="G213">
        <f>IF(getRGB1($C213)="FFFFFF",0,1)+IF(getRGB1($D213)="FFFFFF",0,2)+IF(getRGB1($E213)="FFFFFF",0,3)+IF(getRGB1($F213)="FFFFFF",0,4)</f>
        <v>1</v>
      </c>
    </row>
    <row r="214" spans="1:7" ht="38.25">
      <c r="A214" t="s">
        <v>6651</v>
      </c>
      <c r="B214" s="39" t="s">
        <v>766</v>
      </c>
      <c r="C214" s="40" t="b">
        <v>1</v>
      </c>
      <c r="D214" s="41" t="b">
        <v>0</v>
      </c>
      <c r="E214" s="41"/>
      <c r="F214" s="42"/>
      <c r="G214">
        <f>IF(getRGB1($C214)="FFFFFF",0,1)+IF(getRGB1($D214)="FFFFFF",0,2)+IF(getRGB1($E214)="FFFFFF",0,3)+IF(getRGB1($F214)="FFFFFF",0,4)</f>
        <v>1</v>
      </c>
    </row>
    <row r="215" spans="1:7" ht="51">
      <c r="A215" t="s">
        <v>6651</v>
      </c>
      <c r="B215" s="39" t="s">
        <v>767</v>
      </c>
      <c r="C215" s="43" t="s">
        <v>768</v>
      </c>
      <c r="D215" s="44" t="s">
        <v>769</v>
      </c>
      <c r="E215" s="44" t="s">
        <v>770</v>
      </c>
      <c r="F215" s="44" t="s">
        <v>771</v>
      </c>
      <c r="G215">
        <f>IF(getRGB1($C215)="FFFFFF",0,1)+IF(getRGB1($D215)="FFFFFF",0,2)+IF(getRGB1($E215)="FFFFFF",0,3)+IF(getRGB1($F215)="FFFFFF",0,4)</f>
        <v>1</v>
      </c>
    </row>
    <row r="216" spans="1:7" ht="51">
      <c r="A216" t="s">
        <v>6651</v>
      </c>
      <c r="B216" s="39" t="s">
        <v>772</v>
      </c>
      <c r="C216" s="43" t="s">
        <v>773</v>
      </c>
      <c r="D216" s="44" t="s">
        <v>769</v>
      </c>
      <c r="E216" s="44" t="s">
        <v>770</v>
      </c>
      <c r="F216" s="44" t="s">
        <v>771</v>
      </c>
      <c r="G216">
        <f>IF(getRGB1($C216)="FFFFFF",0,1)+IF(getRGB1($D216)="FFFFFF",0,2)+IF(getRGB1($E216)="FFFFFF",0,3)+IF(getRGB1($F216)="FFFFFF",0,4)</f>
        <v>1</v>
      </c>
    </row>
    <row r="217" spans="1:7" ht="38.25">
      <c r="A217" t="s">
        <v>6651</v>
      </c>
      <c r="B217" s="39" t="s">
        <v>774</v>
      </c>
      <c r="C217" s="43" t="s">
        <v>775</v>
      </c>
      <c r="D217" s="41" t="s">
        <v>757</v>
      </c>
      <c r="E217" s="41" t="s">
        <v>740</v>
      </c>
      <c r="F217" s="42" t="s">
        <v>776</v>
      </c>
      <c r="G217">
        <f>IF(getRGB1($C217)="FFFFFF",0,1)+IF(getRGB1($D217)="FFFFFF",0,2)+IF(getRGB1($E217)="FFFFFF",0,3)+IF(getRGB1($F217)="FFFFFF",0,4)</f>
        <v>1</v>
      </c>
    </row>
    <row r="218" spans="1:7" ht="25.5">
      <c r="A218" t="s">
        <v>6651</v>
      </c>
      <c r="B218" s="39" t="s">
        <v>777</v>
      </c>
      <c r="C218" s="43" t="s">
        <v>778</v>
      </c>
      <c r="D218" s="41" t="s">
        <v>779</v>
      </c>
      <c r="E218" s="41" t="s">
        <v>780</v>
      </c>
      <c r="F218" s="42" t="s">
        <v>776</v>
      </c>
      <c r="G218">
        <f>IF(getRGB1($C218)="FFFFFF",0,1)+IF(getRGB1($D218)="FFFFFF",0,2)+IF(getRGB1($E218)="FFFFFF",0,3)+IF(getRGB1($F218)="FFFFFF",0,4)</f>
        <v>1</v>
      </c>
    </row>
    <row r="219" spans="1:7" ht="51">
      <c r="A219" t="s">
        <v>6651</v>
      </c>
      <c r="B219" s="39" t="s">
        <v>781</v>
      </c>
      <c r="C219" s="43" t="s">
        <v>782</v>
      </c>
      <c r="D219" s="44" t="s">
        <v>783</v>
      </c>
      <c r="E219" s="44" t="s">
        <v>778</v>
      </c>
      <c r="F219" s="42" t="s">
        <v>784</v>
      </c>
      <c r="G219">
        <f>IF(getRGB1($C219)="FFFFFF",0,1)+IF(getRGB1($D219)="FFFFFF",0,2)+IF(getRGB1($E219)="FFFFFF",0,3)+IF(getRGB1($F219)="FFFFFF",0,4)</f>
        <v>1</v>
      </c>
    </row>
    <row r="220" spans="1:7" ht="25.5">
      <c r="A220" t="s">
        <v>6651</v>
      </c>
      <c r="B220" s="39" t="s">
        <v>785</v>
      </c>
      <c r="C220" s="43" t="s">
        <v>786</v>
      </c>
      <c r="D220" s="44" t="s">
        <v>787</v>
      </c>
      <c r="E220" s="44" t="s">
        <v>788</v>
      </c>
      <c r="F220" s="44" t="s">
        <v>789</v>
      </c>
      <c r="G220">
        <f>IF(getRGB1($C220)="FFFFFF",0,1)+IF(getRGB1($D220)="FFFFFF",0,2)+IF(getRGB1($E220)="FFFFFF",0,3)+IF(getRGB1($F220)="FFFFFF",0,4)</f>
        <v>1</v>
      </c>
    </row>
    <row r="221" spans="1:7" ht="51">
      <c r="A221" t="s">
        <v>6651</v>
      </c>
      <c r="B221" s="39" t="s">
        <v>790</v>
      </c>
      <c r="C221" s="43" t="s">
        <v>791</v>
      </c>
      <c r="D221" s="44" t="s">
        <v>792</v>
      </c>
      <c r="E221" s="44" t="s">
        <v>793</v>
      </c>
      <c r="F221" s="44" t="s">
        <v>794</v>
      </c>
      <c r="G221">
        <f>IF(getRGB1($C221)="FFFFFF",0,1)+IF(getRGB1($D221)="FFFFFF",0,2)+IF(getRGB1($E221)="FFFFFF",0,3)+IF(getRGB1($F221)="FFFFFF",0,4)</f>
        <v>1</v>
      </c>
    </row>
    <row r="222" spans="1:7">
      <c r="A222" t="s">
        <v>6652</v>
      </c>
      <c r="B222" s="29" t="s">
        <v>795</v>
      </c>
      <c r="C222" s="9" t="s">
        <v>179</v>
      </c>
      <c r="D222" s="4" t="s">
        <v>76</v>
      </c>
      <c r="E222" s="7" t="s">
        <v>557</v>
      </c>
      <c r="F222" s="7" t="s">
        <v>796</v>
      </c>
      <c r="G222">
        <f>IF(getRGB1($C222)="FFFFFF",0,1)+IF(getRGB1($D222)="FFFFFF",0,2)+IF(getRGB1($E222)="FFFFFF",0,3)+IF(getRGB1($F222)="FFFFFF",0,4)</f>
        <v>2</v>
      </c>
    </row>
    <row r="223" spans="1:7">
      <c r="A223" t="s">
        <v>6652</v>
      </c>
      <c r="B223" s="29" t="s">
        <v>797</v>
      </c>
      <c r="C223" s="7" t="s">
        <v>179</v>
      </c>
      <c r="D223" s="7" t="s">
        <v>76</v>
      </c>
      <c r="E223" s="7" t="s">
        <v>557</v>
      </c>
      <c r="F223" s="4" t="s">
        <v>137</v>
      </c>
      <c r="G223">
        <f>IF(getRGB1($C223)="FFFFFF",0,1)+IF(getRGB1($D223)="FFFFFF",0,2)+IF(getRGB1($E223)="FFFFFF",0,3)+IF(getRGB1($F223)="FFFFFF",0,4)</f>
        <v>4</v>
      </c>
    </row>
    <row r="224" spans="1:7">
      <c r="A224" t="s">
        <v>6652</v>
      </c>
      <c r="B224" s="29" t="s">
        <v>798</v>
      </c>
      <c r="C224" s="7" t="s">
        <v>799</v>
      </c>
      <c r="D224" s="4" t="s">
        <v>800</v>
      </c>
      <c r="E224" s="7" t="s">
        <v>801</v>
      </c>
      <c r="F224" s="7" t="s">
        <v>457</v>
      </c>
      <c r="G224">
        <f>IF(getRGB1($C224)="FFFFFF",0,1)+IF(getRGB1($D224)="FFFFFF",0,2)+IF(getRGB1($E224)="FFFFFF",0,3)+IF(getRGB1($F224)="FFFFFF",0,4)</f>
        <v>2</v>
      </c>
    </row>
    <row r="225" spans="1:7">
      <c r="A225" t="s">
        <v>6652</v>
      </c>
      <c r="B225" s="29" t="s">
        <v>802</v>
      </c>
      <c r="C225" s="7" t="s">
        <v>803</v>
      </c>
      <c r="D225" s="7" t="s">
        <v>804</v>
      </c>
      <c r="E225" s="4" t="s">
        <v>805</v>
      </c>
      <c r="F225" s="7" t="s">
        <v>806</v>
      </c>
      <c r="G225">
        <f>IF(getRGB1($C225)="FFFFFF",0,1)+IF(getRGB1($D225)="FFFFFF",0,2)+IF(getRGB1($E225)="FFFFFF",0,3)+IF(getRGB1($F225)="FFFFFF",0,4)</f>
        <v>3</v>
      </c>
    </row>
    <row r="226" spans="1:7">
      <c r="A226" t="s">
        <v>6652</v>
      </c>
      <c r="B226" s="29" t="s">
        <v>807</v>
      </c>
      <c r="C226" s="7" t="s">
        <v>799</v>
      </c>
      <c r="D226" s="9" t="s">
        <v>800</v>
      </c>
      <c r="E226" s="4" t="s">
        <v>801</v>
      </c>
      <c r="F226" s="7" t="s">
        <v>457</v>
      </c>
      <c r="G226">
        <f>IF(getRGB1($C226)="FFFFFF",0,1)+IF(getRGB1($D226)="FFFFFF",0,2)+IF(getRGB1($E226)="FFFFFF",0,3)+IF(getRGB1($F226)="FFFFFF",0,4)</f>
        <v>3</v>
      </c>
    </row>
    <row r="227" spans="1:7" ht="30">
      <c r="A227" t="s">
        <v>6652</v>
      </c>
      <c r="B227" s="29" t="s">
        <v>808</v>
      </c>
      <c r="C227" s="4" t="s">
        <v>809</v>
      </c>
      <c r="D227" s="9" t="s">
        <v>810</v>
      </c>
      <c r="E227" s="7" t="s">
        <v>811</v>
      </c>
      <c r="F227" s="7" t="s">
        <v>209</v>
      </c>
      <c r="G227">
        <f>IF(getRGB1($C227)="FFFFFF",0,1)+IF(getRGB1($D227)="FFFFFF",0,2)+IF(getRGB1($E227)="FFFFFF",0,3)+IF(getRGB1($F227)="FFFFFF",0,4)</f>
        <v>1</v>
      </c>
    </row>
    <row r="228" spans="1:7">
      <c r="A228" t="s">
        <v>6652</v>
      </c>
      <c r="B228" s="29" t="s">
        <v>812</v>
      </c>
      <c r="C228" s="9" t="s">
        <v>179</v>
      </c>
      <c r="D228" s="9" t="s">
        <v>76</v>
      </c>
      <c r="E228" s="7" t="s">
        <v>557</v>
      </c>
      <c r="F228" s="4" t="s">
        <v>796</v>
      </c>
      <c r="G228">
        <f>IF(getRGB1($C228)="FFFFFF",0,1)+IF(getRGB1($D228)="FFFFFF",0,2)+IF(getRGB1($E228)="FFFFFF",0,3)+IF(getRGB1($F228)="FFFFFF",0,4)</f>
        <v>4</v>
      </c>
    </row>
    <row r="229" spans="1:7" ht="30">
      <c r="A229" t="s">
        <v>6652</v>
      </c>
      <c r="B229" s="29" t="s">
        <v>813</v>
      </c>
      <c r="C229" s="7" t="s">
        <v>803</v>
      </c>
      <c r="D229" s="4" t="s">
        <v>804</v>
      </c>
      <c r="E229" s="9" t="s">
        <v>805</v>
      </c>
      <c r="F229" s="7" t="s">
        <v>806</v>
      </c>
      <c r="G229">
        <f>IF(getRGB1($C229)="FFFFFF",0,1)+IF(getRGB1($D229)="FFFFFF",0,2)+IF(getRGB1($E229)="FFFFFF",0,3)+IF(getRGB1($F229)="FFFFFF",0,4)</f>
        <v>2</v>
      </c>
    </row>
    <row r="230" spans="1:7" ht="30">
      <c r="A230" t="s">
        <v>6652</v>
      </c>
      <c r="B230" s="29" t="s">
        <v>814</v>
      </c>
      <c r="C230" s="4" t="s">
        <v>815</v>
      </c>
      <c r="D230" s="7" t="s">
        <v>816</v>
      </c>
      <c r="E230" s="7" t="s">
        <v>817</v>
      </c>
      <c r="F230" s="7" t="s">
        <v>818</v>
      </c>
      <c r="G230">
        <f>IF(getRGB1($C230)="FFFFFF",0,1)+IF(getRGB1($D230)="FFFFFF",0,2)+IF(getRGB1($E230)="FFFFFF",0,3)+IF(getRGB1($F230)="FFFFFF",0,4)</f>
        <v>1</v>
      </c>
    </row>
    <row r="231" spans="1:7" ht="30">
      <c r="A231" t="s">
        <v>6652</v>
      </c>
      <c r="B231" s="29" t="s">
        <v>819</v>
      </c>
      <c r="C231" s="7">
        <v>20</v>
      </c>
      <c r="D231" s="7">
        <v>15</v>
      </c>
      <c r="E231" s="7">
        <v>30</v>
      </c>
      <c r="F231" s="4" t="s">
        <v>820</v>
      </c>
      <c r="G231">
        <f>IF(getRGB1($C231)="FFFFFF",0,1)+IF(getRGB1($D231)="FFFFFF",0,2)+IF(getRGB1($E231)="FFFFFF",0,3)+IF(getRGB1($F231)="FFFFFF",0,4)</f>
        <v>4</v>
      </c>
    </row>
    <row r="232" spans="1:7" ht="30">
      <c r="A232" t="s">
        <v>6652</v>
      </c>
      <c r="B232" s="29" t="s">
        <v>821</v>
      </c>
      <c r="C232" s="4" t="s">
        <v>822</v>
      </c>
      <c r="D232" s="7" t="s">
        <v>823</v>
      </c>
      <c r="E232" s="7" t="s">
        <v>824</v>
      </c>
      <c r="F232" s="7" t="s">
        <v>825</v>
      </c>
      <c r="G232">
        <f>IF(getRGB1($C232)="FFFFFF",0,1)+IF(getRGB1($D232)="FFFFFF",0,2)+IF(getRGB1($E232)="FFFFFF",0,3)+IF(getRGB1($F232)="FFFFFF",0,4)</f>
        <v>1</v>
      </c>
    </row>
    <row r="233" spans="1:7" ht="30">
      <c r="A233" t="s">
        <v>6652</v>
      </c>
      <c r="B233" s="29" t="s">
        <v>826</v>
      </c>
      <c r="C233" s="4" t="s">
        <v>827</v>
      </c>
      <c r="D233" s="7" t="s">
        <v>828</v>
      </c>
      <c r="E233" s="7" t="s">
        <v>829</v>
      </c>
      <c r="F233" s="7" t="s">
        <v>830</v>
      </c>
      <c r="G233">
        <f>IF(getRGB1($C233)="FFFFFF",0,1)+IF(getRGB1($D233)="FFFFFF",0,2)+IF(getRGB1($E233)="FFFFFF",0,3)+IF(getRGB1($F233)="FFFFFF",0,4)</f>
        <v>1</v>
      </c>
    </row>
    <row r="234" spans="1:7" ht="30">
      <c r="A234" t="s">
        <v>6652</v>
      </c>
      <c r="B234" s="29" t="s">
        <v>831</v>
      </c>
      <c r="C234" s="7" t="s">
        <v>832</v>
      </c>
      <c r="D234" s="7" t="s">
        <v>833</v>
      </c>
      <c r="E234" s="7" t="s">
        <v>834</v>
      </c>
      <c r="F234" s="4" t="s">
        <v>457</v>
      </c>
      <c r="G234">
        <f>IF(getRGB1($C234)="FFFFFF",0,1)+IF(getRGB1($D234)="FFFFFF",0,2)+IF(getRGB1($E234)="FFFFFF",0,3)+IF(getRGB1($F234)="FFFFFF",0,4)</f>
        <v>4</v>
      </c>
    </row>
    <row r="235" spans="1:7" ht="30">
      <c r="A235" t="s">
        <v>6652</v>
      </c>
      <c r="B235" s="29" t="s">
        <v>835</v>
      </c>
      <c r="C235" s="7" t="s">
        <v>836</v>
      </c>
      <c r="D235" s="7" t="s">
        <v>837</v>
      </c>
      <c r="E235" s="4" t="s">
        <v>838</v>
      </c>
      <c r="F235" s="9" t="s">
        <v>839</v>
      </c>
      <c r="G235">
        <f>IF(getRGB1($C235)="FFFFFF",0,1)+IF(getRGB1($D235)="FFFFFF",0,2)+IF(getRGB1($E235)="FFFFFF",0,3)+IF(getRGB1($F235)="FFFFFF",0,4)</f>
        <v>3</v>
      </c>
    </row>
    <row r="236" spans="1:7" ht="30">
      <c r="A236" t="s">
        <v>6652</v>
      </c>
      <c r="B236" s="29" t="s">
        <v>840</v>
      </c>
      <c r="C236" s="7" t="s">
        <v>841</v>
      </c>
      <c r="D236" s="7" t="s">
        <v>842</v>
      </c>
      <c r="E236" s="9" t="s">
        <v>843</v>
      </c>
      <c r="F236" s="4" t="s">
        <v>844</v>
      </c>
      <c r="G236">
        <f>IF(getRGB1($C236)="FFFFFF",0,1)+IF(getRGB1($D236)="FFFFFF",0,2)+IF(getRGB1($E236)="FFFFFF",0,3)+IF(getRGB1($F236)="FFFFFF",0,4)</f>
        <v>4</v>
      </c>
    </row>
    <row r="237" spans="1:7" ht="60.75">
      <c r="A237" t="s">
        <v>6652</v>
      </c>
      <c r="B237" s="45" t="s">
        <v>845</v>
      </c>
      <c r="C237" s="46" t="b">
        <v>1</v>
      </c>
      <c r="D237" s="47" t="b">
        <v>0</v>
      </c>
      <c r="E237" s="48"/>
      <c r="F237" s="48"/>
      <c r="G237">
        <f>IF(getRGB1($C237)="FFFFFF",0,1)+IF(getRGB1($D237)="FFFFFF",0,2)+IF(getRGB1($E237)="FFFFFF",0,3)+IF(getRGB1($F237)="FFFFFF",0,4)</f>
        <v>1</v>
      </c>
    </row>
    <row r="238" spans="1:7" ht="90.75">
      <c r="A238" t="s">
        <v>6652</v>
      </c>
      <c r="B238" s="45" t="s">
        <v>846</v>
      </c>
      <c r="C238" s="49" t="s">
        <v>847</v>
      </c>
      <c r="D238" s="50" t="s">
        <v>848</v>
      </c>
      <c r="E238" s="48" t="s">
        <v>849</v>
      </c>
      <c r="F238" s="48" t="s">
        <v>850</v>
      </c>
      <c r="G238">
        <f>IF(getRGB1($C238)="FFFFFF",0,1)+IF(getRGB1($D238)="FFFFFF",0,2)+IF(getRGB1($E238)="FFFFFF",0,3)+IF(getRGB1($F238)="FFFFFF",0,4)</f>
        <v>1</v>
      </c>
    </row>
    <row r="239" spans="1:7" ht="30.75">
      <c r="A239" t="s">
        <v>6652</v>
      </c>
      <c r="B239" s="45" t="s">
        <v>851</v>
      </c>
      <c r="C239" s="7" t="s">
        <v>179</v>
      </c>
      <c r="D239" s="47" t="s">
        <v>557</v>
      </c>
      <c r="E239" s="51" t="s">
        <v>852</v>
      </c>
      <c r="F239" s="48" t="s">
        <v>137</v>
      </c>
      <c r="G239">
        <f>IF(getRGB1($C239)="FFFFFF",0,1)+IF(getRGB1($D239)="FFFFFF",0,2)+IF(getRGB1($E239)="FFFFFF",0,3)+IF(getRGB1($F239)="FFFFFF",0,4)</f>
        <v>0</v>
      </c>
    </row>
    <row r="240" spans="1:7" ht="15.75">
      <c r="A240" t="s">
        <v>6652</v>
      </c>
      <c r="B240" s="45" t="s">
        <v>853</v>
      </c>
      <c r="C240" s="46" t="b">
        <v>0</v>
      </c>
      <c r="D240" s="47" t="b">
        <v>1</v>
      </c>
      <c r="E240" s="48"/>
      <c r="F240" s="48"/>
      <c r="G240">
        <f>IF(getRGB1($C240)="FFFFFF",0,1)+IF(getRGB1($D240)="FFFFFF",0,2)+IF(getRGB1($E240)="FFFFFF",0,3)+IF(getRGB1($F240)="FFFFFF",0,4)</f>
        <v>1</v>
      </c>
    </row>
    <row r="241" spans="1:7" ht="45.75">
      <c r="A241" t="s">
        <v>6652</v>
      </c>
      <c r="B241" s="45" t="s">
        <v>854</v>
      </c>
      <c r="C241" s="49" t="s">
        <v>855</v>
      </c>
      <c r="D241" s="50" t="s">
        <v>856</v>
      </c>
      <c r="E241" s="50" t="s">
        <v>857</v>
      </c>
      <c r="F241" s="50" t="s">
        <v>858</v>
      </c>
      <c r="G241">
        <f>IF(getRGB1($C241)="FFFFFF",0,1)+IF(getRGB1($D241)="FFFFFF",0,2)+IF(getRGB1($E241)="FFFFFF",0,3)+IF(getRGB1($F241)="FFFFFF",0,4)</f>
        <v>1</v>
      </c>
    </row>
    <row r="242" spans="1:7" ht="75.75">
      <c r="A242" t="s">
        <v>6652</v>
      </c>
      <c r="B242" s="45" t="s">
        <v>859</v>
      </c>
      <c r="C242" s="49" t="s">
        <v>860</v>
      </c>
      <c r="D242" s="50" t="s">
        <v>861</v>
      </c>
      <c r="E242" s="50" t="s">
        <v>862</v>
      </c>
      <c r="F242" s="50" t="s">
        <v>61</v>
      </c>
      <c r="G242">
        <f>IF(getRGB1($C242)="FFFFFF",0,1)+IF(getRGB1($D242)="FFFFFF",0,2)+IF(getRGB1($E242)="FFFFFF",0,3)+IF(getRGB1($F242)="FFFFFF",0,4)</f>
        <v>1</v>
      </c>
    </row>
    <row r="243" spans="1:7" ht="75.75">
      <c r="A243" t="s">
        <v>6652</v>
      </c>
      <c r="B243" s="45" t="s">
        <v>863</v>
      </c>
      <c r="C243" s="50" t="s">
        <v>864</v>
      </c>
      <c r="D243" s="50" t="s">
        <v>865</v>
      </c>
      <c r="E243" s="51" t="s">
        <v>866</v>
      </c>
      <c r="F243" s="48" t="s">
        <v>66</v>
      </c>
      <c r="G243">
        <f>IF(getRGB1($C243)="FFFFFF",0,1)+IF(getRGB1($D243)="FFFFFF",0,2)+IF(getRGB1($E243)="FFFFFF",0,3)+IF(getRGB1($F243)="FFFFFF",0,4)</f>
        <v>0</v>
      </c>
    </row>
    <row r="244" spans="1:7" ht="60.75">
      <c r="A244" t="s">
        <v>6652</v>
      </c>
      <c r="B244" s="45" t="s">
        <v>867</v>
      </c>
      <c r="C244" s="50" t="s">
        <v>868</v>
      </c>
      <c r="D244" s="50" t="s">
        <v>869</v>
      </c>
      <c r="E244" s="48" t="s">
        <v>870</v>
      </c>
      <c r="F244" s="48" t="s">
        <v>66</v>
      </c>
      <c r="G244">
        <f>IF(getRGB1($C244)="FFFFFF",0,1)+IF(getRGB1($D244)="FFFFFF",0,2)+IF(getRGB1($E244)="FFFFFF",0,3)+IF(getRGB1($F244)="FFFFFF",0,4)</f>
        <v>0</v>
      </c>
    </row>
    <row r="245" spans="1:7" ht="45.75">
      <c r="A245" t="s">
        <v>6652</v>
      </c>
      <c r="B245" s="45" t="s">
        <v>871</v>
      </c>
      <c r="C245" s="50" t="s">
        <v>872</v>
      </c>
      <c r="D245" s="47"/>
      <c r="E245" s="48"/>
      <c r="F245" s="48"/>
      <c r="G245">
        <f>IF(getRGB1($C245)="FFFFFF",0,1)+IF(getRGB1($D245)="FFFFFF",0,2)+IF(getRGB1($E245)="FFFFFF",0,3)+IF(getRGB1($F245)="FFFFFF",0,4)</f>
        <v>0</v>
      </c>
    </row>
    <row r="246" spans="1:7" ht="45.75">
      <c r="A246" t="s">
        <v>6652</v>
      </c>
      <c r="B246" s="45" t="s">
        <v>873</v>
      </c>
      <c r="C246" s="49" t="s">
        <v>874</v>
      </c>
      <c r="D246" s="52" t="s">
        <v>875</v>
      </c>
      <c r="E246" s="52" t="s">
        <v>876</v>
      </c>
      <c r="F246" s="52" t="s">
        <v>877</v>
      </c>
      <c r="G246">
        <f>IF(getRGB1($C246)="FFFFFF",0,1)+IF(getRGB1($D246)="FFFFFF",0,2)+IF(getRGB1($E246)="FFFFFF",0,3)+IF(getRGB1($F246)="FFFFFF",0,4)</f>
        <v>1</v>
      </c>
    </row>
    <row r="247" spans="1:7" ht="45.75">
      <c r="A247" t="s">
        <v>6652</v>
      </c>
      <c r="B247" s="45" t="s">
        <v>878</v>
      </c>
      <c r="C247" s="49" t="s">
        <v>879</v>
      </c>
      <c r="D247" s="50" t="s">
        <v>880</v>
      </c>
      <c r="E247" s="50" t="s">
        <v>881</v>
      </c>
      <c r="F247" s="50" t="s">
        <v>882</v>
      </c>
      <c r="G247">
        <f>IF(getRGB1($C247)="FFFFFF",0,1)+IF(getRGB1($D247)="FFFFFF",0,2)+IF(getRGB1($E247)="FFFFFF",0,3)+IF(getRGB1($F247)="FFFFFF",0,4)</f>
        <v>1</v>
      </c>
    </row>
    <row r="248" spans="1:7" ht="135.75">
      <c r="A248" t="s">
        <v>6652</v>
      </c>
      <c r="B248" s="45" t="s">
        <v>883</v>
      </c>
      <c r="C248" s="50" t="s">
        <v>884</v>
      </c>
      <c r="D248" s="50" t="s">
        <v>885</v>
      </c>
      <c r="E248" s="51" t="s">
        <v>886</v>
      </c>
      <c r="F248" s="53" t="s">
        <v>887</v>
      </c>
      <c r="G248">
        <f>IF(getRGB1($C248)="FFFFFF",0,1)+IF(getRGB1($D248)="FFFFFF",0,2)+IF(getRGB1($E248)="FFFFFF",0,3)+IF(getRGB1($F248)="FFFFFF",0,4)</f>
        <v>4</v>
      </c>
    </row>
    <row r="249" spans="1:7" ht="30.75">
      <c r="A249" t="s">
        <v>6652</v>
      </c>
      <c r="B249" s="45" t="s">
        <v>888</v>
      </c>
      <c r="C249" s="46" t="s">
        <v>889</v>
      </c>
      <c r="D249" s="47" t="s">
        <v>890</v>
      </c>
      <c r="E249" s="48"/>
      <c r="F249" s="48"/>
      <c r="G249">
        <f>IF(getRGB1($C249)="FFFFFF",0,1)+IF(getRGB1($D249)="FFFFFF",0,2)+IF(getRGB1($E249)="FFFFFF",0,3)+IF(getRGB1($F249)="FFFFFF",0,4)</f>
        <v>1</v>
      </c>
    </row>
    <row r="250" spans="1:7" ht="45.75">
      <c r="A250" t="s">
        <v>6652</v>
      </c>
      <c r="B250" s="45" t="s">
        <v>891</v>
      </c>
      <c r="C250" s="49" t="s">
        <v>892</v>
      </c>
      <c r="D250" s="50" t="s">
        <v>893</v>
      </c>
      <c r="E250" s="50" t="s">
        <v>894</v>
      </c>
      <c r="F250" s="48" t="s">
        <v>66</v>
      </c>
      <c r="G250">
        <f>IF(getRGB1($C250)="FFFFFF",0,1)+IF(getRGB1($D250)="FFFFFF",0,2)+IF(getRGB1($E250)="FFFFFF",0,3)+IF(getRGB1($F250)="FFFFFF",0,4)</f>
        <v>1</v>
      </c>
    </row>
    <row r="251" spans="1:7" ht="30.75">
      <c r="A251" t="s">
        <v>6652</v>
      </c>
      <c r="B251" s="45" t="s">
        <v>895</v>
      </c>
      <c r="C251" s="46" t="s">
        <v>896</v>
      </c>
      <c r="D251" s="47" t="s">
        <v>897</v>
      </c>
      <c r="E251" s="48" t="s">
        <v>898</v>
      </c>
      <c r="F251" s="48" t="s">
        <v>66</v>
      </c>
      <c r="G251">
        <f>IF(getRGB1($C251)="FFFFFF",0,1)+IF(getRGB1($D251)="FFFFFF",0,2)+IF(getRGB1($E251)="FFFFFF",0,3)+IF(getRGB1($F251)="FFFFFF",0,4)</f>
        <v>1</v>
      </c>
    </row>
    <row r="252" spans="1:7" ht="90.75">
      <c r="A252" t="s">
        <v>6652</v>
      </c>
      <c r="B252" s="45" t="s">
        <v>899</v>
      </c>
      <c r="C252" s="49" t="s">
        <v>900</v>
      </c>
      <c r="D252" s="50" t="s">
        <v>901</v>
      </c>
      <c r="E252" s="51" t="s">
        <v>902</v>
      </c>
      <c r="F252" s="51" t="s">
        <v>903</v>
      </c>
      <c r="G252">
        <f>IF(getRGB1($C252)="FFFFFF",0,1)+IF(getRGB1($D252)="FFFFFF",0,2)+IF(getRGB1($E252)="FFFFFF",0,3)+IF(getRGB1($F252)="FFFFFF",0,4)</f>
        <v>1</v>
      </c>
    </row>
    <row r="253" spans="1:7" ht="30.75">
      <c r="A253" t="s">
        <v>6652</v>
      </c>
      <c r="B253" s="45" t="s">
        <v>904</v>
      </c>
      <c r="C253" s="49" t="s">
        <v>905</v>
      </c>
      <c r="D253" s="47" t="s">
        <v>906</v>
      </c>
      <c r="E253" s="48"/>
      <c r="F253" s="48"/>
      <c r="G253">
        <f>IF(getRGB1($C253)="FFFFFF",0,1)+IF(getRGB1($D253)="FFFFFF",0,2)+IF(getRGB1($E253)="FFFFFF",0,3)+IF(getRGB1($F253)="FFFFFF",0,4)</f>
        <v>1</v>
      </c>
    </row>
    <row r="254" spans="1:7" ht="30.75">
      <c r="A254" t="s">
        <v>6652</v>
      </c>
      <c r="B254" s="45" t="s">
        <v>907</v>
      </c>
      <c r="C254" s="50" t="s">
        <v>908</v>
      </c>
      <c r="D254" s="47"/>
      <c r="E254" s="47"/>
      <c r="F254" s="47"/>
      <c r="G254">
        <f>IF(getRGB1($C254)="FFFFFF",0,1)+IF(getRGB1($D254)="FFFFFF",0,2)+IF(getRGB1($E254)="FFFFFF",0,3)+IF(getRGB1($F254)="FFFFFF",0,4)</f>
        <v>0</v>
      </c>
    </row>
    <row r="255" spans="1:7" ht="30.75">
      <c r="A255" t="s">
        <v>6652</v>
      </c>
      <c r="B255" s="45" t="s">
        <v>909</v>
      </c>
      <c r="C255" s="46" t="s">
        <v>910</v>
      </c>
      <c r="D255" s="47" t="s">
        <v>911</v>
      </c>
      <c r="E255" s="47" t="s">
        <v>912</v>
      </c>
      <c r="F255" s="47" t="s">
        <v>913</v>
      </c>
      <c r="G255">
        <f>IF(getRGB1($C255)="FFFFFF",0,1)+IF(getRGB1($D255)="FFFFFF",0,2)+IF(getRGB1($E255)="FFFFFF",0,3)+IF(getRGB1($F255)="FFFFFF",0,4)</f>
        <v>1</v>
      </c>
    </row>
    <row r="256" spans="1:7" ht="30.75">
      <c r="A256" t="s">
        <v>6652</v>
      </c>
      <c r="B256" s="45" t="s">
        <v>914</v>
      </c>
      <c r="C256" s="49" t="s">
        <v>915</v>
      </c>
      <c r="D256" s="47" t="s">
        <v>916</v>
      </c>
      <c r="E256" s="47" t="s">
        <v>917</v>
      </c>
      <c r="F256" s="47" t="s">
        <v>918</v>
      </c>
      <c r="G256">
        <f>IF(getRGB1($C256)="FFFFFF",0,1)+IF(getRGB1($D256)="FFFFFF",0,2)+IF(getRGB1($E256)="FFFFFF",0,3)+IF(getRGB1($F256)="FFFFFF",0,4)</f>
        <v>1</v>
      </c>
    </row>
    <row r="257" spans="1:7" ht="45.75">
      <c r="A257" t="s">
        <v>6652</v>
      </c>
      <c r="B257" s="45" t="s">
        <v>919</v>
      </c>
      <c r="C257" s="46" t="s">
        <v>920</v>
      </c>
      <c r="D257" s="47" t="s">
        <v>921</v>
      </c>
      <c r="E257" s="47" t="s">
        <v>922</v>
      </c>
      <c r="F257" s="47" t="s">
        <v>923</v>
      </c>
      <c r="G257">
        <f>IF(getRGB1($C257)="FFFFFF",0,1)+IF(getRGB1($D257)="FFFFFF",0,2)+IF(getRGB1($E257)="FFFFFF",0,3)+IF(getRGB1($F257)="FFFFFF",0,4)</f>
        <v>1</v>
      </c>
    </row>
    <row r="258" spans="1:7" ht="15.75">
      <c r="A258" t="s">
        <v>6652</v>
      </c>
      <c r="B258" s="45" t="s">
        <v>924</v>
      </c>
      <c r="C258" s="46" t="s">
        <v>925</v>
      </c>
      <c r="D258" s="47" t="s">
        <v>926</v>
      </c>
      <c r="E258" s="47" t="s">
        <v>927</v>
      </c>
      <c r="F258" s="47" t="s">
        <v>928</v>
      </c>
      <c r="G258">
        <f>IF(getRGB1($C258)="FFFFFF",0,1)+IF(getRGB1($D258)="FFFFFF",0,2)+IF(getRGB1($E258)="FFFFFF",0,3)+IF(getRGB1($F258)="FFFFFF",0,4)</f>
        <v>1</v>
      </c>
    </row>
    <row r="259" spans="1:7" ht="15.75">
      <c r="A259" t="s">
        <v>6652</v>
      </c>
      <c r="B259" s="45" t="s">
        <v>929</v>
      </c>
      <c r="C259" s="46" t="s">
        <v>930</v>
      </c>
      <c r="D259" s="47" t="s">
        <v>931</v>
      </c>
      <c r="E259" s="47"/>
      <c r="F259" s="47"/>
      <c r="G259">
        <f>IF(getRGB1($C259)="FFFFFF",0,1)+IF(getRGB1($D259)="FFFFFF",0,2)+IF(getRGB1($E259)="FFFFFF",0,3)+IF(getRGB1($F259)="FFFFFF",0,4)</f>
        <v>1</v>
      </c>
    </row>
    <row r="260" spans="1:7" ht="30.75">
      <c r="A260" t="s">
        <v>6652</v>
      </c>
      <c r="B260" s="45" t="s">
        <v>932</v>
      </c>
      <c r="C260" s="49" t="s">
        <v>933</v>
      </c>
      <c r="D260" s="47" t="s">
        <v>934</v>
      </c>
      <c r="E260" s="50" t="s">
        <v>935</v>
      </c>
      <c r="F260" s="47" t="s">
        <v>936</v>
      </c>
      <c r="G260">
        <f>IF(getRGB1($C260)="FFFFFF",0,1)+IF(getRGB1($D260)="FFFFFF",0,2)+IF(getRGB1($E260)="FFFFFF",0,3)+IF(getRGB1($F260)="FFFFFF",0,4)</f>
        <v>1</v>
      </c>
    </row>
    <row r="261" spans="1:7" ht="45.75">
      <c r="A261" t="s">
        <v>6652</v>
      </c>
      <c r="B261" s="45" t="s">
        <v>937</v>
      </c>
      <c r="C261" s="49" t="s">
        <v>938</v>
      </c>
      <c r="D261" s="50" t="s">
        <v>939</v>
      </c>
      <c r="E261" s="50" t="s">
        <v>940</v>
      </c>
      <c r="F261" s="50" t="s">
        <v>941</v>
      </c>
      <c r="G261">
        <f>IF(getRGB1($C261)="FFFFFF",0,1)+IF(getRGB1($D261)="FFFFFF",0,2)+IF(getRGB1($E261)="FFFFFF",0,3)+IF(getRGB1($F261)="FFFFFF",0,4)</f>
        <v>1</v>
      </c>
    </row>
    <row r="262" spans="1:7" ht="30.75">
      <c r="A262" t="s">
        <v>6652</v>
      </c>
      <c r="B262" s="45" t="s">
        <v>942</v>
      </c>
      <c r="C262" s="46" t="s">
        <v>943</v>
      </c>
      <c r="D262" s="47" t="s">
        <v>944</v>
      </c>
      <c r="E262" s="47" t="s">
        <v>945</v>
      </c>
      <c r="F262" s="47" t="s">
        <v>946</v>
      </c>
      <c r="G262">
        <f>IF(getRGB1($C262)="FFFFFF",0,1)+IF(getRGB1($D262)="FFFFFF",0,2)+IF(getRGB1($E262)="FFFFFF",0,3)+IF(getRGB1($F262)="FFFFFF",0,4)</f>
        <v>1</v>
      </c>
    </row>
    <row r="263" spans="1:7" ht="30.75">
      <c r="A263" t="s">
        <v>6652</v>
      </c>
      <c r="B263" s="45" t="s">
        <v>947</v>
      </c>
      <c r="C263" s="49" t="s">
        <v>948</v>
      </c>
      <c r="D263" s="47" t="s">
        <v>949</v>
      </c>
      <c r="E263" s="50" t="s">
        <v>950</v>
      </c>
      <c r="F263" s="47" t="s">
        <v>557</v>
      </c>
      <c r="G263">
        <f>IF(getRGB1($C263)="FFFFFF",0,1)+IF(getRGB1($D263)="FFFFFF",0,2)+IF(getRGB1($E263)="FFFFFF",0,3)+IF(getRGB1($F263)="FFFFFF",0,4)</f>
        <v>1</v>
      </c>
    </row>
    <row r="264" spans="1:7" ht="45.75">
      <c r="A264" t="s">
        <v>6652</v>
      </c>
      <c r="B264" s="45" t="s">
        <v>951</v>
      </c>
      <c r="C264" s="46" t="s">
        <v>952</v>
      </c>
      <c r="D264" s="47" t="s">
        <v>953</v>
      </c>
      <c r="E264" s="47" t="s">
        <v>954</v>
      </c>
      <c r="F264" s="47" t="s">
        <v>955</v>
      </c>
      <c r="G264">
        <f>IF(getRGB1($C264)="FFFFFF",0,1)+IF(getRGB1($D264)="FFFFFF",0,2)+IF(getRGB1($E264)="FFFFFF",0,3)+IF(getRGB1($F264)="FFFFFF",0,4)</f>
        <v>1</v>
      </c>
    </row>
    <row r="265" spans="1:7" ht="75.75">
      <c r="A265" t="s">
        <v>6652</v>
      </c>
      <c r="B265" s="45" t="s">
        <v>956</v>
      </c>
      <c r="C265" s="50" t="s">
        <v>957</v>
      </c>
      <c r="D265" s="50" t="s">
        <v>958</v>
      </c>
      <c r="E265" s="50" t="s">
        <v>959</v>
      </c>
      <c r="F265" s="46" t="s">
        <v>960</v>
      </c>
      <c r="G265">
        <f>IF(getRGB1($C265)="FFFFFF",0,1)+IF(getRGB1($D265)="FFFFFF",0,2)+IF(getRGB1($E265)="FFFFFF",0,3)+IF(getRGB1($F265)="FFFFFF",0,4)</f>
        <v>4</v>
      </c>
    </row>
    <row r="266" spans="1:7" ht="45.75">
      <c r="A266" t="s">
        <v>6652</v>
      </c>
      <c r="B266" s="45" t="s">
        <v>961</v>
      </c>
      <c r="C266" s="49" t="s">
        <v>962</v>
      </c>
      <c r="D266" s="47" t="s">
        <v>921</v>
      </c>
      <c r="E266" s="47" t="s">
        <v>922</v>
      </c>
      <c r="F266" s="47" t="s">
        <v>923</v>
      </c>
      <c r="G266">
        <f>IF(getRGB1($C266)="FFFFFF",0,1)+IF(getRGB1($D266)="FFFFFF",0,2)+IF(getRGB1($E266)="FFFFFF",0,3)+IF(getRGB1($F266)="FFFFFF",0,4)</f>
        <v>1</v>
      </c>
    </row>
    <row r="267" spans="1:7" ht="75.75">
      <c r="A267" t="s">
        <v>6652</v>
      </c>
      <c r="B267" s="45" t="s">
        <v>963</v>
      </c>
      <c r="C267" s="49" t="s">
        <v>964</v>
      </c>
      <c r="D267" s="47" t="s">
        <v>949</v>
      </c>
      <c r="E267" s="50" t="s">
        <v>965</v>
      </c>
      <c r="F267" s="50" t="s">
        <v>966</v>
      </c>
      <c r="G267">
        <f>IF(getRGB1($C267)="FFFFFF",0,1)+IF(getRGB1($D267)="FFFFFF",0,2)+IF(getRGB1($E267)="FFFFFF",0,3)+IF(getRGB1($F267)="FFFFFF",0,4)</f>
        <v>1</v>
      </c>
    </row>
    <row r="268" spans="1:7" ht="60.75">
      <c r="A268" t="s">
        <v>6652</v>
      </c>
      <c r="B268" s="45" t="s">
        <v>967</v>
      </c>
      <c r="C268" s="49" t="s">
        <v>968</v>
      </c>
      <c r="D268" s="50" t="s">
        <v>969</v>
      </c>
      <c r="E268" s="47" t="s">
        <v>970</v>
      </c>
      <c r="F268" s="50" t="s">
        <v>971</v>
      </c>
      <c r="G268">
        <f>IF(getRGB1($C268)="FFFFFF",0,1)+IF(getRGB1($D268)="FFFFFF",0,2)+IF(getRGB1($E268)="FFFFFF",0,3)+IF(getRGB1($F268)="FFFFFF",0,4)</f>
        <v>1</v>
      </c>
    </row>
    <row r="269" spans="1:7" ht="75.75">
      <c r="A269" t="s">
        <v>6652</v>
      </c>
      <c r="B269" s="45" t="s">
        <v>972</v>
      </c>
      <c r="C269" s="46">
        <v>10</v>
      </c>
      <c r="D269" s="47">
        <v>15</v>
      </c>
      <c r="E269" s="47">
        <v>30</v>
      </c>
      <c r="F269" s="47">
        <v>20</v>
      </c>
      <c r="G269">
        <f>IF(getRGB1($C269)="FFFFFF",0,1)+IF(getRGB1($D269)="FFFFFF",0,2)+IF(getRGB1($E269)="FFFFFF",0,3)+IF(getRGB1($F269)="FFFFFF",0,4)</f>
        <v>1</v>
      </c>
    </row>
    <row r="270" spans="1:7" ht="45.75">
      <c r="A270" t="s">
        <v>6652</v>
      </c>
      <c r="B270" s="45" t="s">
        <v>973</v>
      </c>
      <c r="C270" s="46">
        <v>15</v>
      </c>
      <c r="D270" s="47">
        <v>10</v>
      </c>
      <c r="E270" s="47">
        <v>5</v>
      </c>
      <c r="F270" s="47">
        <v>20</v>
      </c>
      <c r="G270">
        <f>IF(getRGB1($C270)="FFFFFF",0,1)+IF(getRGB1($D270)="FFFFFF",0,2)+IF(getRGB1($E270)="FFFFFF",0,3)+IF(getRGB1($F270)="FFFFFF",0,4)</f>
        <v>1</v>
      </c>
    </row>
    <row r="271" spans="1:7" ht="45.75">
      <c r="A271" t="s">
        <v>6652</v>
      </c>
      <c r="B271" s="45" t="s">
        <v>974</v>
      </c>
      <c r="C271" s="46" t="s">
        <v>975</v>
      </c>
      <c r="D271" s="47" t="s">
        <v>976</v>
      </c>
      <c r="E271" s="47" t="s">
        <v>977</v>
      </c>
      <c r="F271" s="47" t="s">
        <v>978</v>
      </c>
      <c r="G271">
        <f>IF(getRGB1($C271)="FFFFFF",0,1)+IF(getRGB1($D271)="FFFFFF",0,2)+IF(getRGB1($E271)="FFFFFF",0,3)+IF(getRGB1($F271)="FFFFFF",0,4)</f>
        <v>1</v>
      </c>
    </row>
    <row r="272" spans="1:7" ht="25.5">
      <c r="A272" t="s">
        <v>6653</v>
      </c>
      <c r="B272" s="54" t="s">
        <v>979</v>
      </c>
      <c r="C272" s="55" t="s">
        <v>74</v>
      </c>
      <c r="D272" s="55" t="s">
        <v>980</v>
      </c>
      <c r="E272" s="55" t="s">
        <v>137</v>
      </c>
      <c r="F272" s="56" t="s">
        <v>981</v>
      </c>
      <c r="G272">
        <f>IF(getRGB1($C272)="FFFFFF",0,1)+IF(getRGB1($D272)="FFFFFF",0,2)+IF(getRGB1($E272)="FFFFFF",0,3)+IF(getRGB1($F272)="FFFFFF",0,4)</f>
        <v>4</v>
      </c>
    </row>
    <row r="273" spans="1:7" ht="25.5">
      <c r="A273" t="s">
        <v>6653</v>
      </c>
      <c r="B273" s="57" t="s">
        <v>982</v>
      </c>
      <c r="C273" s="55" t="s">
        <v>983</v>
      </c>
      <c r="D273" s="55" t="s">
        <v>984</v>
      </c>
      <c r="E273" s="56" t="s">
        <v>985</v>
      </c>
      <c r="F273" s="55" t="s">
        <v>986</v>
      </c>
      <c r="G273">
        <f>IF(getRGB1($C273)="FFFFFF",0,1)+IF(getRGB1($D273)="FFFFFF",0,2)+IF(getRGB1($E273)="FFFFFF",0,3)+IF(getRGB1($F273)="FFFFFF",0,4)</f>
        <v>3</v>
      </c>
    </row>
    <row r="274" spans="1:7" ht="25.5">
      <c r="A274" t="s">
        <v>6653</v>
      </c>
      <c r="B274" s="57" t="s">
        <v>987</v>
      </c>
      <c r="C274" s="43" t="s">
        <v>988</v>
      </c>
      <c r="D274" s="44" t="s">
        <v>989</v>
      </c>
      <c r="E274" s="44" t="s">
        <v>990</v>
      </c>
      <c r="F274" s="55" t="s">
        <v>986</v>
      </c>
      <c r="G274">
        <f>IF(getRGB1($C274)="FFFFFF",0,1)+IF(getRGB1($D274)="FFFFFF",0,2)+IF(getRGB1($E274)="FFFFFF",0,3)+IF(getRGB1($F274)="FFFFFF",0,4)</f>
        <v>1</v>
      </c>
    </row>
    <row r="275" spans="1:7" ht="25.5">
      <c r="A275" t="s">
        <v>6653</v>
      </c>
      <c r="B275" s="57" t="s">
        <v>991</v>
      </c>
      <c r="C275" s="58" t="s">
        <v>992</v>
      </c>
      <c r="D275" s="58" t="s">
        <v>993</v>
      </c>
      <c r="E275" s="58" t="s">
        <v>994</v>
      </c>
      <c r="F275" s="59" t="s">
        <v>995</v>
      </c>
      <c r="G275">
        <f>IF(getRGB1($C275)="FFFFFF",0,1)+IF(getRGB1($D275)="FFFFFF",0,2)+IF(getRGB1($E275)="FFFFFF",0,3)+IF(getRGB1($F275)="FFFFFF",0,4)</f>
        <v>4</v>
      </c>
    </row>
    <row r="276" spans="1:7">
      <c r="A276" t="s">
        <v>6653</v>
      </c>
      <c r="B276" s="60" t="s">
        <v>996</v>
      </c>
      <c r="C276" s="44" t="s">
        <v>997</v>
      </c>
      <c r="D276" s="44" t="s">
        <v>998</v>
      </c>
      <c r="E276" s="44" t="s">
        <v>999</v>
      </c>
      <c r="F276" s="43" t="s">
        <v>1000</v>
      </c>
      <c r="G276">
        <f>IF(getRGB1($C276)="FFFFFF",0,1)+IF(getRGB1($D276)="FFFFFF",0,2)+IF(getRGB1($E276)="FFFFFF",0,3)+IF(getRGB1($F276)="FFFFFF",0,4)</f>
        <v>4</v>
      </c>
    </row>
    <row r="277" spans="1:7" ht="25.5">
      <c r="A277" t="s">
        <v>6653</v>
      </c>
      <c r="B277" s="57" t="s">
        <v>1001</v>
      </c>
      <c r="C277" s="44" t="s">
        <v>233</v>
      </c>
      <c r="D277" s="44" t="s">
        <v>1002</v>
      </c>
      <c r="E277" s="43" t="s">
        <v>1003</v>
      </c>
      <c r="F277" s="44" t="s">
        <v>1004</v>
      </c>
      <c r="G277">
        <f>IF(getRGB1($C277)="FFFFFF",0,1)+IF(getRGB1($D277)="FFFFFF",0,2)+IF(getRGB1($E277)="FFFFFF",0,3)+IF(getRGB1($F277)="FFFFFF",0,4)</f>
        <v>3</v>
      </c>
    </row>
    <row r="278" spans="1:7" ht="51">
      <c r="A278" t="s">
        <v>6653</v>
      </c>
      <c r="B278" s="57" t="s">
        <v>1005</v>
      </c>
      <c r="C278" s="61" t="s">
        <v>1006</v>
      </c>
      <c r="D278" s="61" t="s">
        <v>1007</v>
      </c>
      <c r="E278" s="61" t="s">
        <v>1008</v>
      </c>
      <c r="F278" s="43" t="s">
        <v>1009</v>
      </c>
      <c r="G278">
        <f>IF(getRGB1($C278)="FFFFFF",0,1)+IF(getRGB1($D278)="FFFFFF",0,2)+IF(getRGB1($E278)="FFFFFF",0,3)+IF(getRGB1($F278)="FFFFFF",0,4)</f>
        <v>4</v>
      </c>
    </row>
    <row r="279" spans="1:7" ht="63.75">
      <c r="A279" t="s">
        <v>6653</v>
      </c>
      <c r="B279" s="57" t="s">
        <v>1010</v>
      </c>
      <c r="C279" s="44" t="s">
        <v>1011</v>
      </c>
      <c r="D279" s="44" t="s">
        <v>1012</v>
      </c>
      <c r="E279" s="43" t="s">
        <v>1013</v>
      </c>
      <c r="F279" s="44" t="s">
        <v>1014</v>
      </c>
      <c r="G279">
        <f>IF(getRGB1($C279)="FFFFFF",0,1)+IF(getRGB1($D279)="FFFFFF",0,2)+IF(getRGB1($E279)="FFFFFF",0,3)+IF(getRGB1($F279)="FFFFFF",0,4)</f>
        <v>3</v>
      </c>
    </row>
    <row r="280" spans="1:7" ht="25.5">
      <c r="A280" t="s">
        <v>6653</v>
      </c>
      <c r="B280" s="57" t="s">
        <v>1015</v>
      </c>
      <c r="C280" s="44" t="s">
        <v>1016</v>
      </c>
      <c r="D280" s="43" t="s">
        <v>1017</v>
      </c>
      <c r="E280" s="44" t="s">
        <v>1018</v>
      </c>
      <c r="F280" s="44" t="s">
        <v>1019</v>
      </c>
      <c r="G280">
        <f>IF(getRGB1($C280)="FFFFFF",0,1)+IF(getRGB1($D280)="FFFFFF",0,2)+IF(getRGB1($E280)="FFFFFF",0,3)+IF(getRGB1($F280)="FFFFFF",0,4)</f>
        <v>2</v>
      </c>
    </row>
    <row r="281" spans="1:7" ht="25.5">
      <c r="A281" t="s">
        <v>6653</v>
      </c>
      <c r="B281" s="57" t="s">
        <v>1020</v>
      </c>
      <c r="C281" s="44" t="s">
        <v>1021</v>
      </c>
      <c r="D281" s="43" t="s">
        <v>1022</v>
      </c>
      <c r="E281" s="44" t="s">
        <v>1023</v>
      </c>
      <c r="F281" s="44" t="s">
        <v>61</v>
      </c>
      <c r="G281">
        <f>IF(getRGB1($C281)="FFFFFF",0,1)+IF(getRGB1($D281)="FFFFFF",0,2)+IF(getRGB1($E281)="FFFFFF",0,3)+IF(getRGB1($F281)="FFFFFF",0,4)</f>
        <v>2</v>
      </c>
    </row>
    <row r="282" spans="1:7">
      <c r="A282" t="s">
        <v>6653</v>
      </c>
      <c r="B282" s="57" t="s">
        <v>1024</v>
      </c>
      <c r="C282" s="44" t="s">
        <v>1025</v>
      </c>
      <c r="D282" s="44" t="s">
        <v>1026</v>
      </c>
      <c r="E282" s="44" t="s">
        <v>1027</v>
      </c>
      <c r="F282" s="43" t="s">
        <v>1000</v>
      </c>
      <c r="G282">
        <f>IF(getRGB1($C282)="FFFFFF",0,1)+IF(getRGB1($D282)="FFFFFF",0,2)+IF(getRGB1($E282)="FFFFFF",0,3)+IF(getRGB1($F282)="FFFFFF",0,4)</f>
        <v>4</v>
      </c>
    </row>
    <row r="283" spans="1:7" ht="25.5">
      <c r="A283" t="s">
        <v>6653</v>
      </c>
      <c r="B283" s="57" t="s">
        <v>1028</v>
      </c>
      <c r="C283" s="44" t="s">
        <v>1029</v>
      </c>
      <c r="D283" s="44" t="s">
        <v>1030</v>
      </c>
      <c r="E283" s="44" t="s">
        <v>1031</v>
      </c>
      <c r="F283" s="43" t="s">
        <v>1000</v>
      </c>
      <c r="G283">
        <f>IF(getRGB1($C283)="FFFFFF",0,1)+IF(getRGB1($D283)="FFFFFF",0,2)+IF(getRGB1($E283)="FFFFFF",0,3)+IF(getRGB1($F283)="FFFFFF",0,4)</f>
        <v>4</v>
      </c>
    </row>
    <row r="284" spans="1:7">
      <c r="A284" t="s">
        <v>6653</v>
      </c>
      <c r="B284" s="57" t="s">
        <v>1032</v>
      </c>
      <c r="C284" s="44" t="s">
        <v>1033</v>
      </c>
      <c r="D284" s="43" t="s">
        <v>1034</v>
      </c>
      <c r="E284" s="44" t="s">
        <v>1035</v>
      </c>
      <c r="F284" s="44" t="s">
        <v>1036</v>
      </c>
      <c r="G284">
        <f>IF(getRGB1($C284)="FFFFFF",0,1)+IF(getRGB1($D284)="FFFFFF",0,2)+IF(getRGB1($E284)="FFFFFF",0,3)+IF(getRGB1($F284)="FFFFFF",0,4)</f>
        <v>2</v>
      </c>
    </row>
    <row r="285" spans="1:7" ht="25.5">
      <c r="A285" t="s">
        <v>6653</v>
      </c>
      <c r="B285" s="57" t="s">
        <v>1037</v>
      </c>
      <c r="C285" s="44" t="s">
        <v>1038</v>
      </c>
      <c r="D285" s="44" t="s">
        <v>1039</v>
      </c>
      <c r="E285" s="43" t="s">
        <v>1040</v>
      </c>
      <c r="F285" s="44" t="s">
        <v>1041</v>
      </c>
      <c r="G285">
        <f>IF(getRGB1($C285)="FFFFFF",0,1)+IF(getRGB1($D285)="FFFFFF",0,2)+IF(getRGB1($E285)="FFFFFF",0,3)+IF(getRGB1($F285)="FFFFFF",0,4)</f>
        <v>3</v>
      </c>
    </row>
    <row r="286" spans="1:7" ht="38.25">
      <c r="A286" t="s">
        <v>6653</v>
      </c>
      <c r="B286" s="60" t="s">
        <v>1042</v>
      </c>
      <c r="C286" s="44" t="s">
        <v>1002</v>
      </c>
      <c r="D286" s="43" t="s">
        <v>1013</v>
      </c>
      <c r="E286" s="44" t="s">
        <v>1043</v>
      </c>
      <c r="F286" s="44" t="s">
        <v>1044</v>
      </c>
      <c r="G286">
        <f>IF(getRGB1($C286)="FFFFFF",0,1)+IF(getRGB1($D286)="FFFFFF",0,2)+IF(getRGB1($E286)="FFFFFF",0,3)+IF(getRGB1($F286)="FFFFFF",0,4)</f>
        <v>2</v>
      </c>
    </row>
    <row r="287" spans="1:7" ht="25.5">
      <c r="A287" t="s">
        <v>6653</v>
      </c>
      <c r="B287" s="57" t="s">
        <v>1045</v>
      </c>
      <c r="C287" s="44" t="s">
        <v>1046</v>
      </c>
      <c r="D287" s="58" t="s">
        <v>1047</v>
      </c>
      <c r="E287" s="43" t="s">
        <v>1048</v>
      </c>
      <c r="F287" s="44" t="s">
        <v>1049</v>
      </c>
      <c r="G287">
        <f>IF(getRGB1($C287)="FFFFFF",0,1)+IF(getRGB1($D287)="FFFFFF",0,2)+IF(getRGB1($E287)="FFFFFF",0,3)+IF(getRGB1($F287)="FFFFFF",0,4)</f>
        <v>3</v>
      </c>
    </row>
    <row r="288" spans="1:7" ht="25.5">
      <c r="A288" t="s">
        <v>6653</v>
      </c>
      <c r="B288" s="60" t="s">
        <v>1050</v>
      </c>
      <c r="C288" s="44" t="s">
        <v>1051</v>
      </c>
      <c r="D288" s="58" t="s">
        <v>1052</v>
      </c>
      <c r="E288" s="44" t="s">
        <v>1053</v>
      </c>
      <c r="F288" s="43" t="s">
        <v>1054</v>
      </c>
      <c r="G288">
        <f>IF(getRGB1($C288)="FFFFFF",0,1)+IF(getRGB1($D288)="FFFFFF",0,2)+IF(getRGB1($E288)="FFFFFF",0,3)+IF(getRGB1($F288)="FFFFFF",0,4)</f>
        <v>4</v>
      </c>
    </row>
    <row r="289" spans="1:7" ht="38.25">
      <c r="A289" t="s">
        <v>6653</v>
      </c>
      <c r="B289" s="57" t="s">
        <v>1055</v>
      </c>
      <c r="C289" s="44" t="s">
        <v>1052</v>
      </c>
      <c r="D289" s="44" t="s">
        <v>1056</v>
      </c>
      <c r="E289" s="43" t="s">
        <v>1011</v>
      </c>
      <c r="F289" s="44" t="s">
        <v>1057</v>
      </c>
      <c r="G289">
        <f>IF(getRGB1($C289)="FFFFFF",0,1)+IF(getRGB1($D289)="FFFFFF",0,2)+IF(getRGB1($E289)="FFFFFF",0,3)+IF(getRGB1($F289)="FFFFFF",0,4)</f>
        <v>3</v>
      </c>
    </row>
    <row r="290" spans="1:7">
      <c r="A290" t="s">
        <v>6653</v>
      </c>
      <c r="B290" s="57" t="s">
        <v>1058</v>
      </c>
      <c r="C290" s="44" t="s">
        <v>980</v>
      </c>
      <c r="D290" s="44" t="s">
        <v>174</v>
      </c>
      <c r="E290" s="44" t="s">
        <v>74</v>
      </c>
      <c r="F290" s="43" t="s">
        <v>1059</v>
      </c>
      <c r="G290">
        <f>IF(getRGB1($C290)="FFFFFF",0,1)+IF(getRGB1($D290)="FFFFFF",0,2)+IF(getRGB1($E290)="FFFFFF",0,3)+IF(getRGB1($F290)="FFFFFF",0,4)</f>
        <v>4</v>
      </c>
    </row>
    <row r="291" spans="1:7">
      <c r="A291" t="s">
        <v>6653</v>
      </c>
      <c r="B291" s="57" t="s">
        <v>1060</v>
      </c>
      <c r="C291" s="44" t="s">
        <v>74</v>
      </c>
      <c r="D291" s="44" t="s">
        <v>1059</v>
      </c>
      <c r="E291" s="44" t="s">
        <v>137</v>
      </c>
      <c r="F291" s="43" t="s">
        <v>174</v>
      </c>
      <c r="G291">
        <f>IF(getRGB1($C291)="FFFFFF",0,1)+IF(getRGB1($D291)="FFFFFF",0,2)+IF(getRGB1($E291)="FFFFFF",0,3)+IF(getRGB1($F291)="FFFFFF",0,4)</f>
        <v>4</v>
      </c>
    </row>
    <row r="292" spans="1:7" ht="25.5">
      <c r="A292" t="s">
        <v>6653</v>
      </c>
      <c r="B292" s="57" t="s">
        <v>1061</v>
      </c>
      <c r="C292" s="62" t="s">
        <v>1062</v>
      </c>
      <c r="D292" s="62" t="s">
        <v>1063</v>
      </c>
      <c r="E292" s="63" t="s">
        <v>1064</v>
      </c>
      <c r="F292" s="64" t="s">
        <v>1065</v>
      </c>
      <c r="G292">
        <f>IF(getRGB1($C292)="FFFFFF",0,1)+IF(getRGB1($D292)="FFFFFF",0,2)+IF(getRGB1($E292)="FFFFFF",0,3)+IF(getRGB1($F292)="FFFFFF",0,4)</f>
        <v>3</v>
      </c>
    </row>
    <row r="293" spans="1:7" ht="25.5">
      <c r="A293" t="s">
        <v>6653</v>
      </c>
      <c r="B293" s="57" t="s">
        <v>1066</v>
      </c>
      <c r="C293" s="55">
        <v>0.1</v>
      </c>
      <c r="D293" s="55">
        <v>0.2</v>
      </c>
      <c r="E293" s="55">
        <v>0.15</v>
      </c>
      <c r="F293" s="43" t="s">
        <v>1067</v>
      </c>
      <c r="G293">
        <f>IF(getRGB1($C293)="FFFFFF",0,1)+IF(getRGB1($D293)="FFFFFF",0,2)+IF(getRGB1($E293)="FFFFFF",0,3)+IF(getRGB1($F293)="FFFFFF",0,4)</f>
        <v>4</v>
      </c>
    </row>
    <row r="294" spans="1:7">
      <c r="A294" t="s">
        <v>6653</v>
      </c>
      <c r="B294" s="57" t="s">
        <v>1068</v>
      </c>
      <c r="C294" s="55">
        <v>1</v>
      </c>
      <c r="D294" s="55">
        <v>0.95</v>
      </c>
      <c r="E294" s="55">
        <v>1.05</v>
      </c>
      <c r="F294" s="56">
        <v>0.9</v>
      </c>
      <c r="G294">
        <f>IF(getRGB1($C294)="FFFFFF",0,1)+IF(getRGB1($D294)="FFFFFF",0,2)+IF(getRGB1($E294)="FFFFFF",0,3)+IF(getRGB1($F294)="FFFFFF",0,4)</f>
        <v>4</v>
      </c>
    </row>
    <row r="295" spans="1:7" ht="25.5">
      <c r="A295" t="s">
        <v>6653</v>
      </c>
      <c r="B295" s="57" t="s">
        <v>1069</v>
      </c>
      <c r="C295" s="56">
        <v>0.1</v>
      </c>
      <c r="D295" s="55">
        <v>0.2</v>
      </c>
      <c r="E295" s="55">
        <v>0.15</v>
      </c>
      <c r="F295" s="44" t="s">
        <v>1067</v>
      </c>
      <c r="G295">
        <f>IF(getRGB1($C295)="FFFFFF",0,1)+IF(getRGB1($D295)="FFFFFF",0,2)+IF(getRGB1($E295)="FFFFFF",0,3)+IF(getRGB1($F295)="FFFFFF",0,4)</f>
        <v>1</v>
      </c>
    </row>
    <row r="296" spans="1:7" ht="25.5">
      <c r="A296" t="s">
        <v>6653</v>
      </c>
      <c r="B296" s="57" t="s">
        <v>1070</v>
      </c>
      <c r="C296" s="44" t="s">
        <v>252</v>
      </c>
      <c r="D296" s="44" t="s">
        <v>1071</v>
      </c>
      <c r="E296" s="44" t="s">
        <v>1072</v>
      </c>
      <c r="F296" s="43" t="s">
        <v>1073</v>
      </c>
      <c r="G296">
        <f>IF(getRGB1($C296)="FFFFFF",0,1)+IF(getRGB1($D296)="FFFFFF",0,2)+IF(getRGB1($E296)="FFFFFF",0,3)+IF(getRGB1($F296)="FFFFFF",0,4)</f>
        <v>4</v>
      </c>
    </row>
    <row r="297" spans="1:7">
      <c r="A297" t="s">
        <v>6653</v>
      </c>
      <c r="B297" s="57" t="s">
        <v>1074</v>
      </c>
      <c r="C297" s="44" t="s">
        <v>1021</v>
      </c>
      <c r="D297" s="44" t="s">
        <v>1075</v>
      </c>
      <c r="E297" s="44" t="s">
        <v>1076</v>
      </c>
      <c r="F297" s="43" t="s">
        <v>61</v>
      </c>
      <c r="G297">
        <f>IF(getRGB1($C297)="FFFFFF",0,1)+IF(getRGB1($D297)="FFFFFF",0,2)+IF(getRGB1($E297)="FFFFFF",0,3)+IF(getRGB1($F297)="FFFFFF",0,4)</f>
        <v>4</v>
      </c>
    </row>
    <row r="298" spans="1:7" ht="25.5">
      <c r="A298" t="s">
        <v>6653</v>
      </c>
      <c r="B298" s="57" t="s">
        <v>1077</v>
      </c>
      <c r="C298" s="44" t="s">
        <v>1078</v>
      </c>
      <c r="D298" s="44" t="s">
        <v>1079</v>
      </c>
      <c r="E298" s="43" t="s">
        <v>1080</v>
      </c>
      <c r="F298" s="44" t="s">
        <v>1081</v>
      </c>
      <c r="G298">
        <f>IF(getRGB1($C298)="FFFFFF",0,1)+IF(getRGB1($D298)="FFFFFF",0,2)+IF(getRGB1($E298)="FFFFFF",0,3)+IF(getRGB1($F298)="FFFFFF",0,4)</f>
        <v>3</v>
      </c>
    </row>
    <row r="299" spans="1:7" ht="25.5">
      <c r="A299" t="s">
        <v>6653</v>
      </c>
      <c r="B299" s="57" t="s">
        <v>1082</v>
      </c>
      <c r="C299" s="44" t="s">
        <v>1029</v>
      </c>
      <c r="D299" s="44" t="s">
        <v>1030</v>
      </c>
      <c r="E299" s="44" t="s">
        <v>1031</v>
      </c>
      <c r="F299" s="43" t="s">
        <v>1075</v>
      </c>
      <c r="G299">
        <f>IF(getRGB1($C299)="FFFFFF",0,1)+IF(getRGB1($D299)="FFFFFF",0,2)+IF(getRGB1($E299)="FFFFFF",0,3)+IF(getRGB1($F299)="FFFFFF",0,4)</f>
        <v>4</v>
      </c>
    </row>
    <row r="300" spans="1:7" ht="25.5">
      <c r="A300" t="s">
        <v>6653</v>
      </c>
      <c r="B300" s="57" t="s">
        <v>1083</v>
      </c>
      <c r="C300" s="64" t="s">
        <v>1084</v>
      </c>
      <c r="D300" s="64" t="s">
        <v>1085</v>
      </c>
      <c r="E300" s="63" t="s">
        <v>1086</v>
      </c>
      <c r="F300" s="64" t="s">
        <v>1087</v>
      </c>
      <c r="G300">
        <f>IF(getRGB1($C300)="FFFFFF",0,1)+IF(getRGB1($D300)="FFFFFF",0,2)+IF(getRGB1($E300)="FFFFFF",0,3)+IF(getRGB1($F300)="FFFFFF",0,4)</f>
        <v>3</v>
      </c>
    </row>
    <row r="301" spans="1:7" ht="25.5">
      <c r="A301" t="s">
        <v>6653</v>
      </c>
      <c r="B301" s="57" t="s">
        <v>1088</v>
      </c>
      <c r="C301" s="44" t="s">
        <v>1056</v>
      </c>
      <c r="D301" s="43" t="s">
        <v>1052</v>
      </c>
      <c r="E301" s="44" t="s">
        <v>1011</v>
      </c>
      <c r="F301" s="44" t="s">
        <v>1002</v>
      </c>
      <c r="G301">
        <f>IF(getRGB1($C301)="FFFFFF",0,1)+IF(getRGB1($D301)="FFFFFF",0,2)+IF(getRGB1($E301)="FFFFFF",0,3)+IF(getRGB1($F301)="FFFFFF",0,4)</f>
        <v>2</v>
      </c>
    </row>
    <row r="302" spans="1:7" ht="25.5">
      <c r="A302" t="s">
        <v>6653</v>
      </c>
      <c r="B302" s="57" t="s">
        <v>1089</v>
      </c>
      <c r="C302" s="43" t="s">
        <v>1090</v>
      </c>
      <c r="D302" s="44" t="s">
        <v>1091</v>
      </c>
      <c r="E302" s="44" t="s">
        <v>1092</v>
      </c>
      <c r="F302" s="44" t="s">
        <v>1093</v>
      </c>
      <c r="G302">
        <f>IF(getRGB1($C302)="FFFFFF",0,1)+IF(getRGB1($D302)="FFFFFF",0,2)+IF(getRGB1($E302)="FFFFFF",0,3)+IF(getRGB1($F302)="FFFFFF",0,4)</f>
        <v>1</v>
      </c>
    </row>
    <row r="303" spans="1:7" ht="25.5">
      <c r="A303" t="s">
        <v>6653</v>
      </c>
      <c r="B303" s="57" t="s">
        <v>1094</v>
      </c>
      <c r="C303" s="44" t="s">
        <v>1095</v>
      </c>
      <c r="D303" s="43" t="s">
        <v>1096</v>
      </c>
      <c r="E303" s="44" t="s">
        <v>1097</v>
      </c>
      <c r="F303" s="44" t="s">
        <v>1098</v>
      </c>
      <c r="G303">
        <f>IF(getRGB1($C303)="FFFFFF",0,1)+IF(getRGB1($D303)="FFFFFF",0,2)+IF(getRGB1($E303)="FFFFFF",0,3)+IF(getRGB1($F303)="FFFFFF",0,4)</f>
        <v>2</v>
      </c>
    </row>
    <row r="304" spans="1:7">
      <c r="A304" t="s">
        <v>6653</v>
      </c>
      <c r="B304" s="57" t="s">
        <v>1099</v>
      </c>
      <c r="C304" s="56">
        <v>0.1</v>
      </c>
      <c r="D304" s="55">
        <v>0.45</v>
      </c>
      <c r="E304" s="55">
        <v>0.35</v>
      </c>
      <c r="F304" s="55">
        <v>0.5</v>
      </c>
      <c r="G304">
        <f>IF(getRGB1($C304)="FFFFFF",0,1)+IF(getRGB1($D304)="FFFFFF",0,2)+IF(getRGB1($E304)="FFFFFF",0,3)+IF(getRGB1($F304)="FFFFFF",0,4)</f>
        <v>1</v>
      </c>
    </row>
    <row r="305" spans="1:7">
      <c r="A305" t="s">
        <v>6653</v>
      </c>
      <c r="B305" s="57" t="s">
        <v>1100</v>
      </c>
      <c r="C305" s="55">
        <v>0.1</v>
      </c>
      <c r="D305" s="56">
        <v>0.45</v>
      </c>
      <c r="E305" s="55">
        <v>0.35</v>
      </c>
      <c r="F305" s="55">
        <v>0.5</v>
      </c>
      <c r="G305">
        <f>IF(getRGB1($C305)="FFFFFF",0,1)+IF(getRGB1($D305)="FFFFFF",0,2)+IF(getRGB1($E305)="FFFFFF",0,3)+IF(getRGB1($F305)="FFFFFF",0,4)</f>
        <v>2</v>
      </c>
    </row>
    <row r="306" spans="1:7">
      <c r="A306" t="s">
        <v>6653</v>
      </c>
      <c r="B306" s="57" t="s">
        <v>1101</v>
      </c>
      <c r="C306" s="55">
        <v>0.1</v>
      </c>
      <c r="D306" s="55">
        <v>0.15</v>
      </c>
      <c r="E306" s="55">
        <v>0.35</v>
      </c>
      <c r="F306" s="56">
        <v>0.45</v>
      </c>
      <c r="G306">
        <f>IF(getRGB1($C306)="FFFFFF",0,1)+IF(getRGB1($D306)="FFFFFF",0,2)+IF(getRGB1($E306)="FFFFFF",0,3)+IF(getRGB1($F306)="FFFFFF",0,4)</f>
        <v>4</v>
      </c>
    </row>
    <row r="307" spans="1:7" ht="25.5">
      <c r="A307" t="s">
        <v>6653</v>
      </c>
      <c r="B307" s="57" t="s">
        <v>1102</v>
      </c>
      <c r="C307" s="43" t="s">
        <v>1103</v>
      </c>
      <c r="D307" s="44" t="s">
        <v>1104</v>
      </c>
      <c r="E307" s="44" t="s">
        <v>1105</v>
      </c>
      <c r="F307" s="44" t="s">
        <v>1106</v>
      </c>
      <c r="G307">
        <f>IF(getRGB1($C307)="FFFFFF",0,1)+IF(getRGB1($D307)="FFFFFF",0,2)+IF(getRGB1($E307)="FFFFFF",0,3)+IF(getRGB1($F307)="FFFFFF",0,4)</f>
        <v>1</v>
      </c>
    </row>
    <row r="308" spans="1:7" ht="25.5">
      <c r="A308" t="s">
        <v>6653</v>
      </c>
      <c r="B308" s="57" t="s">
        <v>1107</v>
      </c>
      <c r="C308" s="44" t="s">
        <v>1108</v>
      </c>
      <c r="D308" s="43" t="s">
        <v>1109</v>
      </c>
      <c r="E308" s="44" t="s">
        <v>1110</v>
      </c>
      <c r="F308" s="44" t="s">
        <v>1111</v>
      </c>
      <c r="G308">
        <f>IF(getRGB1($C308)="FFFFFF",0,1)+IF(getRGB1($D308)="FFFFFF",0,2)+IF(getRGB1($E308)="FFFFFF",0,3)+IF(getRGB1($F308)="FFFFFF",0,4)</f>
        <v>2</v>
      </c>
    </row>
    <row r="309" spans="1:7" ht="25.5">
      <c r="A309" t="s">
        <v>6653</v>
      </c>
      <c r="B309" s="57" t="s">
        <v>1112</v>
      </c>
      <c r="C309" s="43" t="s">
        <v>1108</v>
      </c>
      <c r="D309" s="44" t="s">
        <v>1109</v>
      </c>
      <c r="E309" s="44" t="s">
        <v>1110</v>
      </c>
      <c r="F309" s="44" t="s">
        <v>1111</v>
      </c>
      <c r="G309">
        <f>IF(getRGB1($C309)="FFFFFF",0,1)+IF(getRGB1($D309)="FFFFFF",0,2)+IF(getRGB1($E309)="FFFFFF",0,3)+IF(getRGB1($F309)="FFFFFF",0,4)</f>
        <v>1</v>
      </c>
    </row>
    <row r="310" spans="1:7" ht="25.5">
      <c r="A310" t="s">
        <v>6653</v>
      </c>
      <c r="B310" s="57" t="s">
        <v>1113</v>
      </c>
      <c r="C310" s="44" t="s">
        <v>1114</v>
      </c>
      <c r="D310" s="44" t="s">
        <v>1115</v>
      </c>
      <c r="E310" s="44" t="s">
        <v>1116</v>
      </c>
      <c r="F310" s="43" t="s">
        <v>1117</v>
      </c>
      <c r="G310">
        <f>IF(getRGB1($C310)="FFFFFF",0,1)+IF(getRGB1($D310)="FFFFFF",0,2)+IF(getRGB1($E310)="FFFFFF",0,3)+IF(getRGB1($F310)="FFFFFF",0,4)</f>
        <v>4</v>
      </c>
    </row>
    <row r="311" spans="1:7" ht="25.5">
      <c r="A311" t="s">
        <v>6653</v>
      </c>
      <c r="B311" s="57" t="s">
        <v>1118</v>
      </c>
      <c r="C311" s="44" t="s">
        <v>1114</v>
      </c>
      <c r="D311" s="44" t="s">
        <v>1115</v>
      </c>
      <c r="E311" s="44" t="s">
        <v>1116</v>
      </c>
      <c r="F311" s="43" t="s">
        <v>1117</v>
      </c>
      <c r="G311">
        <f>IF(getRGB1($C311)="FFFFFF",0,1)+IF(getRGB1($D311)="FFFFFF",0,2)+IF(getRGB1($E311)="FFFFFF",0,3)+IF(getRGB1($F311)="FFFFFF",0,4)</f>
        <v>4</v>
      </c>
    </row>
    <row r="312" spans="1:7" ht="25.5">
      <c r="A312" t="s">
        <v>6653</v>
      </c>
      <c r="B312" s="57" t="s">
        <v>1119</v>
      </c>
      <c r="C312" s="44" t="s">
        <v>174</v>
      </c>
      <c r="D312" s="43" t="s">
        <v>270</v>
      </c>
      <c r="E312" s="44" t="s">
        <v>1059</v>
      </c>
      <c r="F312" s="44" t="s">
        <v>74</v>
      </c>
      <c r="G312">
        <f>IF(getRGB1($C312)="FFFFFF",0,1)+IF(getRGB1($D312)="FFFFFF",0,2)+IF(getRGB1($E312)="FFFFFF",0,3)+IF(getRGB1($F312)="FFFFFF",0,4)</f>
        <v>2</v>
      </c>
    </row>
    <row r="313" spans="1:7" ht="38.25">
      <c r="A313" t="s">
        <v>6653</v>
      </c>
      <c r="B313" s="57" t="s">
        <v>1120</v>
      </c>
      <c r="C313" s="44" t="s">
        <v>1121</v>
      </c>
      <c r="D313" s="44" t="s">
        <v>1122</v>
      </c>
      <c r="E313" s="44" t="s">
        <v>1123</v>
      </c>
      <c r="F313" s="43" t="s">
        <v>1124</v>
      </c>
      <c r="G313">
        <f>IF(getRGB1($C313)="FFFFFF",0,1)+IF(getRGB1($D313)="FFFFFF",0,2)+IF(getRGB1($E313)="FFFFFF",0,3)+IF(getRGB1($F313)="FFFFFF",0,4)</f>
        <v>4</v>
      </c>
    </row>
    <row r="314" spans="1:7">
      <c r="A314" t="s">
        <v>6653</v>
      </c>
      <c r="B314" s="57" t="s">
        <v>1125</v>
      </c>
      <c r="C314" s="44" t="s">
        <v>1126</v>
      </c>
      <c r="D314" s="43" t="s">
        <v>1127</v>
      </c>
      <c r="E314" s="44" t="s">
        <v>1128</v>
      </c>
      <c r="F314" s="44" t="s">
        <v>1129</v>
      </c>
      <c r="G314">
        <f>IF(getRGB1($C314)="FFFFFF",0,1)+IF(getRGB1($D314)="FFFFFF",0,2)+IF(getRGB1($E314)="FFFFFF",0,3)+IF(getRGB1($F314)="FFFFFF",0,4)</f>
        <v>2</v>
      </c>
    </row>
    <row r="315" spans="1:7" ht="25.5">
      <c r="A315" t="s">
        <v>6653</v>
      </c>
      <c r="B315" s="57" t="s">
        <v>1130</v>
      </c>
      <c r="C315" s="44" t="s">
        <v>270</v>
      </c>
      <c r="D315" s="43" t="s">
        <v>76</v>
      </c>
      <c r="E315" s="44" t="s">
        <v>137</v>
      </c>
      <c r="F315" s="44" t="s">
        <v>1131</v>
      </c>
      <c r="G315">
        <f>IF(getRGB1($C315)="FFFFFF",0,1)+IF(getRGB1($D315)="FFFFFF",0,2)+IF(getRGB1($E315)="FFFFFF",0,3)+IF(getRGB1($F315)="FFFFFF",0,4)</f>
        <v>2</v>
      </c>
    </row>
    <row r="316" spans="1:7">
      <c r="A316" t="s">
        <v>6653</v>
      </c>
      <c r="B316" s="57" t="s">
        <v>1132</v>
      </c>
      <c r="C316" s="44" t="s">
        <v>1126</v>
      </c>
      <c r="D316" s="44" t="s">
        <v>1127</v>
      </c>
      <c r="E316" s="43" t="s">
        <v>1128</v>
      </c>
      <c r="F316" s="44" t="s">
        <v>1129</v>
      </c>
      <c r="G316">
        <f>IF(getRGB1($C316)="FFFFFF",0,1)+IF(getRGB1($D316)="FFFFFF",0,2)+IF(getRGB1($E316)="FFFFFF",0,3)+IF(getRGB1($F316)="FFFFFF",0,4)</f>
        <v>3</v>
      </c>
    </row>
    <row r="317" spans="1:7" ht="25.5">
      <c r="A317" t="s">
        <v>6653</v>
      </c>
      <c r="B317" s="57" t="s">
        <v>1133</v>
      </c>
      <c r="C317" s="44" t="s">
        <v>1134</v>
      </c>
      <c r="D317" s="44" t="s">
        <v>1135</v>
      </c>
      <c r="E317" s="43" t="s">
        <v>1136</v>
      </c>
      <c r="F317" s="44" t="s">
        <v>1137</v>
      </c>
      <c r="G317">
        <f>IF(getRGB1($C317)="FFFFFF",0,1)+IF(getRGB1($D317)="FFFFFF",0,2)+IF(getRGB1($E317)="FFFFFF",0,3)+IF(getRGB1($F317)="FFFFFF",0,4)</f>
        <v>3</v>
      </c>
    </row>
    <row r="318" spans="1:7" ht="25.5">
      <c r="A318" t="s">
        <v>6653</v>
      </c>
      <c r="B318" s="57" t="s">
        <v>1138</v>
      </c>
      <c r="C318" s="65">
        <v>1.2500000000000001E-2</v>
      </c>
      <c r="D318" s="55">
        <v>0.01</v>
      </c>
      <c r="E318" s="66">
        <v>1.4999999999999999E-2</v>
      </c>
      <c r="F318" s="55">
        <v>0.02</v>
      </c>
      <c r="G318">
        <f>IF(getRGB1($C318)="FFFFFF",0,1)+IF(getRGB1($D318)="FFFFFF",0,2)+IF(getRGB1($E318)="FFFFFF",0,3)+IF(getRGB1($F318)="FFFFFF",0,4)</f>
        <v>3</v>
      </c>
    </row>
    <row r="319" spans="1:7" ht="25.5">
      <c r="A319" t="s">
        <v>6653</v>
      </c>
      <c r="B319" s="57" t="s">
        <v>1139</v>
      </c>
      <c r="C319" s="55">
        <v>0.01</v>
      </c>
      <c r="D319" s="56">
        <v>0.02</v>
      </c>
      <c r="E319" s="65">
        <v>1.4999999999999999E-2</v>
      </c>
      <c r="F319" s="65">
        <v>1.2500000000000001E-2</v>
      </c>
      <c r="G319">
        <f>IF(getRGB1($C319)="FFFFFF",0,1)+IF(getRGB1($D319)="FFFFFF",0,2)+IF(getRGB1($E319)="FFFFFF",0,3)+IF(getRGB1($F319)="FFFFFF",0,4)</f>
        <v>2</v>
      </c>
    </row>
    <row r="320" spans="1:7" ht="25.5">
      <c r="A320" t="s">
        <v>6653</v>
      </c>
      <c r="B320" s="57" t="s">
        <v>1140</v>
      </c>
      <c r="C320" s="56">
        <v>0.01</v>
      </c>
      <c r="D320" s="55">
        <v>0.02</v>
      </c>
      <c r="E320" s="65">
        <v>1.4999999999999999E-2</v>
      </c>
      <c r="F320" s="65">
        <v>1.2500000000000001E-2</v>
      </c>
      <c r="G320">
        <f>IF(getRGB1($C320)="FFFFFF",0,1)+IF(getRGB1($D320)="FFFFFF",0,2)+IF(getRGB1($E320)="FFFFFF",0,3)+IF(getRGB1($F320)="FFFFFF",0,4)</f>
        <v>1</v>
      </c>
    </row>
    <row r="321" spans="1:7">
      <c r="A321" t="s">
        <v>6653</v>
      </c>
      <c r="B321" s="57" t="s">
        <v>1141</v>
      </c>
      <c r="C321" s="44" t="s">
        <v>1142</v>
      </c>
      <c r="D321" s="44" t="s">
        <v>1143</v>
      </c>
      <c r="E321" s="43" t="s">
        <v>1144</v>
      </c>
      <c r="F321" s="44" t="s">
        <v>1145</v>
      </c>
      <c r="G321">
        <f>IF(getRGB1($C321)="FFFFFF",0,1)+IF(getRGB1($D321)="FFFFFF",0,2)+IF(getRGB1($E321)="FFFFFF",0,3)+IF(getRGB1($F321)="FFFFFF",0,4)</f>
        <v>3</v>
      </c>
    </row>
    <row r="322" spans="1:7">
      <c r="A322" t="s">
        <v>6653</v>
      </c>
      <c r="B322" s="57" t="s">
        <v>1146</v>
      </c>
      <c r="C322" s="44" t="s">
        <v>1147</v>
      </c>
      <c r="D322" s="44" t="s">
        <v>1148</v>
      </c>
      <c r="E322" s="43" t="s">
        <v>1149</v>
      </c>
      <c r="F322" s="41" t="s">
        <v>1150</v>
      </c>
      <c r="G322">
        <f>IF(getRGB1($C322)="FFFFFF",0,1)+IF(getRGB1($D322)="FFFFFF",0,2)+IF(getRGB1($E322)="FFFFFF",0,3)+IF(getRGB1($F322)="FFFFFF",0,4)</f>
        <v>3</v>
      </c>
    </row>
    <row r="323" spans="1:7">
      <c r="A323" t="s">
        <v>6653</v>
      </c>
      <c r="B323" s="57" t="s">
        <v>1151</v>
      </c>
      <c r="C323" s="41" t="s">
        <v>930</v>
      </c>
      <c r="D323" s="40" t="s">
        <v>1152</v>
      </c>
      <c r="E323" s="41"/>
      <c r="F323" s="41"/>
      <c r="G323">
        <f>IF(getRGB1($C323)="FFFFFF",0,1)+IF(getRGB1($D323)="FFFFFF",0,2)+IF(getRGB1($E323)="FFFFFF",0,3)+IF(getRGB1($F323)="FFFFFF",0,4)</f>
        <v>2</v>
      </c>
    </row>
    <row r="324" spans="1:7">
      <c r="A324" t="s">
        <v>6653</v>
      </c>
      <c r="B324" s="57" t="s">
        <v>1153</v>
      </c>
      <c r="C324" s="41" t="s">
        <v>1154</v>
      </c>
      <c r="D324" s="41" t="s">
        <v>1155</v>
      </c>
      <c r="E324" s="67">
        <v>10000</v>
      </c>
      <c r="F324" s="41" t="s">
        <v>1156</v>
      </c>
      <c r="G324">
        <f>IF(getRGB1($C324)="FFFFFF",0,1)+IF(getRGB1($D324)="FFFFFF",0,2)+IF(getRGB1($E324)="FFFFFF",0,3)+IF(getRGB1($F324)="FFFFFF",0,4)</f>
        <v>3</v>
      </c>
    </row>
    <row r="325" spans="1:7">
      <c r="A325" t="s">
        <v>6653</v>
      </c>
      <c r="B325" s="57" t="s">
        <v>1157</v>
      </c>
      <c r="C325" s="41" t="s">
        <v>1158</v>
      </c>
      <c r="D325" s="40" t="s">
        <v>1159</v>
      </c>
      <c r="E325" s="41" t="s">
        <v>1160</v>
      </c>
      <c r="F325" s="68">
        <v>10000</v>
      </c>
      <c r="G325">
        <f>IF(getRGB1($C325)="FFFFFF",0,1)+IF(getRGB1($D325)="FFFFFF",0,2)+IF(getRGB1($E325)="FFFFFF",0,3)+IF(getRGB1($F325)="FFFFFF",0,4)</f>
        <v>2</v>
      </c>
    </row>
    <row r="326" spans="1:7">
      <c r="A326" t="s">
        <v>6653</v>
      </c>
      <c r="B326" s="57" t="s">
        <v>1161</v>
      </c>
      <c r="C326" s="40" t="s">
        <v>1162</v>
      </c>
      <c r="D326" s="44" t="s">
        <v>1163</v>
      </c>
      <c r="E326" s="44" t="s">
        <v>1164</v>
      </c>
      <c r="F326" s="41" t="s">
        <v>61</v>
      </c>
      <c r="G326">
        <f>IF(getRGB1($C326)="FFFFFF",0,1)+IF(getRGB1($D326)="FFFFFF",0,2)+IF(getRGB1($E326)="FFFFFF",0,3)+IF(getRGB1($F326)="FFFFFF",0,4)</f>
        <v>1</v>
      </c>
    </row>
    <row r="327" spans="1:7" ht="25.5">
      <c r="A327" t="s">
        <v>6653</v>
      </c>
      <c r="B327" s="57" t="s">
        <v>1165</v>
      </c>
      <c r="C327" s="41" t="b">
        <v>1</v>
      </c>
      <c r="D327" s="40" t="b">
        <v>0</v>
      </c>
      <c r="E327" s="41"/>
      <c r="F327" s="41"/>
      <c r="G327">
        <f>IF(getRGB1($C327)="FFFFFF",0,1)+IF(getRGB1($D327)="FFFFFF",0,2)+IF(getRGB1($E327)="FFFFFF",0,3)+IF(getRGB1($F327)="FFFFFF",0,4)</f>
        <v>2</v>
      </c>
    </row>
    <row r="328" spans="1:7" ht="25.5">
      <c r="A328" t="s">
        <v>6653</v>
      </c>
      <c r="B328" s="57" t="s">
        <v>1166</v>
      </c>
      <c r="C328" s="41" t="b">
        <v>1</v>
      </c>
      <c r="D328" s="40" t="b">
        <v>0</v>
      </c>
      <c r="E328" s="41"/>
      <c r="F328" s="41"/>
      <c r="G328">
        <f>IF(getRGB1($C328)="FFFFFF",0,1)+IF(getRGB1($D328)="FFFFFF",0,2)+IF(getRGB1($E328)="FFFFFF",0,3)+IF(getRGB1($F328)="FFFFFF",0,4)</f>
        <v>2</v>
      </c>
    </row>
    <row r="329" spans="1:7">
      <c r="A329" t="s">
        <v>6653</v>
      </c>
      <c r="B329" s="57" t="s">
        <v>1167</v>
      </c>
      <c r="C329" s="69" t="s">
        <v>1085</v>
      </c>
      <c r="D329" s="69" t="s">
        <v>1168</v>
      </c>
      <c r="E329" s="70" t="s">
        <v>1086</v>
      </c>
      <c r="F329" s="69" t="s">
        <v>1087</v>
      </c>
      <c r="G329">
        <f>IF(getRGB1($C329)="FFFFFF",0,1)+IF(getRGB1($D329)="FFFFFF",0,2)+IF(getRGB1($E329)="FFFFFF",0,3)+IF(getRGB1($F329)="FFFFFF",0,4)</f>
        <v>3</v>
      </c>
    </row>
    <row r="330" spans="1:7" ht="25.5">
      <c r="A330" t="s">
        <v>6653</v>
      </c>
      <c r="B330" s="57" t="s">
        <v>1169</v>
      </c>
      <c r="C330" s="43" t="s">
        <v>1170</v>
      </c>
      <c r="D330" s="44" t="s">
        <v>1171</v>
      </c>
      <c r="E330" s="41" t="s">
        <v>1172</v>
      </c>
      <c r="F330" s="41" t="s">
        <v>1173</v>
      </c>
      <c r="G330">
        <f>IF(getRGB1($C330)="FFFFFF",0,1)+IF(getRGB1($D330)="FFFFFF",0,2)+IF(getRGB1($E330)="FFFFFF",0,3)+IF(getRGB1($F330)="FFFFFF",0,4)</f>
        <v>1</v>
      </c>
    </row>
    <row r="331" spans="1:7">
      <c r="A331" t="s">
        <v>6653</v>
      </c>
      <c r="B331" s="57" t="s">
        <v>1174</v>
      </c>
      <c r="C331" s="41">
        <v>5</v>
      </c>
      <c r="D331" s="40">
        <v>7</v>
      </c>
      <c r="E331" s="41">
        <v>4</v>
      </c>
      <c r="F331" s="41">
        <v>6</v>
      </c>
      <c r="G331">
        <f>IF(getRGB1($C331)="FFFFFF",0,1)+IF(getRGB1($D331)="FFFFFF",0,2)+IF(getRGB1($E331)="FFFFFF",0,3)+IF(getRGB1($F331)="FFFFFF",0,4)</f>
        <v>2</v>
      </c>
    </row>
    <row r="332" spans="1:7">
      <c r="A332" t="s">
        <v>6653</v>
      </c>
      <c r="B332" s="57" t="s">
        <v>1175</v>
      </c>
      <c r="C332" s="71">
        <v>0.155</v>
      </c>
      <c r="D332" s="72">
        <v>0.15</v>
      </c>
      <c r="E332" s="72">
        <v>0.16</v>
      </c>
      <c r="F332" s="73">
        <v>0.16500000000000001</v>
      </c>
      <c r="G332">
        <f>IF(getRGB1($C332)="FFFFFF",0,1)+IF(getRGB1($D332)="FFFFFF",0,2)+IF(getRGB1($E332)="FFFFFF",0,3)+IF(getRGB1($F332)="FFFFFF",0,4)</f>
        <v>1</v>
      </c>
    </row>
    <row r="333" spans="1:7">
      <c r="A333" t="s">
        <v>6653</v>
      </c>
      <c r="B333" s="57" t="s">
        <v>1176</v>
      </c>
      <c r="C333" s="40" t="s">
        <v>1177</v>
      </c>
      <c r="D333" s="41" t="s">
        <v>1178</v>
      </c>
      <c r="E333" s="41" t="s">
        <v>1179</v>
      </c>
      <c r="F333" s="41" t="s">
        <v>1180</v>
      </c>
      <c r="G333">
        <f>IF(getRGB1($C333)="FFFFFF",0,1)+IF(getRGB1($D333)="FFFFFF",0,2)+IF(getRGB1($E333)="FFFFFF",0,3)+IF(getRGB1($F333)="FFFFFF",0,4)</f>
        <v>1</v>
      </c>
    </row>
    <row r="334" spans="1:7">
      <c r="A334" t="s">
        <v>6653</v>
      </c>
      <c r="B334" s="57" t="s">
        <v>1181</v>
      </c>
      <c r="C334" s="44" t="s">
        <v>1182</v>
      </c>
      <c r="D334" s="44" t="s">
        <v>1183</v>
      </c>
      <c r="E334" s="43" t="s">
        <v>1184</v>
      </c>
      <c r="F334" s="44" t="s">
        <v>66</v>
      </c>
      <c r="G334">
        <f>IF(getRGB1($C334)="FFFFFF",0,1)+IF(getRGB1($D334)="FFFFFF",0,2)+IF(getRGB1($E334)="FFFFFF",0,3)+IF(getRGB1($F334)="FFFFFF",0,4)</f>
        <v>3</v>
      </c>
    </row>
    <row r="335" spans="1:7" ht="25.5">
      <c r="A335" t="s">
        <v>6653</v>
      </c>
      <c r="B335" s="57" t="s">
        <v>1185</v>
      </c>
      <c r="C335" s="43" t="s">
        <v>1186</v>
      </c>
      <c r="D335" s="44" t="s">
        <v>1187</v>
      </c>
      <c r="E335" s="44" t="s">
        <v>1188</v>
      </c>
      <c r="F335" s="41" t="s">
        <v>66</v>
      </c>
      <c r="G335">
        <f>IF(getRGB1($C335)="FFFFFF",0,1)+IF(getRGB1($D335)="FFFFFF",0,2)+IF(getRGB1($E335)="FFFFFF",0,3)+IF(getRGB1($F335)="FFFFFF",0,4)</f>
        <v>1</v>
      </c>
    </row>
    <row r="336" spans="1:7" ht="25.5">
      <c r="A336" t="s">
        <v>6653</v>
      </c>
      <c r="B336" s="57" t="s">
        <v>1189</v>
      </c>
      <c r="C336" s="74" t="s">
        <v>1062</v>
      </c>
      <c r="D336" s="75" t="s">
        <v>1064</v>
      </c>
      <c r="E336" s="76" t="s">
        <v>1190</v>
      </c>
      <c r="F336" s="76" t="s">
        <v>1191</v>
      </c>
      <c r="G336">
        <f>IF(getRGB1($C336)="FFFFFF",0,1)+IF(getRGB1($D336)="FFFFFF",0,2)+IF(getRGB1($E336)="FFFFFF",0,3)+IF(getRGB1($F336)="FFFFFF",0,4)</f>
        <v>2</v>
      </c>
    </row>
    <row r="337" spans="1:7">
      <c r="A337" t="s">
        <v>6653</v>
      </c>
      <c r="B337" s="57" t="s">
        <v>1192</v>
      </c>
      <c r="C337" s="73">
        <v>6.3399999999999998E-2</v>
      </c>
      <c r="D337" s="73">
        <v>4.2299999999999997E-2</v>
      </c>
      <c r="E337" s="71">
        <v>5.7200000000000001E-2</v>
      </c>
      <c r="F337" s="72">
        <v>0.1</v>
      </c>
      <c r="G337">
        <f>IF(getRGB1($C337)="FFFFFF",0,1)+IF(getRGB1($D337)="FFFFFF",0,2)+IF(getRGB1($E337)="FFFFFF",0,3)+IF(getRGB1($F337)="FFFFFF",0,4)</f>
        <v>3</v>
      </c>
    </row>
    <row r="338" spans="1:7">
      <c r="A338" t="s">
        <v>6653</v>
      </c>
      <c r="B338" s="57" t="s">
        <v>1193</v>
      </c>
      <c r="C338" s="41" t="s">
        <v>174</v>
      </c>
      <c r="D338" s="41" t="s">
        <v>1059</v>
      </c>
      <c r="E338" s="41" t="s">
        <v>980</v>
      </c>
      <c r="F338" s="40" t="s">
        <v>1194</v>
      </c>
      <c r="G338">
        <f>IF(getRGB1($C338)="FFFFFF",0,1)+IF(getRGB1($D338)="FFFFFF",0,2)+IF(getRGB1($E338)="FFFFFF",0,3)+IF(getRGB1($F338)="FFFFFF",0,4)</f>
        <v>4</v>
      </c>
    </row>
    <row r="339" spans="1:7" ht="38.25">
      <c r="A339" t="s">
        <v>6653</v>
      </c>
      <c r="B339" s="57" t="s">
        <v>1195</v>
      </c>
      <c r="C339" s="43" t="s">
        <v>1196</v>
      </c>
      <c r="D339" s="44" t="s">
        <v>1197</v>
      </c>
      <c r="E339" s="44" t="s">
        <v>1198</v>
      </c>
      <c r="F339" s="44" t="s">
        <v>1199</v>
      </c>
      <c r="G339">
        <f>IF(getRGB1($C339)="FFFFFF",0,1)+IF(getRGB1($D339)="FFFFFF",0,2)+IF(getRGB1($E339)="FFFFFF",0,3)+IF(getRGB1($F339)="FFFFFF",0,4)</f>
        <v>1</v>
      </c>
    </row>
    <row r="340" spans="1:7">
      <c r="A340" t="s">
        <v>6653</v>
      </c>
      <c r="B340" s="57" t="s">
        <v>1200</v>
      </c>
      <c r="C340" s="44" t="s">
        <v>1201</v>
      </c>
      <c r="D340" s="43" t="s">
        <v>1202</v>
      </c>
      <c r="E340" s="41" t="s">
        <v>836</v>
      </c>
      <c r="F340" s="41" t="s">
        <v>1203</v>
      </c>
      <c r="G340">
        <f>IF(getRGB1($C340)="FFFFFF",0,1)+IF(getRGB1($D340)="FFFFFF",0,2)+IF(getRGB1($E340)="FFFFFF",0,3)+IF(getRGB1($F340)="FFFFFF",0,4)</f>
        <v>2</v>
      </c>
    </row>
    <row r="341" spans="1:7" ht="25.5">
      <c r="A341" t="s">
        <v>6653</v>
      </c>
      <c r="B341" s="57" t="s">
        <v>1204</v>
      </c>
      <c r="C341" s="41" t="s">
        <v>1021</v>
      </c>
      <c r="D341" s="40" t="s">
        <v>1205</v>
      </c>
      <c r="E341" s="41" t="s">
        <v>174</v>
      </c>
      <c r="F341" s="41" t="s">
        <v>1206</v>
      </c>
      <c r="G341">
        <f>IF(getRGB1($C341)="FFFFFF",0,1)+IF(getRGB1($D341)="FFFFFF",0,2)+IF(getRGB1($E341)="FFFFFF",0,3)+IF(getRGB1($F341)="FFFFFF",0,4)</f>
        <v>2</v>
      </c>
    </row>
    <row r="342" spans="1:7">
      <c r="A342" t="s">
        <v>6653</v>
      </c>
      <c r="B342" s="57" t="s">
        <v>1207</v>
      </c>
      <c r="C342" s="41" t="s">
        <v>1208</v>
      </c>
      <c r="D342" s="41" t="s">
        <v>1209</v>
      </c>
      <c r="E342" s="40" t="s">
        <v>1210</v>
      </c>
      <c r="F342" s="41" t="s">
        <v>66</v>
      </c>
      <c r="G342">
        <f>IF(getRGB1($C342)="FFFFFF",0,1)+IF(getRGB1($D342)="FFFFFF",0,2)+IF(getRGB1($E342)="FFFFFF",0,3)+IF(getRGB1($F342)="FFFFFF",0,4)</f>
        <v>3</v>
      </c>
    </row>
    <row r="343" spans="1:7">
      <c r="A343" t="s">
        <v>6653</v>
      </c>
      <c r="B343" s="57" t="s">
        <v>1211</v>
      </c>
      <c r="C343" s="72">
        <v>0.9</v>
      </c>
      <c r="D343" s="72">
        <v>0.75</v>
      </c>
      <c r="E343" s="72">
        <v>0.8</v>
      </c>
      <c r="F343" s="77">
        <v>0.85</v>
      </c>
      <c r="G343">
        <f>IF(getRGB1($C343)="FFFFFF",0,1)+IF(getRGB1($D343)="FFFFFF",0,2)+IF(getRGB1($E343)="FFFFFF",0,3)+IF(getRGB1($F343)="FFFFFF",0,4)</f>
        <v>4</v>
      </c>
    </row>
    <row r="344" spans="1:7" ht="25.5">
      <c r="A344" t="s">
        <v>6653</v>
      </c>
      <c r="B344" s="57" t="s">
        <v>1212</v>
      </c>
      <c r="C344" s="43" t="s">
        <v>1213</v>
      </c>
      <c r="D344" s="61" t="s">
        <v>1214</v>
      </c>
      <c r="E344" s="61" t="s">
        <v>1215</v>
      </c>
      <c r="F344" s="61" t="s">
        <v>1216</v>
      </c>
      <c r="G344">
        <f>IF(getRGB1($C344)="FFFFFF",0,1)+IF(getRGB1($D344)="FFFFFF",0,2)+IF(getRGB1($E344)="FFFFFF",0,3)+IF(getRGB1($F344)="FFFFFF",0,4)</f>
        <v>1</v>
      </c>
    </row>
    <row r="345" spans="1:7" ht="25.5">
      <c r="A345" t="s">
        <v>6653</v>
      </c>
      <c r="B345" s="57" t="s">
        <v>1217</v>
      </c>
      <c r="C345" s="43" t="s">
        <v>1218</v>
      </c>
      <c r="D345" s="61" t="s">
        <v>1219</v>
      </c>
      <c r="E345" s="61" t="s">
        <v>1220</v>
      </c>
      <c r="F345" s="61" t="s">
        <v>1221</v>
      </c>
      <c r="G345">
        <f>IF(getRGB1($C345)="FFFFFF",0,1)+IF(getRGB1($D345)="FFFFFF",0,2)+IF(getRGB1($E345)="FFFFFF",0,3)+IF(getRGB1($F345)="FFFFFF",0,4)</f>
        <v>1</v>
      </c>
    </row>
    <row r="346" spans="1:7">
      <c r="A346" t="s">
        <v>6653</v>
      </c>
      <c r="B346" s="57" t="s">
        <v>1222</v>
      </c>
      <c r="C346" s="41" t="s">
        <v>1223</v>
      </c>
      <c r="D346" s="41" t="s">
        <v>1224</v>
      </c>
      <c r="E346" s="40" t="s">
        <v>1225</v>
      </c>
      <c r="F346" s="41" t="s">
        <v>1226</v>
      </c>
      <c r="G346">
        <f>IF(getRGB1($C346)="FFFFFF",0,1)+IF(getRGB1($D346)="FFFFFF",0,2)+IF(getRGB1($E346)="FFFFFF",0,3)+IF(getRGB1($F346)="FFFFFF",0,4)</f>
        <v>3</v>
      </c>
    </row>
    <row r="347" spans="1:7">
      <c r="A347" t="s">
        <v>6653</v>
      </c>
      <c r="B347" s="57" t="s">
        <v>1227</v>
      </c>
      <c r="C347" s="61" t="s">
        <v>1228</v>
      </c>
      <c r="D347" s="61" t="s">
        <v>1229</v>
      </c>
      <c r="E347" s="43" t="s">
        <v>1230</v>
      </c>
      <c r="F347" s="61" t="s">
        <v>328</v>
      </c>
      <c r="G347">
        <f>IF(getRGB1($C347)="FFFFFF",0,1)+IF(getRGB1($D347)="FFFFFF",0,2)+IF(getRGB1($E347)="FFFFFF",0,3)+IF(getRGB1($F347)="FFFFFF",0,4)</f>
        <v>3</v>
      </c>
    </row>
    <row r="348" spans="1:7">
      <c r="A348" t="s">
        <v>6653</v>
      </c>
      <c r="B348" s="57" t="s">
        <v>1231</v>
      </c>
      <c r="C348" s="61">
        <v>5</v>
      </c>
      <c r="D348" s="61">
        <v>6</v>
      </c>
      <c r="E348" s="43">
        <v>7</v>
      </c>
      <c r="F348" s="61">
        <v>8</v>
      </c>
      <c r="G348">
        <f>IF(getRGB1($C348)="FFFFFF",0,1)+IF(getRGB1($D348)="FFFFFF",0,2)+IF(getRGB1($E348)="FFFFFF",0,3)+IF(getRGB1($F348)="FFFFFF",0,4)</f>
        <v>3</v>
      </c>
    </row>
    <row r="349" spans="1:7">
      <c r="A349" t="s">
        <v>6653</v>
      </c>
      <c r="B349" s="57" t="s">
        <v>1232</v>
      </c>
      <c r="C349" s="43" t="s">
        <v>1233</v>
      </c>
      <c r="D349" s="61" t="s">
        <v>1234</v>
      </c>
      <c r="E349" s="78">
        <v>10000</v>
      </c>
      <c r="F349" s="61" t="s">
        <v>1235</v>
      </c>
      <c r="G349">
        <f>IF(getRGB1($C349)="FFFFFF",0,1)+IF(getRGB1($D349)="FFFFFF",0,2)+IF(getRGB1($E349)="FFFFFF",0,3)+IF(getRGB1($F349)="FFFFFF",0,4)</f>
        <v>1</v>
      </c>
    </row>
    <row r="350" spans="1:7">
      <c r="A350" t="s">
        <v>6653</v>
      </c>
      <c r="B350" s="57" t="s">
        <v>1236</v>
      </c>
      <c r="C350" s="61" t="s">
        <v>1233</v>
      </c>
      <c r="D350" s="61" t="s">
        <v>1234</v>
      </c>
      <c r="E350" s="79">
        <v>10000</v>
      </c>
      <c r="F350" s="61" t="s">
        <v>1235</v>
      </c>
      <c r="G350">
        <f>IF(getRGB1($C350)="FFFFFF",0,1)+IF(getRGB1($D350)="FFFFFF",0,2)+IF(getRGB1($E350)="FFFFFF",0,3)+IF(getRGB1($F350)="FFFFFF",0,4)</f>
        <v>3</v>
      </c>
    </row>
    <row r="351" spans="1:7" ht="63.75">
      <c r="A351" t="s">
        <v>6653</v>
      </c>
      <c r="B351" s="57" t="s">
        <v>1237</v>
      </c>
      <c r="C351" s="43" t="s">
        <v>1238</v>
      </c>
      <c r="D351" s="61" t="s">
        <v>1239</v>
      </c>
      <c r="E351" s="61" t="s">
        <v>1240</v>
      </c>
      <c r="F351" s="61" t="s">
        <v>1241</v>
      </c>
      <c r="G351">
        <f>IF(getRGB1($C351)="FFFFFF",0,1)+IF(getRGB1($D351)="FFFFFF",0,2)+IF(getRGB1($E351)="FFFFFF",0,3)+IF(getRGB1($F351)="FFFFFF",0,4)</f>
        <v>1</v>
      </c>
    </row>
    <row r="352" spans="1:7" ht="51">
      <c r="A352" t="s">
        <v>6653</v>
      </c>
      <c r="B352" s="57" t="s">
        <v>1242</v>
      </c>
      <c r="C352" s="61" t="s">
        <v>1243</v>
      </c>
      <c r="D352" s="61" t="s">
        <v>1244</v>
      </c>
      <c r="E352" s="43" t="s">
        <v>1245</v>
      </c>
      <c r="F352" s="61" t="s">
        <v>1246</v>
      </c>
      <c r="G352">
        <f>IF(getRGB1($C352)="FFFFFF",0,1)+IF(getRGB1($D352)="FFFFFF",0,2)+IF(getRGB1($E352)="FFFFFF",0,3)+IF(getRGB1($F352)="FFFFFF",0,4)</f>
        <v>3</v>
      </c>
    </row>
    <row r="353" spans="1:7" ht="25.5">
      <c r="A353" t="s">
        <v>6653</v>
      </c>
      <c r="B353" s="57" t="s">
        <v>1247</v>
      </c>
      <c r="C353" s="43" t="s">
        <v>1248</v>
      </c>
      <c r="D353" s="61" t="s">
        <v>1249</v>
      </c>
      <c r="E353" s="61" t="s">
        <v>1250</v>
      </c>
      <c r="F353" s="61" t="s">
        <v>1251</v>
      </c>
      <c r="G353">
        <f>IF(getRGB1($C353)="FFFFFF",0,1)+IF(getRGB1($D353)="FFFFFF",0,2)+IF(getRGB1($E353)="FFFFFF",0,3)+IF(getRGB1($F353)="FFFFFF",0,4)</f>
        <v>1</v>
      </c>
    </row>
    <row r="354" spans="1:7" ht="51">
      <c r="A354" t="s">
        <v>6653</v>
      </c>
      <c r="B354" s="57" t="s">
        <v>1252</v>
      </c>
      <c r="C354" s="61" t="s">
        <v>1253</v>
      </c>
      <c r="D354" s="43" t="s">
        <v>1254</v>
      </c>
      <c r="E354" s="61" t="s">
        <v>1255</v>
      </c>
      <c r="F354" s="61" t="s">
        <v>1256</v>
      </c>
      <c r="G354">
        <f>IF(getRGB1($C354)="FFFFFF",0,1)+IF(getRGB1($D354)="FFFFFF",0,2)+IF(getRGB1($E354)="FFFFFF",0,3)+IF(getRGB1($F354)="FFFFFF",0,4)</f>
        <v>2</v>
      </c>
    </row>
    <row r="355" spans="1:7" ht="63.75">
      <c r="A355" t="s">
        <v>6653</v>
      </c>
      <c r="B355" s="57" t="s">
        <v>1257</v>
      </c>
      <c r="C355" s="43" t="s">
        <v>1258</v>
      </c>
      <c r="D355" s="61" t="s">
        <v>1259</v>
      </c>
      <c r="E355" s="61" t="s">
        <v>1260</v>
      </c>
      <c r="F355" s="61" t="s">
        <v>1261</v>
      </c>
      <c r="G355">
        <f>IF(getRGB1($C355)="FFFFFF",0,1)+IF(getRGB1($D355)="FFFFFF",0,2)+IF(getRGB1($E355)="FFFFFF",0,3)+IF(getRGB1($F355)="FFFFFF",0,4)</f>
        <v>1</v>
      </c>
    </row>
    <row r="356" spans="1:7">
      <c r="A356" t="s">
        <v>6653</v>
      </c>
      <c r="B356" s="57" t="s">
        <v>1262</v>
      </c>
      <c r="C356" s="42" t="s">
        <v>1263</v>
      </c>
      <c r="D356" s="61" t="s">
        <v>1264</v>
      </c>
      <c r="E356" s="43" t="s">
        <v>1265</v>
      </c>
      <c r="F356" s="61" t="s">
        <v>1266</v>
      </c>
      <c r="G356">
        <f>IF(getRGB1($C356)="FFFFFF",0,1)+IF(getRGB1($D356)="FFFFFF",0,2)+IF(getRGB1($E356)="FFFFFF",0,3)+IF(getRGB1($F356)="FFFFFF",0,4)</f>
        <v>3</v>
      </c>
    </row>
    <row r="357" spans="1:7" ht="25.5">
      <c r="A357" t="s">
        <v>6653</v>
      </c>
      <c r="B357" s="57" t="s">
        <v>1267</v>
      </c>
      <c r="C357" s="40" t="s">
        <v>1268</v>
      </c>
      <c r="D357" s="61" t="s">
        <v>73</v>
      </c>
      <c r="E357" s="61" t="s">
        <v>74</v>
      </c>
      <c r="F357" s="61" t="s">
        <v>1269</v>
      </c>
      <c r="G357">
        <f>IF(getRGB1($C357)="FFFFFF",0,1)+IF(getRGB1($D357)="FFFFFF",0,2)+IF(getRGB1($E357)="FFFFFF",0,3)+IF(getRGB1($F357)="FFFFFF",0,4)</f>
        <v>1</v>
      </c>
    </row>
    <row r="358" spans="1:7">
      <c r="A358" t="s">
        <v>6653</v>
      </c>
      <c r="B358" s="57" t="s">
        <v>1270</v>
      </c>
      <c r="C358" s="42" t="s">
        <v>1271</v>
      </c>
      <c r="D358" s="40" t="s">
        <v>1272</v>
      </c>
      <c r="E358" s="61" t="s">
        <v>1273</v>
      </c>
      <c r="F358" s="61" t="s">
        <v>1274</v>
      </c>
      <c r="G358">
        <f>IF(getRGB1($C358)="FFFFFF",0,1)+IF(getRGB1($D358)="FFFFFF",0,2)+IF(getRGB1($E358)="FFFFFF",0,3)+IF(getRGB1($F358)="FFFFFF",0,4)</f>
        <v>2</v>
      </c>
    </row>
    <row r="359" spans="1:7" ht="25.5">
      <c r="A359" t="s">
        <v>6653</v>
      </c>
      <c r="B359" s="57" t="s">
        <v>1275</v>
      </c>
      <c r="C359" s="61" t="s">
        <v>1276</v>
      </c>
      <c r="D359" s="61" t="s">
        <v>1277</v>
      </c>
      <c r="E359" s="61" t="s">
        <v>1278</v>
      </c>
      <c r="F359" s="43" t="s">
        <v>1279</v>
      </c>
      <c r="G359">
        <f>IF(getRGB1($C359)="FFFFFF",0,1)+IF(getRGB1($D359)="FFFFFF",0,2)+IF(getRGB1($E359)="FFFFFF",0,3)+IF(getRGB1($F359)="FFFFFF",0,4)</f>
        <v>4</v>
      </c>
    </row>
    <row r="360" spans="1:7" ht="25.5">
      <c r="A360" t="s">
        <v>6653</v>
      </c>
      <c r="B360" s="57" t="s">
        <v>1280</v>
      </c>
      <c r="C360" s="43" t="s">
        <v>1281</v>
      </c>
      <c r="D360" s="61" t="s">
        <v>73</v>
      </c>
      <c r="E360" s="61" t="s">
        <v>1282</v>
      </c>
      <c r="F360" s="61" t="s">
        <v>1283</v>
      </c>
      <c r="G360">
        <f>IF(getRGB1($C360)="FFFFFF",0,1)+IF(getRGB1($D360)="FFFFFF",0,2)+IF(getRGB1($E360)="FFFFFF",0,3)+IF(getRGB1($F360)="FFFFFF",0,4)</f>
        <v>1</v>
      </c>
    </row>
    <row r="361" spans="1:7" ht="25.5">
      <c r="A361" t="s">
        <v>6653</v>
      </c>
      <c r="B361" s="57" t="s">
        <v>1284</v>
      </c>
      <c r="C361" s="40" t="b">
        <v>1</v>
      </c>
      <c r="D361" s="42" t="b">
        <v>0</v>
      </c>
      <c r="E361" s="42"/>
      <c r="F361" s="42"/>
      <c r="G361">
        <f>IF(getRGB1($C361)="FFFFFF",0,1)+IF(getRGB1($D361)="FFFFFF",0,2)+IF(getRGB1($E361)="FFFFFF",0,3)+IF(getRGB1($F361)="FFFFFF",0,4)</f>
        <v>1</v>
      </c>
    </row>
    <row r="362" spans="1:7" ht="25.5">
      <c r="A362" t="s">
        <v>6653</v>
      </c>
      <c r="B362" s="57" t="s">
        <v>1285</v>
      </c>
      <c r="C362" s="42">
        <v>90</v>
      </c>
      <c r="D362" s="42">
        <v>60</v>
      </c>
      <c r="E362" s="40">
        <v>30</v>
      </c>
      <c r="F362" s="42">
        <v>180</v>
      </c>
      <c r="G362">
        <f>IF(getRGB1($C362)="FFFFFF",0,1)+IF(getRGB1($D362)="FFFFFF",0,2)+IF(getRGB1($E362)="FFFFFF",0,3)+IF(getRGB1($F362)="FFFFFF",0,4)</f>
        <v>3</v>
      </c>
    </row>
    <row r="363" spans="1:7" ht="31.5">
      <c r="A363" t="s">
        <v>6654</v>
      </c>
      <c r="B363" s="80" t="s">
        <v>1286</v>
      </c>
      <c r="C363" s="81" t="s">
        <v>1287</v>
      </c>
      <c r="D363" s="81" t="s">
        <v>1288</v>
      </c>
      <c r="E363" s="82" t="s">
        <v>8</v>
      </c>
      <c r="F363" s="81" t="s">
        <v>1289</v>
      </c>
      <c r="G363">
        <f>IF(getRGB1($C363)="FFFFFF",0,1)+IF(getRGB1($D363)="FFFFFF",0,2)+IF(getRGB1($E363)="FFFFFF",0,3)+IF(getRGB1($F363)="FFFFFF",0,4)</f>
        <v>3</v>
      </c>
    </row>
    <row r="364" spans="1:7" ht="47.25">
      <c r="A364" t="s">
        <v>6654</v>
      </c>
      <c r="B364" s="80" t="s">
        <v>1290</v>
      </c>
      <c r="C364" s="81" t="s">
        <v>1291</v>
      </c>
      <c r="D364" s="81" t="s">
        <v>1292</v>
      </c>
      <c r="E364" s="82" t="s">
        <v>1293</v>
      </c>
      <c r="F364" s="81" t="s">
        <v>1294</v>
      </c>
      <c r="G364">
        <f>IF(getRGB1($C364)="FFFFFF",0,1)+IF(getRGB1($D364)="FFFFFF",0,2)+IF(getRGB1($E364)="FFFFFF",0,3)+IF(getRGB1($F364)="FFFFFF",0,4)</f>
        <v>3</v>
      </c>
    </row>
    <row r="365" spans="1:7" ht="31.5">
      <c r="A365" t="s">
        <v>6654</v>
      </c>
      <c r="B365" s="83" t="s">
        <v>1295</v>
      </c>
      <c r="C365" s="82" t="s">
        <v>1296</v>
      </c>
      <c r="D365" s="84" t="s">
        <v>1297</v>
      </c>
      <c r="E365" s="84" t="s">
        <v>1298</v>
      </c>
      <c r="F365" s="84" t="s">
        <v>1299</v>
      </c>
      <c r="G365">
        <f>IF(getRGB1($C365)="FFFFFF",0,1)+IF(getRGB1($D365)="FFFFFF",0,2)+IF(getRGB1($E365)="FFFFFF",0,3)+IF(getRGB1($F365)="FFFFFF",0,4)</f>
        <v>1</v>
      </c>
    </row>
    <row r="366" spans="1:7" ht="15.75">
      <c r="A366" t="s">
        <v>6654</v>
      </c>
      <c r="B366" s="80" t="s">
        <v>1300</v>
      </c>
      <c r="C366" s="81" t="s">
        <v>1301</v>
      </c>
      <c r="D366" s="81" t="s">
        <v>1302</v>
      </c>
      <c r="E366" s="82" t="s">
        <v>1303</v>
      </c>
      <c r="F366" s="81" t="s">
        <v>1304</v>
      </c>
      <c r="G366">
        <f>IF(getRGB1($C366)="FFFFFF",0,1)+IF(getRGB1($D366)="FFFFFF",0,2)+IF(getRGB1($E366)="FFFFFF",0,3)+IF(getRGB1($F366)="FFFFFF",0,4)</f>
        <v>3</v>
      </c>
    </row>
    <row r="367" spans="1:7" ht="63">
      <c r="A367" t="s">
        <v>6654</v>
      </c>
      <c r="B367" s="83" t="s">
        <v>11</v>
      </c>
      <c r="C367" s="84" t="s">
        <v>8</v>
      </c>
      <c r="D367" s="82" t="s">
        <v>12</v>
      </c>
      <c r="E367" s="84" t="s">
        <v>13</v>
      </c>
      <c r="F367" s="84" t="s">
        <v>14</v>
      </c>
      <c r="G367">
        <f>IF(getRGB1($C367)="FFFFFF",0,1)+IF(getRGB1($D367)="FFFFFF",0,2)+IF(getRGB1($E367)="FFFFFF",0,3)+IF(getRGB1($F367)="FFFFFF",0,4)</f>
        <v>2</v>
      </c>
    </row>
    <row r="368" spans="1:7" ht="47.25">
      <c r="A368" t="s">
        <v>6654</v>
      </c>
      <c r="B368" s="80" t="s">
        <v>1305</v>
      </c>
      <c r="C368" s="81" t="s">
        <v>8</v>
      </c>
      <c r="D368" s="81" t="s">
        <v>1289</v>
      </c>
      <c r="E368" s="81" t="s">
        <v>1288</v>
      </c>
      <c r="F368" s="82">
        <v>250</v>
      </c>
      <c r="G368">
        <f>IF(getRGB1($C368)="FFFFFF",0,1)+IF(getRGB1($D368)="FFFFFF",0,2)+IF(getRGB1($E368)="FFFFFF",0,3)+IF(getRGB1($F368)="FFFFFF",0,4)</f>
        <v>4</v>
      </c>
    </row>
    <row r="369" spans="1:7" ht="31.5">
      <c r="A369" t="s">
        <v>6654</v>
      </c>
      <c r="B369" s="80" t="s">
        <v>1306</v>
      </c>
      <c r="C369" s="82">
        <v>30</v>
      </c>
      <c r="D369" s="81">
        <v>60</v>
      </c>
      <c r="E369" s="81">
        <v>90</v>
      </c>
      <c r="F369" s="81">
        <v>120</v>
      </c>
      <c r="G369">
        <f>IF(getRGB1($C369)="FFFFFF",0,1)+IF(getRGB1($D369)="FFFFFF",0,2)+IF(getRGB1($E369)="FFFFFF",0,3)+IF(getRGB1($F369)="FFFFFF",0,4)</f>
        <v>1</v>
      </c>
    </row>
    <row r="370" spans="1:7" ht="31.5">
      <c r="A370" t="s">
        <v>6654</v>
      </c>
      <c r="B370" s="83" t="s">
        <v>1307</v>
      </c>
      <c r="C370" s="84">
        <v>46.25</v>
      </c>
      <c r="D370" s="82">
        <v>80</v>
      </c>
      <c r="E370" s="84">
        <v>100</v>
      </c>
      <c r="F370" s="85" t="s">
        <v>1308</v>
      </c>
      <c r="G370">
        <f>IF(getRGB1($C370)="FFFFFF",0,1)+IF(getRGB1($D370)="FFFFFF",0,2)+IF(getRGB1($E370)="FFFFFF",0,3)+IF(getRGB1($F370)="FFFFFF",0,4)</f>
        <v>2</v>
      </c>
    </row>
    <row r="371" spans="1:7" ht="47.25">
      <c r="A371" t="s">
        <v>6654</v>
      </c>
      <c r="B371" s="83" t="s">
        <v>1309</v>
      </c>
      <c r="C371" s="84" t="s">
        <v>1310</v>
      </c>
      <c r="D371" s="84" t="s">
        <v>1311</v>
      </c>
      <c r="E371" s="82" t="s">
        <v>1312</v>
      </c>
      <c r="F371" s="84" t="s">
        <v>1313</v>
      </c>
      <c r="G371">
        <f>IF(getRGB1($C371)="FFFFFF",0,1)+IF(getRGB1($D371)="FFFFFF",0,2)+IF(getRGB1($E371)="FFFFFF",0,3)+IF(getRGB1($F371)="FFFFFF",0,4)</f>
        <v>3</v>
      </c>
    </row>
    <row r="372" spans="1:7" ht="31.5">
      <c r="A372" t="s">
        <v>6654</v>
      </c>
      <c r="B372" s="83" t="s">
        <v>1314</v>
      </c>
      <c r="C372" s="84" t="s">
        <v>1315</v>
      </c>
      <c r="D372" s="84" t="s">
        <v>1316</v>
      </c>
      <c r="E372" s="82" t="s">
        <v>1317</v>
      </c>
      <c r="F372" s="84" t="s">
        <v>1318</v>
      </c>
      <c r="G372">
        <f>IF(getRGB1($C372)="FFFFFF",0,1)+IF(getRGB1($D372)="FFFFFF",0,2)+IF(getRGB1($E372)="FFFFFF",0,3)+IF(getRGB1($F372)="FFFFFF",0,4)</f>
        <v>3</v>
      </c>
    </row>
    <row r="373" spans="1:7" ht="47.25">
      <c r="A373" t="s">
        <v>6654</v>
      </c>
      <c r="B373" s="80" t="s">
        <v>1319</v>
      </c>
      <c r="C373" s="81" t="s">
        <v>1320</v>
      </c>
      <c r="D373" s="82" t="s">
        <v>25</v>
      </c>
      <c r="E373" s="81" t="s">
        <v>1289</v>
      </c>
      <c r="F373" s="81" t="s">
        <v>1321</v>
      </c>
      <c r="G373">
        <f>IF(getRGB1($C373)="FFFFFF",0,1)+IF(getRGB1($D373)="FFFFFF",0,2)+IF(getRGB1($E373)="FFFFFF",0,3)+IF(getRGB1($F373)="FFFFFF",0,4)</f>
        <v>2</v>
      </c>
    </row>
    <row r="374" spans="1:7" ht="78.75">
      <c r="A374" t="s">
        <v>6654</v>
      </c>
      <c r="B374" s="83" t="s">
        <v>1322</v>
      </c>
      <c r="C374" s="84" t="s">
        <v>1323</v>
      </c>
      <c r="D374" s="84" t="s">
        <v>1324</v>
      </c>
      <c r="E374" s="82" t="s">
        <v>1325</v>
      </c>
      <c r="F374" s="84" t="s">
        <v>1326</v>
      </c>
      <c r="G374">
        <f>IF(getRGB1($C374)="FFFFFF",0,1)+IF(getRGB1($D374)="FFFFFF",0,2)+IF(getRGB1($E374)="FFFFFF",0,3)+IF(getRGB1($F374)="FFFFFF",0,4)</f>
        <v>3</v>
      </c>
    </row>
    <row r="375" spans="1:7" ht="63">
      <c r="A375" t="s">
        <v>6654</v>
      </c>
      <c r="B375" s="83" t="s">
        <v>1327</v>
      </c>
      <c r="C375" s="84" t="s">
        <v>162</v>
      </c>
      <c r="D375" s="84" t="s">
        <v>1328</v>
      </c>
      <c r="E375" s="84" t="s">
        <v>1329</v>
      </c>
      <c r="F375" s="82" t="s">
        <v>1330</v>
      </c>
      <c r="G375">
        <f>IF(getRGB1($C375)="FFFFFF",0,1)+IF(getRGB1($D375)="FFFFFF",0,2)+IF(getRGB1($E375)="FFFFFF",0,3)+IF(getRGB1($F375)="FFFFFF",0,4)</f>
        <v>4</v>
      </c>
    </row>
    <row r="376" spans="1:7" ht="31.5">
      <c r="A376" t="s">
        <v>6654</v>
      </c>
      <c r="B376" s="83" t="s">
        <v>1331</v>
      </c>
      <c r="C376" s="84" t="s">
        <v>1332</v>
      </c>
      <c r="D376" s="82" t="s">
        <v>1333</v>
      </c>
      <c r="E376" s="84" t="s">
        <v>1334</v>
      </c>
      <c r="F376" s="84" t="s">
        <v>1335</v>
      </c>
      <c r="G376">
        <f>IF(getRGB1($C376)="FFFFFF",0,1)+IF(getRGB1($D376)="FFFFFF",0,2)+IF(getRGB1($E376)="FFFFFF",0,3)+IF(getRGB1($F376)="FFFFFF",0,4)</f>
        <v>2</v>
      </c>
    </row>
    <row r="377" spans="1:7" ht="31.5">
      <c r="A377" t="s">
        <v>6654</v>
      </c>
      <c r="B377" s="80" t="s">
        <v>1336</v>
      </c>
      <c r="C377" s="81" t="s">
        <v>1337</v>
      </c>
      <c r="D377" s="82" t="s">
        <v>1338</v>
      </c>
      <c r="E377" s="81" t="s">
        <v>1339</v>
      </c>
      <c r="F377" s="81" t="s">
        <v>1340</v>
      </c>
      <c r="G377">
        <f>IF(getRGB1($C377)="FFFFFF",0,1)+IF(getRGB1($D377)="FFFFFF",0,2)+IF(getRGB1($E377)="FFFFFF",0,3)+IF(getRGB1($F377)="FFFFFF",0,4)</f>
        <v>2</v>
      </c>
    </row>
    <row r="378" spans="1:7" ht="31.5">
      <c r="A378" t="s">
        <v>6654</v>
      </c>
      <c r="B378" s="83" t="s">
        <v>1341</v>
      </c>
      <c r="C378" s="84" t="s">
        <v>1342</v>
      </c>
      <c r="D378" s="82" t="s">
        <v>1343</v>
      </c>
      <c r="E378" s="84" t="s">
        <v>1344</v>
      </c>
      <c r="F378" s="84" t="s">
        <v>1345</v>
      </c>
      <c r="G378">
        <f>IF(getRGB1($C378)="FFFFFF",0,1)+IF(getRGB1($D378)="FFFFFF",0,2)+IF(getRGB1($E378)="FFFFFF",0,3)+IF(getRGB1($F378)="FFFFFF",0,4)</f>
        <v>2</v>
      </c>
    </row>
    <row r="379" spans="1:7" ht="31.5">
      <c r="A379" t="s">
        <v>6654</v>
      </c>
      <c r="B379" s="83" t="s">
        <v>1346</v>
      </c>
      <c r="C379" s="82" t="s">
        <v>1347</v>
      </c>
      <c r="D379" s="84" t="s">
        <v>1348</v>
      </c>
      <c r="E379" s="84" t="s">
        <v>1349</v>
      </c>
      <c r="F379" s="84" t="s">
        <v>1350</v>
      </c>
      <c r="G379">
        <f>IF(getRGB1($C379)="FFFFFF",0,1)+IF(getRGB1($D379)="FFFFFF",0,2)+IF(getRGB1($E379)="FFFFFF",0,3)+IF(getRGB1($F379)="FFFFFF",0,4)</f>
        <v>1</v>
      </c>
    </row>
    <row r="380" spans="1:7" ht="31.5">
      <c r="A380" t="s">
        <v>6654</v>
      </c>
      <c r="B380" s="80" t="s">
        <v>1351</v>
      </c>
      <c r="C380" s="81">
        <v>5</v>
      </c>
      <c r="D380" s="81">
        <v>7</v>
      </c>
      <c r="E380" s="82">
        <v>9</v>
      </c>
      <c r="F380" s="81">
        <v>11</v>
      </c>
      <c r="G380">
        <f>IF(getRGB1($C380)="FFFFFF",0,1)+IF(getRGB1($D380)="FFFFFF",0,2)+IF(getRGB1($E380)="FFFFFF",0,3)+IF(getRGB1($F380)="FFFFFF",0,4)</f>
        <v>3</v>
      </c>
    </row>
    <row r="381" spans="1:7" ht="31.5">
      <c r="A381" t="s">
        <v>6654</v>
      </c>
      <c r="B381" s="80" t="s">
        <v>1352</v>
      </c>
      <c r="C381" s="82">
        <v>3</v>
      </c>
      <c r="D381" s="81">
        <v>5</v>
      </c>
      <c r="E381" s="81">
        <v>7</v>
      </c>
      <c r="F381" s="81">
        <v>9</v>
      </c>
      <c r="G381">
        <f>IF(getRGB1($C381)="FFFFFF",0,1)+IF(getRGB1($D381)="FFFFFF",0,2)+IF(getRGB1($E381)="FFFFFF",0,3)+IF(getRGB1($F381)="FFFFFF",0,4)</f>
        <v>1</v>
      </c>
    </row>
    <row r="382" spans="1:7" ht="31.5">
      <c r="A382" t="s">
        <v>6654</v>
      </c>
      <c r="B382" s="80" t="s">
        <v>1353</v>
      </c>
      <c r="C382" s="82">
        <v>4</v>
      </c>
      <c r="D382" s="81">
        <v>6</v>
      </c>
      <c r="E382" s="81">
        <v>8</v>
      </c>
      <c r="F382" s="81">
        <v>3</v>
      </c>
      <c r="G382">
        <f>IF(getRGB1($C382)="FFFFFF",0,1)+IF(getRGB1($D382)="FFFFFF",0,2)+IF(getRGB1($E382)="FFFFFF",0,3)+IF(getRGB1($F382)="FFFFFF",0,4)</f>
        <v>1</v>
      </c>
    </row>
    <row r="383" spans="1:7" ht="31.5">
      <c r="A383" t="s">
        <v>6654</v>
      </c>
      <c r="B383" s="80" t="s">
        <v>1354</v>
      </c>
      <c r="C383" s="81" t="s">
        <v>1355</v>
      </c>
      <c r="D383" s="81" t="s">
        <v>1356</v>
      </c>
      <c r="E383" s="81" t="s">
        <v>1357</v>
      </c>
      <c r="F383" s="82" t="s">
        <v>1358</v>
      </c>
      <c r="G383">
        <f>IF(getRGB1($C383)="FFFFFF",0,1)+IF(getRGB1($D383)="FFFFFF",0,2)+IF(getRGB1($E383)="FFFFFF",0,3)+IF(getRGB1($F383)="FFFFFF",0,4)</f>
        <v>4</v>
      </c>
    </row>
    <row r="384" spans="1:7" ht="31.5">
      <c r="A384" t="s">
        <v>6654</v>
      </c>
      <c r="B384" s="83" t="s">
        <v>1359</v>
      </c>
      <c r="C384" s="82" t="s">
        <v>1360</v>
      </c>
      <c r="D384" s="84" t="s">
        <v>1361</v>
      </c>
      <c r="E384" s="84" t="s">
        <v>1362</v>
      </c>
      <c r="F384" s="84" t="s">
        <v>1363</v>
      </c>
      <c r="G384">
        <f>IF(getRGB1($C384)="FFFFFF",0,1)+IF(getRGB1($D384)="FFFFFF",0,2)+IF(getRGB1($E384)="FFFFFF",0,3)+IF(getRGB1($F384)="FFFFFF",0,4)</f>
        <v>1</v>
      </c>
    </row>
    <row r="385" spans="1:7" ht="15.75">
      <c r="A385" t="s">
        <v>6654</v>
      </c>
      <c r="B385" s="83" t="s">
        <v>1364</v>
      </c>
      <c r="C385" s="82" t="s">
        <v>1365</v>
      </c>
      <c r="D385" s="84" t="s">
        <v>1366</v>
      </c>
      <c r="E385" s="84" t="s">
        <v>1367</v>
      </c>
      <c r="F385" s="84" t="s">
        <v>1368</v>
      </c>
      <c r="G385">
        <f>IF(getRGB1($C385)="FFFFFF",0,1)+IF(getRGB1($D385)="FFFFFF",0,2)+IF(getRGB1($E385)="FFFFFF",0,3)+IF(getRGB1($F385)="FFFFFF",0,4)</f>
        <v>1</v>
      </c>
    </row>
    <row r="386" spans="1:7" ht="15.75">
      <c r="A386" t="s">
        <v>6654</v>
      </c>
      <c r="B386" s="83" t="s">
        <v>1369</v>
      </c>
      <c r="C386" s="84" t="s">
        <v>1370</v>
      </c>
      <c r="D386" s="82" t="s">
        <v>1371</v>
      </c>
      <c r="E386" s="84" t="s">
        <v>1372</v>
      </c>
      <c r="F386" s="84" t="s">
        <v>1373</v>
      </c>
      <c r="G386">
        <f>IF(getRGB1($C386)="FFFFFF",0,1)+IF(getRGB1($D386)="FFFFFF",0,2)+IF(getRGB1($E386)="FFFFFF",0,3)+IF(getRGB1($F386)="FFFFFF",0,4)</f>
        <v>2</v>
      </c>
    </row>
    <row r="387" spans="1:7" ht="15.75">
      <c r="A387" t="s">
        <v>6654</v>
      </c>
      <c r="B387" s="83" t="s">
        <v>1374</v>
      </c>
      <c r="C387" s="84" t="s">
        <v>1365</v>
      </c>
      <c r="D387" s="82" t="s">
        <v>1366</v>
      </c>
      <c r="E387" s="84" t="s">
        <v>1367</v>
      </c>
      <c r="F387" s="84" t="s">
        <v>1368</v>
      </c>
      <c r="G387">
        <f>IF(getRGB1($C387)="FFFFFF",0,1)+IF(getRGB1($D387)="FFFFFF",0,2)+IF(getRGB1($E387)="FFFFFF",0,3)+IF(getRGB1($F387)="FFFFFF",0,4)</f>
        <v>2</v>
      </c>
    </row>
    <row r="388" spans="1:7" ht="31.5">
      <c r="A388" t="s">
        <v>6654</v>
      </c>
      <c r="B388" s="83" t="s">
        <v>1375</v>
      </c>
      <c r="C388" s="84" t="s">
        <v>1376</v>
      </c>
      <c r="D388" s="84" t="s">
        <v>1377</v>
      </c>
      <c r="E388" s="84" t="s">
        <v>1378</v>
      </c>
      <c r="F388" s="82" t="s">
        <v>1379</v>
      </c>
      <c r="G388">
        <f>IF(getRGB1($C388)="FFFFFF",0,1)+IF(getRGB1($D388)="FFFFFF",0,2)+IF(getRGB1($E388)="FFFFFF",0,3)+IF(getRGB1($F388)="FFFFFF",0,4)</f>
        <v>4</v>
      </c>
    </row>
    <row r="389" spans="1:7" ht="15.75">
      <c r="A389" t="s">
        <v>6654</v>
      </c>
      <c r="B389" s="83" t="s">
        <v>1380</v>
      </c>
      <c r="C389" s="82" t="s">
        <v>1381</v>
      </c>
      <c r="D389" s="84" t="s">
        <v>1382</v>
      </c>
      <c r="E389" s="84" t="s">
        <v>1383</v>
      </c>
      <c r="F389" s="84" t="s">
        <v>1384</v>
      </c>
      <c r="G389">
        <f>IF(getRGB1($C389)="FFFFFF",0,1)+IF(getRGB1($D389)="FFFFFF",0,2)+IF(getRGB1($E389)="FFFFFF",0,3)+IF(getRGB1($F389)="FFFFFF",0,4)</f>
        <v>1</v>
      </c>
    </row>
    <row r="390" spans="1:7" ht="31.5">
      <c r="A390" t="s">
        <v>6654</v>
      </c>
      <c r="B390" s="83" t="s">
        <v>1385</v>
      </c>
      <c r="C390" s="82" t="s">
        <v>1381</v>
      </c>
      <c r="D390" s="84" t="s">
        <v>1382</v>
      </c>
      <c r="E390" s="84" t="s">
        <v>1383</v>
      </c>
      <c r="F390" s="84" t="s">
        <v>1384</v>
      </c>
      <c r="G390">
        <f>IF(getRGB1($C390)="FFFFFF",0,1)+IF(getRGB1($D390)="FFFFFF",0,2)+IF(getRGB1($E390)="FFFFFF",0,3)+IF(getRGB1($F390)="FFFFFF",0,4)</f>
        <v>1</v>
      </c>
    </row>
    <row r="391" spans="1:7" ht="31.5">
      <c r="A391" t="s">
        <v>6654</v>
      </c>
      <c r="B391" s="83" t="s">
        <v>1386</v>
      </c>
      <c r="C391" s="82" t="s">
        <v>8</v>
      </c>
      <c r="D391" s="84" t="s">
        <v>1289</v>
      </c>
      <c r="E391" s="84" t="s">
        <v>1320</v>
      </c>
      <c r="F391" s="84" t="s">
        <v>25</v>
      </c>
      <c r="G391">
        <f>IF(getRGB1($C391)="FFFFFF",0,1)+IF(getRGB1($D391)="FFFFFF",0,2)+IF(getRGB1($E391)="FFFFFF",0,3)+IF(getRGB1($F391)="FFFFFF",0,4)</f>
        <v>1</v>
      </c>
    </row>
    <row r="392" spans="1:7" ht="47.25">
      <c r="A392" t="s">
        <v>6654</v>
      </c>
      <c r="B392" s="83" t="s">
        <v>1387</v>
      </c>
      <c r="C392" s="84" t="s">
        <v>1388</v>
      </c>
      <c r="D392" s="82" t="s">
        <v>1389</v>
      </c>
      <c r="E392" s="84" t="s">
        <v>1390</v>
      </c>
      <c r="F392" s="84" t="s">
        <v>1391</v>
      </c>
      <c r="G392">
        <f>IF(getRGB1($C392)="FFFFFF",0,1)+IF(getRGB1($D392)="FFFFFF",0,2)+IF(getRGB1($E392)="FFFFFF",0,3)+IF(getRGB1($F392)="FFFFFF",0,4)</f>
        <v>2</v>
      </c>
    </row>
    <row r="393" spans="1:7" ht="47.25">
      <c r="A393" t="s">
        <v>6654</v>
      </c>
      <c r="B393" s="83" t="s">
        <v>1392</v>
      </c>
      <c r="C393" s="84" t="s">
        <v>1393</v>
      </c>
      <c r="D393" s="84" t="s">
        <v>1394</v>
      </c>
      <c r="E393" s="82" t="s">
        <v>1395</v>
      </c>
      <c r="F393" s="84" t="s">
        <v>1396</v>
      </c>
      <c r="G393">
        <f>IF(getRGB1($C393)="FFFFFF",0,1)+IF(getRGB1($D393)="FFFFFF",0,2)+IF(getRGB1($E393)="FFFFFF",0,3)+IF(getRGB1($F393)="FFFFFF",0,4)</f>
        <v>3</v>
      </c>
    </row>
    <row r="394" spans="1:7" ht="63">
      <c r="A394" t="s">
        <v>6654</v>
      </c>
      <c r="B394" s="80" t="s">
        <v>1397</v>
      </c>
      <c r="C394" s="81" t="s">
        <v>1398</v>
      </c>
      <c r="D394" s="82" t="s">
        <v>1399</v>
      </c>
      <c r="E394" s="81" t="s">
        <v>1400</v>
      </c>
      <c r="F394" s="81" t="s">
        <v>1401</v>
      </c>
      <c r="G394">
        <f>IF(getRGB1($C394)="FFFFFF",0,1)+IF(getRGB1($D394)="FFFFFF",0,2)+IF(getRGB1($E394)="FFFFFF",0,3)+IF(getRGB1($F394)="FFFFFF",0,4)</f>
        <v>2</v>
      </c>
    </row>
    <row r="395" spans="1:7" ht="31.5">
      <c r="A395" t="s">
        <v>6654</v>
      </c>
      <c r="B395" s="83" t="s">
        <v>1402</v>
      </c>
      <c r="C395" s="84">
        <v>1E-3</v>
      </c>
      <c r="D395" s="82">
        <v>0.01</v>
      </c>
      <c r="E395" s="84">
        <v>0.1</v>
      </c>
      <c r="F395" s="84">
        <v>1</v>
      </c>
      <c r="G395">
        <f>IF(getRGB1($C395)="FFFFFF",0,1)+IF(getRGB1($D395)="FFFFFF",0,2)+IF(getRGB1($E395)="FFFFFF",0,3)+IF(getRGB1($F395)="FFFFFF",0,4)</f>
        <v>2</v>
      </c>
    </row>
    <row r="396" spans="1:7" ht="31.5">
      <c r="A396" t="s">
        <v>6654</v>
      </c>
      <c r="B396" s="83" t="s">
        <v>1403</v>
      </c>
      <c r="C396" s="82" t="s">
        <v>1332</v>
      </c>
      <c r="D396" s="84" t="s">
        <v>1404</v>
      </c>
      <c r="E396" s="84" t="s">
        <v>1405</v>
      </c>
      <c r="F396" s="84" t="s">
        <v>1406</v>
      </c>
      <c r="G396">
        <f>IF(getRGB1($C396)="FFFFFF",0,1)+IF(getRGB1($D396)="FFFFFF",0,2)+IF(getRGB1($E396)="FFFFFF",0,3)+IF(getRGB1($F396)="FFFFFF",0,4)</f>
        <v>1</v>
      </c>
    </row>
    <row r="397" spans="1:7" ht="47.25">
      <c r="A397" t="s">
        <v>6654</v>
      </c>
      <c r="B397" s="83" t="s">
        <v>1407</v>
      </c>
      <c r="C397" s="82" t="s">
        <v>1408</v>
      </c>
      <c r="D397" s="84" t="s">
        <v>1409</v>
      </c>
      <c r="E397" s="84" t="s">
        <v>1410</v>
      </c>
      <c r="F397" s="84" t="s">
        <v>1363</v>
      </c>
      <c r="G397">
        <f>IF(getRGB1($C397)="FFFFFF",0,1)+IF(getRGB1($D397)="FFFFFF",0,2)+IF(getRGB1($E397)="FFFFFF",0,3)+IF(getRGB1($F397)="FFFFFF",0,4)</f>
        <v>1</v>
      </c>
    </row>
    <row r="398" spans="1:7" ht="31.5">
      <c r="A398" t="s">
        <v>6654</v>
      </c>
      <c r="B398" s="80" t="s">
        <v>1411</v>
      </c>
      <c r="C398" s="81" t="s">
        <v>1412</v>
      </c>
      <c r="D398" s="81" t="s">
        <v>1413</v>
      </c>
      <c r="E398" s="82" t="s">
        <v>1414</v>
      </c>
      <c r="F398" s="81" t="s">
        <v>1415</v>
      </c>
      <c r="G398">
        <f>IF(getRGB1($C398)="FFFFFF",0,1)+IF(getRGB1($D398)="FFFFFF",0,2)+IF(getRGB1($E398)="FFFFFF",0,3)+IF(getRGB1($F398)="FFFFFF",0,4)</f>
        <v>3</v>
      </c>
    </row>
    <row r="399" spans="1:7" ht="31.5">
      <c r="A399" t="s">
        <v>6654</v>
      </c>
      <c r="B399" s="83" t="s">
        <v>1416</v>
      </c>
      <c r="C399" s="84" t="s">
        <v>1417</v>
      </c>
      <c r="D399" s="82" t="s">
        <v>1418</v>
      </c>
      <c r="E399" s="84" t="s">
        <v>1419</v>
      </c>
      <c r="F399" s="84" t="s">
        <v>1333</v>
      </c>
      <c r="G399">
        <f>IF(getRGB1($C399)="FFFFFF",0,1)+IF(getRGB1($D399)="FFFFFF",0,2)+IF(getRGB1($E399)="FFFFFF",0,3)+IF(getRGB1($F399)="FFFFFF",0,4)</f>
        <v>2</v>
      </c>
    </row>
    <row r="400" spans="1:7" ht="47.25">
      <c r="A400" t="s">
        <v>6654</v>
      </c>
      <c r="B400" s="83" t="s">
        <v>1420</v>
      </c>
      <c r="C400" s="84">
        <v>26400</v>
      </c>
      <c r="D400" s="82">
        <f>28800+50*24*2</f>
        <v>31200</v>
      </c>
      <c r="E400" s="81">
        <v>27600</v>
      </c>
      <c r="F400" s="84">
        <v>28800</v>
      </c>
      <c r="G400">
        <f>IF(getRGB1($C400)="FFFFFF",0,1)+IF(getRGB1($D400)="FFFFFF",0,2)+IF(getRGB1($E400)="FFFFFF",0,3)+IF(getRGB1($F400)="FFFFFF",0,4)</f>
        <v>2</v>
      </c>
    </row>
    <row r="401" spans="1:7" ht="63">
      <c r="A401" t="s">
        <v>6654</v>
      </c>
      <c r="B401" s="83" t="s">
        <v>1421</v>
      </c>
      <c r="C401" s="84" t="s">
        <v>1422</v>
      </c>
      <c r="D401" s="82">
        <v>2400</v>
      </c>
      <c r="E401" s="84">
        <v>4800</v>
      </c>
      <c r="F401" s="84">
        <v>3600</v>
      </c>
      <c r="G401">
        <f>IF(getRGB1($C401)="FFFFFF",0,1)+IF(getRGB1($D401)="FFFFFF",0,2)+IF(getRGB1($E401)="FFFFFF",0,3)+IF(getRGB1($F401)="FFFFFF",0,4)</f>
        <v>2</v>
      </c>
    </row>
    <row r="402" spans="1:7" ht="47.25">
      <c r="A402" t="s">
        <v>6654</v>
      </c>
      <c r="B402" s="83" t="s">
        <v>1423</v>
      </c>
      <c r="C402" s="84">
        <v>50400</v>
      </c>
      <c r="D402" s="84">
        <v>25200</v>
      </c>
      <c r="E402" s="82">
        <v>27600</v>
      </c>
      <c r="F402" s="84">
        <v>28800</v>
      </c>
      <c r="G402">
        <f>IF(getRGB1($C402)="FFFFFF",0,1)+IF(getRGB1($D402)="FFFFFF",0,2)+IF(getRGB1($E402)="FFFFFF",0,3)+IF(getRGB1($F402)="FFFFFF",0,4)</f>
        <v>3</v>
      </c>
    </row>
    <row r="403" spans="1:7" ht="31.5">
      <c r="A403" t="s">
        <v>6654</v>
      </c>
      <c r="B403" s="83" t="s">
        <v>1424</v>
      </c>
      <c r="C403" s="84" t="s">
        <v>1425</v>
      </c>
      <c r="D403" s="84" t="s">
        <v>1426</v>
      </c>
      <c r="E403" s="82" t="s">
        <v>1427</v>
      </c>
      <c r="F403" s="84" t="s">
        <v>1428</v>
      </c>
      <c r="G403">
        <f>IF(getRGB1($C403)="FFFFFF",0,1)+IF(getRGB1($D403)="FFFFFF",0,2)+IF(getRGB1($E403)="FFFFFF",0,3)+IF(getRGB1($F403)="FFFFFF",0,4)</f>
        <v>3</v>
      </c>
    </row>
    <row r="404" spans="1:7" ht="31.5">
      <c r="A404" t="s">
        <v>6654</v>
      </c>
      <c r="B404" s="83" t="s">
        <v>1429</v>
      </c>
      <c r="C404" s="84" t="s">
        <v>1425</v>
      </c>
      <c r="D404" s="82" t="s">
        <v>1426</v>
      </c>
      <c r="E404" s="81" t="s">
        <v>1427</v>
      </c>
      <c r="F404" s="84" t="s">
        <v>1430</v>
      </c>
      <c r="G404">
        <f>IF(getRGB1($C404)="FFFFFF",0,1)+IF(getRGB1($D404)="FFFFFF",0,2)+IF(getRGB1($E404)="FFFFFF",0,3)+IF(getRGB1($F404)="FFFFFF",0,4)</f>
        <v>2</v>
      </c>
    </row>
    <row r="405" spans="1:7" ht="31.5">
      <c r="A405" t="s">
        <v>6654</v>
      </c>
      <c r="B405" s="83" t="s">
        <v>1431</v>
      </c>
      <c r="C405" s="84" t="s">
        <v>1425</v>
      </c>
      <c r="D405" s="84" t="s">
        <v>1426</v>
      </c>
      <c r="E405" s="84" t="s">
        <v>1427</v>
      </c>
      <c r="F405" s="82" t="s">
        <v>1430</v>
      </c>
      <c r="G405">
        <f>IF(getRGB1($C405)="FFFFFF",0,1)+IF(getRGB1($D405)="FFFFFF",0,2)+IF(getRGB1($E405)="FFFFFF",0,3)+IF(getRGB1($F405)="FFFFFF",0,4)</f>
        <v>4</v>
      </c>
    </row>
    <row r="406" spans="1:7" ht="31.5">
      <c r="A406" t="s">
        <v>6654</v>
      </c>
      <c r="B406" s="83" t="s">
        <v>1432</v>
      </c>
      <c r="C406" s="84" t="s">
        <v>1332</v>
      </c>
      <c r="D406" s="82" t="s">
        <v>1333</v>
      </c>
      <c r="E406" s="84" t="s">
        <v>1334</v>
      </c>
      <c r="F406" s="84" t="s">
        <v>1335</v>
      </c>
      <c r="G406">
        <f>IF(getRGB1($C406)="FFFFFF",0,1)+IF(getRGB1($D406)="FFFFFF",0,2)+IF(getRGB1($E406)="FFFFFF",0,3)+IF(getRGB1($F406)="FFFFFF",0,4)</f>
        <v>2</v>
      </c>
    </row>
    <row r="407" spans="1:7" ht="47.25">
      <c r="A407" t="s">
        <v>6654</v>
      </c>
      <c r="B407" s="83" t="s">
        <v>1433</v>
      </c>
      <c r="C407" s="84" t="s">
        <v>1434</v>
      </c>
      <c r="D407" s="82" t="s">
        <v>1435</v>
      </c>
      <c r="E407" s="84" t="s">
        <v>1436</v>
      </c>
      <c r="F407" s="84" t="s">
        <v>1437</v>
      </c>
      <c r="G407">
        <f>IF(getRGB1($C407)="FFFFFF",0,1)+IF(getRGB1($D407)="FFFFFF",0,2)+IF(getRGB1($E407)="FFFFFF",0,3)+IF(getRGB1($F407)="FFFFFF",0,4)</f>
        <v>2</v>
      </c>
    </row>
    <row r="408" spans="1:7" ht="31.5">
      <c r="A408" t="s">
        <v>6654</v>
      </c>
      <c r="B408" s="83" t="s">
        <v>1438</v>
      </c>
      <c r="C408" s="82" t="s">
        <v>10</v>
      </c>
      <c r="D408" s="84" t="s">
        <v>1439</v>
      </c>
      <c r="E408" s="84" t="s">
        <v>1440</v>
      </c>
      <c r="F408" s="84" t="s">
        <v>1434</v>
      </c>
      <c r="G408">
        <f>IF(getRGB1($C408)="FFFFFF",0,1)+IF(getRGB1($D408)="FFFFFF",0,2)+IF(getRGB1($E408)="FFFFFF",0,3)+IF(getRGB1($F408)="FFFFFF",0,4)</f>
        <v>1</v>
      </c>
    </row>
    <row r="409" spans="1:7" ht="47.25">
      <c r="A409" t="s">
        <v>6654</v>
      </c>
      <c r="B409" s="80" t="s">
        <v>1441</v>
      </c>
      <c r="C409" s="81" t="s">
        <v>1442</v>
      </c>
      <c r="D409" s="81" t="s">
        <v>1443</v>
      </c>
      <c r="E409" s="82" t="s">
        <v>1444</v>
      </c>
      <c r="F409" s="81" t="s">
        <v>1445</v>
      </c>
      <c r="G409">
        <f>IF(getRGB1($C409)="FFFFFF",0,1)+IF(getRGB1($D409)="FFFFFF",0,2)+IF(getRGB1($E409)="FFFFFF",0,3)+IF(getRGB1($F409)="FFFFFF",0,4)</f>
        <v>3</v>
      </c>
    </row>
    <row r="410" spans="1:7" ht="31.5">
      <c r="A410" t="s">
        <v>6654</v>
      </c>
      <c r="B410" s="83" t="s">
        <v>1446</v>
      </c>
      <c r="C410" s="82">
        <v>3</v>
      </c>
      <c r="D410" s="84">
        <v>5</v>
      </c>
      <c r="E410" s="84">
        <v>7</v>
      </c>
      <c r="F410" s="84">
        <v>15</v>
      </c>
      <c r="G410">
        <f>IF(getRGB1($C410)="FFFFFF",0,1)+IF(getRGB1($D410)="FFFFFF",0,2)+IF(getRGB1($E410)="FFFFFF",0,3)+IF(getRGB1($F410)="FFFFFF",0,4)</f>
        <v>1</v>
      </c>
    </row>
    <row r="411" spans="1:7" ht="47.25">
      <c r="A411" t="s">
        <v>6654</v>
      </c>
      <c r="B411" s="83" t="s">
        <v>1447</v>
      </c>
      <c r="C411" s="84" t="s">
        <v>1448</v>
      </c>
      <c r="D411" s="84" t="s">
        <v>1449</v>
      </c>
      <c r="E411" s="82" t="s">
        <v>1450</v>
      </c>
      <c r="F411" s="84" t="s">
        <v>1451</v>
      </c>
      <c r="G411">
        <f>IF(getRGB1($C411)="FFFFFF",0,1)+IF(getRGB1($D411)="FFFFFF",0,2)+IF(getRGB1($E411)="FFFFFF",0,3)+IF(getRGB1($F411)="FFFFFF",0,4)</f>
        <v>3</v>
      </c>
    </row>
    <row r="412" spans="1:7" ht="31.5">
      <c r="A412" t="s">
        <v>6654</v>
      </c>
      <c r="B412" s="83" t="s">
        <v>1452</v>
      </c>
      <c r="C412" s="84" t="s">
        <v>1453</v>
      </c>
      <c r="D412" s="82" t="s">
        <v>1454</v>
      </c>
      <c r="E412" s="84" t="s">
        <v>1455</v>
      </c>
      <c r="F412" s="84" t="s">
        <v>61</v>
      </c>
      <c r="G412">
        <f>IF(getRGB1($C412)="FFFFFF",0,1)+IF(getRGB1($D412)="FFFFFF",0,2)+IF(getRGB1($E412)="FFFFFF",0,3)+IF(getRGB1($F412)="FFFFFF",0,4)</f>
        <v>2</v>
      </c>
    </row>
    <row r="413" spans="1:7" ht="31.5">
      <c r="A413" t="s">
        <v>6654</v>
      </c>
      <c r="B413" s="83" t="s">
        <v>1456</v>
      </c>
      <c r="C413" s="84" t="s">
        <v>1457</v>
      </c>
      <c r="D413" s="82" t="s">
        <v>1458</v>
      </c>
      <c r="E413" s="84" t="s">
        <v>1459</v>
      </c>
      <c r="F413" s="81" t="s">
        <v>1460</v>
      </c>
      <c r="G413">
        <f>IF(getRGB1($C413)="FFFFFF",0,1)+IF(getRGB1($D413)="FFFFFF",0,2)+IF(getRGB1($E413)="FFFFFF",0,3)+IF(getRGB1($F413)="FFFFFF",0,4)</f>
        <v>2</v>
      </c>
    </row>
    <row r="414" spans="1:7" ht="31.5">
      <c r="A414" t="s">
        <v>6654</v>
      </c>
      <c r="B414" s="83" t="s">
        <v>1461</v>
      </c>
      <c r="C414" s="84" t="s">
        <v>1462</v>
      </c>
      <c r="D414" s="84" t="s">
        <v>44</v>
      </c>
      <c r="E414" s="82" t="s">
        <v>1463</v>
      </c>
      <c r="F414" s="84" t="s">
        <v>1464</v>
      </c>
      <c r="G414">
        <f>IF(getRGB1($C414)="FFFFFF",0,1)+IF(getRGB1($D414)="FFFFFF",0,2)+IF(getRGB1($E414)="FFFFFF",0,3)+IF(getRGB1($F414)="FFFFFF",0,4)</f>
        <v>3</v>
      </c>
    </row>
    <row r="415" spans="1:7" ht="31.5">
      <c r="A415" t="s">
        <v>6654</v>
      </c>
      <c r="B415" s="80" t="s">
        <v>1465</v>
      </c>
      <c r="C415" s="82" t="s">
        <v>1466</v>
      </c>
      <c r="D415" s="81" t="s">
        <v>1467</v>
      </c>
      <c r="E415" s="81" t="s">
        <v>1468</v>
      </c>
      <c r="F415" s="81" t="s">
        <v>61</v>
      </c>
      <c r="G415">
        <f>IF(getRGB1($C415)="FFFFFF",0,1)+IF(getRGB1($D415)="FFFFFF",0,2)+IF(getRGB1($E415)="FFFFFF",0,3)+IF(getRGB1($F415)="FFFFFF",0,4)</f>
        <v>1</v>
      </c>
    </row>
    <row r="416" spans="1:7" ht="47.25">
      <c r="A416" t="s">
        <v>6654</v>
      </c>
      <c r="B416" s="83" t="s">
        <v>1469</v>
      </c>
      <c r="C416" s="84" t="s">
        <v>1470</v>
      </c>
      <c r="D416" s="82" t="s">
        <v>1422</v>
      </c>
      <c r="E416" s="84" t="s">
        <v>1471</v>
      </c>
      <c r="F416" s="84" t="s">
        <v>1472</v>
      </c>
      <c r="G416">
        <f>IF(getRGB1($C416)="FFFFFF",0,1)+IF(getRGB1($D416)="FFFFFF",0,2)+IF(getRGB1($E416)="FFFFFF",0,3)+IF(getRGB1($F416)="FFFFFF",0,4)</f>
        <v>2</v>
      </c>
    </row>
    <row r="417" spans="1:7" ht="31.5">
      <c r="A417" t="s">
        <v>6654</v>
      </c>
      <c r="B417" s="83" t="s">
        <v>1473</v>
      </c>
      <c r="C417" s="82">
        <v>6</v>
      </c>
      <c r="D417" s="84">
        <v>12</v>
      </c>
      <c r="E417" s="84">
        <v>18</v>
      </c>
      <c r="F417" s="84">
        <v>24</v>
      </c>
      <c r="G417">
        <f>IF(getRGB1($C417)="FFFFFF",0,1)+IF(getRGB1($D417)="FFFFFF",0,2)+IF(getRGB1($E417)="FFFFFF",0,3)+IF(getRGB1($F417)="FFFFFF",0,4)</f>
        <v>1</v>
      </c>
    </row>
    <row r="418" spans="1:7" ht="31.5">
      <c r="A418" t="s">
        <v>6654</v>
      </c>
      <c r="B418" s="83" t="s">
        <v>1474</v>
      </c>
      <c r="C418" s="82" t="s">
        <v>1332</v>
      </c>
      <c r="D418" s="84" t="s">
        <v>1404</v>
      </c>
      <c r="E418" s="84" t="s">
        <v>1405</v>
      </c>
      <c r="F418" s="84" t="s">
        <v>1475</v>
      </c>
      <c r="G418">
        <f>IF(getRGB1($C418)="FFFFFF",0,1)+IF(getRGB1($D418)="FFFFFF",0,2)+IF(getRGB1($E418)="FFFFFF",0,3)+IF(getRGB1($F418)="FFFFFF",0,4)</f>
        <v>1</v>
      </c>
    </row>
    <row r="419" spans="1:7" ht="31.5">
      <c r="A419" t="s">
        <v>6654</v>
      </c>
      <c r="B419" s="83" t="s">
        <v>1476</v>
      </c>
      <c r="C419" s="84" t="s">
        <v>1477</v>
      </c>
      <c r="D419" s="82" t="s">
        <v>1478</v>
      </c>
      <c r="E419" s="84" t="s">
        <v>1479</v>
      </c>
      <c r="F419" s="84" t="s">
        <v>1480</v>
      </c>
      <c r="G419">
        <f>IF(getRGB1($C419)="FFFFFF",0,1)+IF(getRGB1($D419)="FFFFFF",0,2)+IF(getRGB1($E419)="FFFFFF",0,3)+IF(getRGB1($F419)="FFFFFF",0,4)</f>
        <v>2</v>
      </c>
    </row>
    <row r="420" spans="1:7" ht="47.25">
      <c r="A420" t="s">
        <v>6654</v>
      </c>
      <c r="B420" s="83" t="s">
        <v>1481</v>
      </c>
      <c r="C420" s="84" t="s">
        <v>1393</v>
      </c>
      <c r="D420" s="84" t="s">
        <v>1394</v>
      </c>
      <c r="E420" s="82" t="s">
        <v>1395</v>
      </c>
      <c r="F420" s="84" t="s">
        <v>1482</v>
      </c>
      <c r="G420">
        <f>IF(getRGB1($C420)="FFFFFF",0,1)+IF(getRGB1($D420)="FFFFFF",0,2)+IF(getRGB1($E420)="FFFFFF",0,3)+IF(getRGB1($F420)="FFFFFF",0,4)</f>
        <v>3</v>
      </c>
    </row>
    <row r="421" spans="1:7" ht="31.5">
      <c r="A421" t="s">
        <v>6654</v>
      </c>
      <c r="B421" s="83" t="s">
        <v>1483</v>
      </c>
      <c r="C421" s="84" t="s">
        <v>1484</v>
      </c>
      <c r="D421" s="84" t="s">
        <v>1485</v>
      </c>
      <c r="E421" s="82" t="s">
        <v>1486</v>
      </c>
      <c r="F421" s="84" t="s">
        <v>1487</v>
      </c>
      <c r="G421">
        <f>IF(getRGB1($C421)="FFFFFF",0,1)+IF(getRGB1($D421)="FFFFFF",0,2)+IF(getRGB1($E421)="FFFFFF",0,3)+IF(getRGB1($F421)="FFFFFF",0,4)</f>
        <v>3</v>
      </c>
    </row>
    <row r="422" spans="1:7" ht="78.75">
      <c r="A422" t="s">
        <v>6654</v>
      </c>
      <c r="B422" s="80" t="s">
        <v>1488</v>
      </c>
      <c r="C422" s="82" t="s">
        <v>570</v>
      </c>
      <c r="D422" s="81" t="s">
        <v>451</v>
      </c>
      <c r="E422" s="81" t="s">
        <v>1489</v>
      </c>
      <c r="F422" s="81" t="s">
        <v>1490</v>
      </c>
      <c r="G422">
        <f>IF(getRGB1($C422)="FFFFFF",0,1)+IF(getRGB1($D422)="FFFFFF",0,2)+IF(getRGB1($E422)="FFFFFF",0,3)+IF(getRGB1($F422)="FFFFFF",0,4)</f>
        <v>1</v>
      </c>
    </row>
    <row r="423" spans="1:7" ht="47.25">
      <c r="A423" t="s">
        <v>6654</v>
      </c>
      <c r="B423" s="83" t="s">
        <v>1491</v>
      </c>
      <c r="C423" s="84" t="s">
        <v>1489</v>
      </c>
      <c r="D423" s="82" t="s">
        <v>1492</v>
      </c>
      <c r="E423" s="84" t="s">
        <v>1490</v>
      </c>
      <c r="F423" s="84" t="s">
        <v>1437</v>
      </c>
      <c r="G423">
        <f>IF(getRGB1($C423)="FFFFFF",0,1)+IF(getRGB1($D423)="FFFFFF",0,2)+IF(getRGB1($E423)="FFFFFF",0,3)+IF(getRGB1($F423)="FFFFFF",0,4)</f>
        <v>2</v>
      </c>
    </row>
    <row r="424" spans="1:7" ht="47.25">
      <c r="A424" t="s">
        <v>6654</v>
      </c>
      <c r="B424" s="83" t="s">
        <v>1493</v>
      </c>
      <c r="C424" s="84" t="s">
        <v>1422</v>
      </c>
      <c r="D424" s="84" t="s">
        <v>1494</v>
      </c>
      <c r="E424" s="82" t="s">
        <v>1495</v>
      </c>
      <c r="F424" s="84" t="s">
        <v>1490</v>
      </c>
      <c r="G424">
        <f>IF(getRGB1($C424)="FFFFFF",0,1)+IF(getRGB1($D424)="FFFFFF",0,2)+IF(getRGB1($E424)="FFFFFF",0,3)+IF(getRGB1($F424)="FFFFFF",0,4)</f>
        <v>3</v>
      </c>
    </row>
    <row r="425" spans="1:7" ht="31.5">
      <c r="A425" t="s">
        <v>6654</v>
      </c>
      <c r="B425" s="80" t="s">
        <v>1496</v>
      </c>
      <c r="C425" s="82" t="s">
        <v>1497</v>
      </c>
      <c r="D425" s="81" t="s">
        <v>1498</v>
      </c>
      <c r="E425" s="81" t="s">
        <v>1499</v>
      </c>
      <c r="F425" s="81" t="s">
        <v>1500</v>
      </c>
      <c r="G425">
        <f>IF(getRGB1($C425)="FFFFFF",0,1)+IF(getRGB1($D425)="FFFFFF",0,2)+IF(getRGB1($E425)="FFFFFF",0,3)+IF(getRGB1($F425)="FFFFFF",0,4)</f>
        <v>1</v>
      </c>
    </row>
    <row r="426" spans="1:7" ht="31.5">
      <c r="A426" t="s">
        <v>6654</v>
      </c>
      <c r="B426" s="83" t="s">
        <v>1501</v>
      </c>
      <c r="C426" s="82" t="s">
        <v>570</v>
      </c>
      <c r="D426" s="84" t="s">
        <v>1502</v>
      </c>
      <c r="E426" s="84" t="s">
        <v>1503</v>
      </c>
      <c r="F426" s="84" t="s">
        <v>1504</v>
      </c>
      <c r="G426">
        <f>IF(getRGB1($C426)="FFFFFF",0,1)+IF(getRGB1($D426)="FFFFFF",0,2)+IF(getRGB1($E426)="FFFFFF",0,3)+IF(getRGB1($F426)="FFFFFF",0,4)</f>
        <v>1</v>
      </c>
    </row>
    <row r="427" spans="1:7" ht="31.5">
      <c r="A427" t="s">
        <v>6654</v>
      </c>
      <c r="B427" s="83" t="s">
        <v>1505</v>
      </c>
      <c r="C427" s="84" t="s">
        <v>1506</v>
      </c>
      <c r="D427" s="82" t="s">
        <v>1507</v>
      </c>
      <c r="E427" s="84" t="s">
        <v>1508</v>
      </c>
      <c r="F427" s="84" t="s">
        <v>1509</v>
      </c>
      <c r="G427">
        <f>IF(getRGB1($C427)="FFFFFF",0,1)+IF(getRGB1($D427)="FFFFFF",0,2)+IF(getRGB1($E427)="FFFFFF",0,3)+IF(getRGB1($F427)="FFFFFF",0,4)</f>
        <v>2</v>
      </c>
    </row>
    <row r="428" spans="1:7" ht="78.75">
      <c r="A428" t="s">
        <v>6654</v>
      </c>
      <c r="B428" s="80" t="s">
        <v>1510</v>
      </c>
      <c r="C428" s="86" t="s">
        <v>1511</v>
      </c>
      <c r="D428" s="86" t="s">
        <v>1512</v>
      </c>
      <c r="E428" s="86" t="s">
        <v>1513</v>
      </c>
      <c r="F428" s="87" t="s">
        <v>1514</v>
      </c>
      <c r="G428">
        <f>IF(getRGB1($C428)="FFFFFF",0,1)+IF(getRGB1($D428)="FFFFFF",0,2)+IF(getRGB1($E428)="FFFFFF",0,3)+IF(getRGB1($F428)="FFFFFF",0,4)</f>
        <v>4</v>
      </c>
    </row>
    <row r="429" spans="1:7" ht="31.5">
      <c r="A429" t="s">
        <v>6654</v>
      </c>
      <c r="B429" s="80" t="s">
        <v>1515</v>
      </c>
      <c r="C429" s="81" t="s">
        <v>1516</v>
      </c>
      <c r="D429" s="81" t="s">
        <v>1517</v>
      </c>
      <c r="E429" s="81" t="s">
        <v>1518</v>
      </c>
      <c r="F429" s="82" t="s">
        <v>1519</v>
      </c>
      <c r="G429">
        <f>IF(getRGB1($C429)="FFFFFF",0,1)+IF(getRGB1($D429)="FFFFFF",0,2)+IF(getRGB1($E429)="FFFFFF",0,3)+IF(getRGB1($F429)="FFFFFF",0,4)</f>
        <v>4</v>
      </c>
    </row>
    <row r="430" spans="1:7" ht="63">
      <c r="A430" t="s">
        <v>6654</v>
      </c>
      <c r="B430" s="83" t="s">
        <v>1520</v>
      </c>
      <c r="C430" s="84" t="s">
        <v>1521</v>
      </c>
      <c r="D430" s="84" t="s">
        <v>1522</v>
      </c>
      <c r="E430" s="82" t="s">
        <v>1523</v>
      </c>
      <c r="F430" s="84" t="s">
        <v>1524</v>
      </c>
      <c r="G430">
        <f>IF(getRGB1($C430)="FFFFFF",0,1)+IF(getRGB1($D430)="FFFFFF",0,2)+IF(getRGB1($E430)="FFFFFF",0,3)+IF(getRGB1($F430)="FFFFFF",0,4)</f>
        <v>3</v>
      </c>
    </row>
    <row r="431" spans="1:7" ht="47.25">
      <c r="A431" t="s">
        <v>6654</v>
      </c>
      <c r="B431" s="83" t="s">
        <v>1525</v>
      </c>
      <c r="C431" s="84" t="s">
        <v>1526</v>
      </c>
      <c r="D431" s="82" t="s">
        <v>1527</v>
      </c>
      <c r="E431" s="84" t="s">
        <v>1528</v>
      </c>
      <c r="F431" s="84" t="s">
        <v>1529</v>
      </c>
      <c r="G431">
        <f>IF(getRGB1($C431)="FFFFFF",0,1)+IF(getRGB1($D431)="FFFFFF",0,2)+IF(getRGB1($E431)="FFFFFF",0,3)+IF(getRGB1($F431)="FFFFFF",0,4)</f>
        <v>2</v>
      </c>
    </row>
    <row r="432" spans="1:7" ht="47.25">
      <c r="A432" t="s">
        <v>6654</v>
      </c>
      <c r="B432" s="83" t="s">
        <v>1530</v>
      </c>
      <c r="C432" s="84" t="s">
        <v>1531</v>
      </c>
      <c r="D432" s="84" t="s">
        <v>1532</v>
      </c>
      <c r="E432" s="84" t="s">
        <v>1533</v>
      </c>
      <c r="F432" s="82" t="s">
        <v>1534</v>
      </c>
      <c r="G432">
        <f>IF(getRGB1($C432)="FFFFFF",0,1)+IF(getRGB1($D432)="FFFFFF",0,2)+IF(getRGB1($E432)="FFFFFF",0,3)+IF(getRGB1($F432)="FFFFFF",0,4)</f>
        <v>4</v>
      </c>
    </row>
    <row r="433" spans="1:7" ht="47.25">
      <c r="A433" t="s">
        <v>6654</v>
      </c>
      <c r="B433" s="83" t="s">
        <v>1535</v>
      </c>
      <c r="C433" s="84" t="s">
        <v>1536</v>
      </c>
      <c r="D433" s="84" t="s">
        <v>1537</v>
      </c>
      <c r="E433" s="82" t="s">
        <v>1538</v>
      </c>
      <c r="F433" s="84" t="s">
        <v>61</v>
      </c>
      <c r="G433">
        <f>IF(getRGB1($C433)="FFFFFF",0,1)+IF(getRGB1($D433)="FFFFFF",0,2)+IF(getRGB1($E433)="FFFFFF",0,3)+IF(getRGB1($F433)="FFFFFF",0,4)</f>
        <v>3</v>
      </c>
    </row>
    <row r="434" spans="1:7" ht="31.5">
      <c r="A434" t="s">
        <v>6654</v>
      </c>
      <c r="B434" s="83" t="s">
        <v>1539</v>
      </c>
      <c r="C434" s="84" t="s">
        <v>1540</v>
      </c>
      <c r="D434" s="84" t="s">
        <v>1541</v>
      </c>
      <c r="E434" s="82" t="s">
        <v>1542</v>
      </c>
      <c r="F434" s="84" t="s">
        <v>1363</v>
      </c>
      <c r="G434">
        <f>IF(getRGB1($C434)="FFFFFF",0,1)+IF(getRGB1($D434)="FFFFFF",0,2)+IF(getRGB1($E434)="FFFFFF",0,3)+IF(getRGB1($F434)="FFFFFF",0,4)</f>
        <v>3</v>
      </c>
    </row>
    <row r="435" spans="1:7" ht="15.75">
      <c r="A435" t="s">
        <v>6654</v>
      </c>
      <c r="B435" s="83" t="s">
        <v>1543</v>
      </c>
      <c r="C435" s="84" t="s">
        <v>177</v>
      </c>
      <c r="D435" s="82" t="s">
        <v>73</v>
      </c>
      <c r="E435" s="84" t="s">
        <v>557</v>
      </c>
      <c r="F435" s="84" t="s">
        <v>179</v>
      </c>
      <c r="G435">
        <f>IF(getRGB1($C435)="FFFFFF",0,1)+IF(getRGB1($D435)="FFFFFF",0,2)+IF(getRGB1($E435)="FFFFFF",0,3)+IF(getRGB1($F435)="FFFFFF",0,4)</f>
        <v>2</v>
      </c>
    </row>
    <row r="436" spans="1:7" ht="31.5">
      <c r="A436" t="s">
        <v>6654</v>
      </c>
      <c r="B436" s="80" t="s">
        <v>1544</v>
      </c>
      <c r="C436" s="82" t="s">
        <v>1545</v>
      </c>
      <c r="D436" s="81" t="s">
        <v>1546</v>
      </c>
      <c r="E436" s="81" t="s">
        <v>1547</v>
      </c>
      <c r="F436" s="81" t="s">
        <v>1548</v>
      </c>
      <c r="G436">
        <f>IF(getRGB1($C436)="FFFFFF",0,1)+IF(getRGB1($D436)="FFFFFF",0,2)+IF(getRGB1($E436)="FFFFFF",0,3)+IF(getRGB1($F436)="FFFFFF",0,4)</f>
        <v>1</v>
      </c>
    </row>
    <row r="437" spans="1:7" ht="31.5">
      <c r="A437" t="s">
        <v>6654</v>
      </c>
      <c r="B437" s="83" t="s">
        <v>1549</v>
      </c>
      <c r="C437" s="84" t="s">
        <v>1550</v>
      </c>
      <c r="D437" s="84" t="s">
        <v>1551</v>
      </c>
      <c r="E437" s="84" t="s">
        <v>1552</v>
      </c>
      <c r="F437" s="82" t="s">
        <v>1553</v>
      </c>
      <c r="G437">
        <f>IF(getRGB1($C437)="FFFFFF",0,1)+IF(getRGB1($D437)="FFFFFF",0,2)+IF(getRGB1($E437)="FFFFFF",0,3)+IF(getRGB1($F437)="FFFFFF",0,4)</f>
        <v>4</v>
      </c>
    </row>
    <row r="438" spans="1:7" ht="15.75">
      <c r="A438" t="s">
        <v>6654</v>
      </c>
      <c r="B438" s="80" t="s">
        <v>1554</v>
      </c>
      <c r="C438" s="81" t="s">
        <v>174</v>
      </c>
      <c r="D438" s="81" t="s">
        <v>1555</v>
      </c>
      <c r="E438" s="81" t="s">
        <v>179</v>
      </c>
      <c r="F438" s="82" t="s">
        <v>73</v>
      </c>
      <c r="G438">
        <f>IF(getRGB1($C438)="FFFFFF",0,1)+IF(getRGB1($D438)="FFFFFF",0,2)+IF(getRGB1($E438)="FFFFFF",0,3)+IF(getRGB1($F438)="FFFFFF",0,4)</f>
        <v>4</v>
      </c>
    </row>
    <row r="439" spans="1:7" ht="15.75">
      <c r="A439" t="s">
        <v>6654</v>
      </c>
      <c r="B439" s="83" t="s">
        <v>1556</v>
      </c>
      <c r="C439" s="84" t="s">
        <v>108</v>
      </c>
      <c r="D439" s="82" t="s">
        <v>1557</v>
      </c>
      <c r="E439" s="84" t="s">
        <v>109</v>
      </c>
      <c r="F439" s="84" t="s">
        <v>1558</v>
      </c>
      <c r="G439">
        <f>IF(getRGB1($C439)="FFFFFF",0,1)+IF(getRGB1($D439)="FFFFFF",0,2)+IF(getRGB1($E439)="FFFFFF",0,3)+IF(getRGB1($F439)="FFFFFF",0,4)</f>
        <v>2</v>
      </c>
    </row>
    <row r="440" spans="1:7" ht="47.25">
      <c r="A440" t="s">
        <v>6654</v>
      </c>
      <c r="B440" s="80" t="s">
        <v>1559</v>
      </c>
      <c r="C440" s="81" t="s">
        <v>1560</v>
      </c>
      <c r="D440" s="81" t="s">
        <v>1561</v>
      </c>
      <c r="E440" s="81" t="s">
        <v>1562</v>
      </c>
      <c r="F440" s="82" t="s">
        <v>1563</v>
      </c>
      <c r="G440">
        <f>IF(getRGB1($C440)="FFFFFF",0,1)+IF(getRGB1($D440)="FFFFFF",0,2)+IF(getRGB1($E440)="FFFFFF",0,3)+IF(getRGB1($F440)="FFFFFF",0,4)</f>
        <v>4</v>
      </c>
    </row>
    <row r="441" spans="1:7" ht="15.75">
      <c r="A441" t="s">
        <v>6654</v>
      </c>
      <c r="B441" s="80" t="s">
        <v>1564</v>
      </c>
      <c r="C441" s="81" t="s">
        <v>1565</v>
      </c>
      <c r="D441" s="81" t="s">
        <v>94</v>
      </c>
      <c r="E441" s="82" t="s">
        <v>95</v>
      </c>
      <c r="F441" s="81" t="s">
        <v>1566</v>
      </c>
      <c r="G441">
        <f>IF(getRGB1($C441)="FFFFFF",0,1)+IF(getRGB1($D441)="FFFFFF",0,2)+IF(getRGB1($E441)="FFFFFF",0,3)+IF(getRGB1($F441)="FFFFFF",0,4)</f>
        <v>3</v>
      </c>
    </row>
    <row r="442" spans="1:7" ht="78.75">
      <c r="A442" t="s">
        <v>6654</v>
      </c>
      <c r="B442" s="83" t="s">
        <v>1567</v>
      </c>
      <c r="C442" s="84" t="s">
        <v>1568</v>
      </c>
      <c r="D442" s="84" t="s">
        <v>1569</v>
      </c>
      <c r="E442" s="82" t="s">
        <v>1570</v>
      </c>
      <c r="F442" s="84" t="s">
        <v>1571</v>
      </c>
      <c r="G442">
        <f>IF(getRGB1($C442)="FFFFFF",0,1)+IF(getRGB1($D442)="FFFFFF",0,2)+IF(getRGB1($E442)="FFFFFF",0,3)+IF(getRGB1($F442)="FFFFFF",0,4)</f>
        <v>3</v>
      </c>
    </row>
    <row r="443" spans="1:7" ht="31.5">
      <c r="A443" t="s">
        <v>6654</v>
      </c>
      <c r="B443" s="80" t="s">
        <v>1572</v>
      </c>
      <c r="C443" s="81" t="s">
        <v>74</v>
      </c>
      <c r="D443" s="81" t="s">
        <v>179</v>
      </c>
      <c r="E443" s="82" t="s">
        <v>73</v>
      </c>
      <c r="F443" s="81" t="s">
        <v>137</v>
      </c>
      <c r="G443">
        <f>IF(getRGB1($C443)="FFFFFF",0,1)+IF(getRGB1($D443)="FFFFFF",0,2)+IF(getRGB1($E443)="FFFFFF",0,3)+IF(getRGB1($F443)="FFFFFF",0,4)</f>
        <v>3</v>
      </c>
    </row>
    <row r="444" spans="1:7" ht="47.25">
      <c r="A444" t="s">
        <v>6654</v>
      </c>
      <c r="B444" s="83" t="s">
        <v>1573</v>
      </c>
      <c r="C444" s="84" t="s">
        <v>1574</v>
      </c>
      <c r="D444" s="84" t="s">
        <v>1575</v>
      </c>
      <c r="E444" s="82" t="s">
        <v>1576</v>
      </c>
      <c r="F444" s="84" t="s">
        <v>1577</v>
      </c>
      <c r="G444">
        <f>IF(getRGB1($C444)="FFFFFF",0,1)+IF(getRGB1($D444)="FFFFFF",0,2)+IF(getRGB1($E444)="FFFFFF",0,3)+IF(getRGB1($F444)="FFFFFF",0,4)</f>
        <v>3</v>
      </c>
    </row>
    <row r="445" spans="1:7" ht="15.75">
      <c r="A445" t="s">
        <v>6654</v>
      </c>
      <c r="B445" s="80" t="s">
        <v>1578</v>
      </c>
      <c r="C445" s="81" t="s">
        <v>1332</v>
      </c>
      <c r="D445" s="82" t="s">
        <v>1579</v>
      </c>
      <c r="E445" s="81" t="s">
        <v>1580</v>
      </c>
      <c r="F445" s="81" t="s">
        <v>1581</v>
      </c>
      <c r="G445">
        <f>IF(getRGB1($C445)="FFFFFF",0,1)+IF(getRGB1($D445)="FFFFFF",0,2)+IF(getRGB1($E445)="FFFFFF",0,3)+IF(getRGB1($F445)="FFFFFF",0,4)</f>
        <v>2</v>
      </c>
    </row>
    <row r="446" spans="1:7" ht="31.5">
      <c r="A446" t="s">
        <v>6654</v>
      </c>
      <c r="B446" s="80" t="s">
        <v>1582</v>
      </c>
      <c r="C446" s="82" t="s">
        <v>1583</v>
      </c>
      <c r="D446" s="81" t="s">
        <v>1584</v>
      </c>
      <c r="E446" s="81" t="s">
        <v>1585</v>
      </c>
      <c r="F446" s="81" t="s">
        <v>1586</v>
      </c>
      <c r="G446">
        <f>IF(getRGB1($C446)="FFFFFF",0,1)+IF(getRGB1($D446)="FFFFFF",0,2)+IF(getRGB1($E446)="FFFFFF",0,3)+IF(getRGB1($F446)="FFFFFF",0,4)</f>
        <v>1</v>
      </c>
    </row>
    <row r="447" spans="1:7" ht="31.5">
      <c r="A447" t="s">
        <v>6654</v>
      </c>
      <c r="B447" s="83" t="s">
        <v>1587</v>
      </c>
      <c r="C447" s="84" t="s">
        <v>1484</v>
      </c>
      <c r="D447" s="84" t="s">
        <v>1485</v>
      </c>
      <c r="E447" s="82" t="s">
        <v>1486</v>
      </c>
      <c r="F447" s="84" t="s">
        <v>1487</v>
      </c>
      <c r="G447">
        <f>IF(getRGB1($C447)="FFFFFF",0,1)+IF(getRGB1($D447)="FFFFFF",0,2)+IF(getRGB1($E447)="FFFFFF",0,3)+IF(getRGB1($F447)="FFFFFF",0,4)</f>
        <v>3</v>
      </c>
    </row>
    <row r="448" spans="1:7" ht="78.75">
      <c r="A448" t="s">
        <v>6654</v>
      </c>
      <c r="B448" s="80" t="s">
        <v>1588</v>
      </c>
      <c r="C448" s="81" t="s">
        <v>1589</v>
      </c>
      <c r="D448" s="81" t="s">
        <v>1590</v>
      </c>
      <c r="E448" s="82" t="s">
        <v>1591</v>
      </c>
      <c r="F448" s="81" t="s">
        <v>1592</v>
      </c>
      <c r="G448">
        <f>IF(getRGB1($C448)="FFFFFF",0,1)+IF(getRGB1($D448)="FFFFFF",0,2)+IF(getRGB1($E448)="FFFFFF",0,3)+IF(getRGB1($F448)="FFFFFF",0,4)</f>
        <v>3</v>
      </c>
    </row>
    <row r="449" spans="1:7" ht="47.25">
      <c r="A449" t="s">
        <v>6654</v>
      </c>
      <c r="B449" s="83" t="s">
        <v>1593</v>
      </c>
      <c r="C449" s="82" t="s">
        <v>1594</v>
      </c>
      <c r="D449" s="84" t="s">
        <v>1595</v>
      </c>
      <c r="E449" s="81" t="s">
        <v>1596</v>
      </c>
      <c r="F449" s="81" t="s">
        <v>1597</v>
      </c>
      <c r="G449">
        <f>IF(getRGB1($C449)="FFFFFF",0,1)+IF(getRGB1($D449)="FFFFFF",0,2)+IF(getRGB1($E449)="FFFFFF",0,3)+IF(getRGB1($F449)="FFFFFF",0,4)</f>
        <v>1</v>
      </c>
    </row>
    <row r="450" spans="1:7" ht="31.5">
      <c r="A450" t="s">
        <v>6654</v>
      </c>
      <c r="B450" s="80" t="s">
        <v>1598</v>
      </c>
      <c r="C450" s="81" t="s">
        <v>1288</v>
      </c>
      <c r="D450" s="81" t="s">
        <v>1599</v>
      </c>
      <c r="E450" s="82" t="s">
        <v>8</v>
      </c>
      <c r="F450" s="81" t="s">
        <v>1600</v>
      </c>
      <c r="G450">
        <f>IF(getRGB1($C450)="FFFFFF",0,1)+IF(getRGB1($D450)="FFFFFF",0,2)+IF(getRGB1($E450)="FFFFFF",0,3)+IF(getRGB1($F450)="FFFFFF",0,4)</f>
        <v>3</v>
      </c>
    </row>
    <row r="451" spans="1:7" ht="47.25">
      <c r="A451" t="s">
        <v>6654</v>
      </c>
      <c r="B451" s="80" t="s">
        <v>1601</v>
      </c>
      <c r="C451" s="81" t="s">
        <v>1602</v>
      </c>
      <c r="D451" s="81" t="s">
        <v>1603</v>
      </c>
      <c r="E451" s="82" t="s">
        <v>1604</v>
      </c>
      <c r="F451" s="81" t="s">
        <v>1605</v>
      </c>
      <c r="G451">
        <f>IF(getRGB1($C451)="FFFFFF",0,1)+IF(getRGB1($D451)="FFFFFF",0,2)+IF(getRGB1($E451)="FFFFFF",0,3)+IF(getRGB1($F451)="FFFFFF",0,4)</f>
        <v>3</v>
      </c>
    </row>
    <row r="452" spans="1:7" ht="63">
      <c r="A452" t="s">
        <v>6654</v>
      </c>
      <c r="B452" s="83" t="s">
        <v>1606</v>
      </c>
      <c r="C452" s="84" t="s">
        <v>1607</v>
      </c>
      <c r="D452" s="84" t="s">
        <v>1608</v>
      </c>
      <c r="E452" s="84" t="s">
        <v>1609</v>
      </c>
      <c r="F452" s="82" t="s">
        <v>1610</v>
      </c>
      <c r="G452">
        <f>IF(getRGB1($C452)="FFFFFF",0,1)+IF(getRGB1($D452)="FFFFFF",0,2)+IF(getRGB1($E452)="FFFFFF",0,3)+IF(getRGB1($F452)="FFFFFF",0,4)</f>
        <v>4</v>
      </c>
    </row>
    <row r="453" spans="1:7" ht="47.25">
      <c r="A453" t="s">
        <v>6654</v>
      </c>
      <c r="B453" s="80" t="s">
        <v>1611</v>
      </c>
      <c r="C453" s="81" t="s">
        <v>1612</v>
      </c>
      <c r="D453" s="81" t="s">
        <v>1613</v>
      </c>
      <c r="E453" s="81" t="s">
        <v>1614</v>
      </c>
      <c r="F453" s="82" t="s">
        <v>1615</v>
      </c>
      <c r="G453">
        <f>IF(getRGB1($C453)="FFFFFF",0,1)+IF(getRGB1($D453)="FFFFFF",0,2)+IF(getRGB1($E453)="FFFFFF",0,3)+IF(getRGB1($F453)="FFFFFF",0,4)</f>
        <v>4</v>
      </c>
    </row>
    <row r="454" spans="1:7" ht="31.5">
      <c r="A454" t="s">
        <v>6654</v>
      </c>
      <c r="B454" s="80" t="s">
        <v>1616</v>
      </c>
      <c r="C454" s="81" t="s">
        <v>1617</v>
      </c>
      <c r="D454" s="82" t="s">
        <v>1618</v>
      </c>
      <c r="E454" s="81" t="s">
        <v>1619</v>
      </c>
      <c r="F454" s="81" t="s">
        <v>1620</v>
      </c>
      <c r="G454">
        <f>IF(getRGB1($C454)="FFFFFF",0,1)+IF(getRGB1($D454)="FFFFFF",0,2)+IF(getRGB1($E454)="FFFFFF",0,3)+IF(getRGB1($F454)="FFFFFF",0,4)</f>
        <v>2</v>
      </c>
    </row>
    <row r="455" spans="1:7" ht="31.5">
      <c r="A455" t="s">
        <v>6654</v>
      </c>
      <c r="B455" s="80" t="s">
        <v>1621</v>
      </c>
      <c r="C455" s="82" t="s">
        <v>1622</v>
      </c>
      <c r="D455" s="81" t="s">
        <v>1623</v>
      </c>
      <c r="E455" s="81" t="s">
        <v>1624</v>
      </c>
      <c r="F455" s="81" t="s">
        <v>1625</v>
      </c>
      <c r="G455">
        <f>IF(getRGB1($C455)="FFFFFF",0,1)+IF(getRGB1($D455)="FFFFFF",0,2)+IF(getRGB1($E455)="FFFFFF",0,3)+IF(getRGB1($F455)="FFFFFF",0,4)</f>
        <v>1</v>
      </c>
    </row>
    <row r="456" spans="1:7" ht="31.5">
      <c r="A456" t="s">
        <v>6654</v>
      </c>
      <c r="B456" s="80" t="s">
        <v>1626</v>
      </c>
      <c r="C456" s="81">
        <v>3</v>
      </c>
      <c r="D456" s="81">
        <v>4</v>
      </c>
      <c r="E456" s="82">
        <v>5</v>
      </c>
      <c r="F456" s="81">
        <v>6</v>
      </c>
      <c r="G456">
        <f>IF(getRGB1($C456)="FFFFFF",0,1)+IF(getRGB1($D456)="FFFFFF",0,2)+IF(getRGB1($E456)="FFFFFF",0,3)+IF(getRGB1($F456)="FFFFFF",0,4)</f>
        <v>3</v>
      </c>
    </row>
    <row r="457" spans="1:7" ht="31.5">
      <c r="A457" t="s">
        <v>6654</v>
      </c>
      <c r="B457" s="80" t="s">
        <v>1627</v>
      </c>
      <c r="C457" s="84" t="s">
        <v>1628</v>
      </c>
      <c r="D457" s="82" t="s">
        <v>1629</v>
      </c>
      <c r="E457" s="81" t="s">
        <v>1630</v>
      </c>
      <c r="F457" s="81" t="s">
        <v>1631</v>
      </c>
      <c r="G457">
        <f>IF(getRGB1($C457)="FFFFFF",0,1)+IF(getRGB1($D457)="FFFFFF",0,2)+IF(getRGB1($E457)="FFFFFF",0,3)+IF(getRGB1($F457)="FFFFFF",0,4)</f>
        <v>2</v>
      </c>
    </row>
    <row r="458" spans="1:7" ht="31.5">
      <c r="A458" t="s">
        <v>6654</v>
      </c>
      <c r="B458" s="83" t="s">
        <v>1632</v>
      </c>
      <c r="C458" s="84" t="s">
        <v>1633</v>
      </c>
      <c r="D458" s="84" t="s">
        <v>1634</v>
      </c>
      <c r="E458" s="82" t="s">
        <v>1635</v>
      </c>
      <c r="F458" s="84" t="s">
        <v>1437</v>
      </c>
      <c r="G458">
        <f>IF(getRGB1($C458)="FFFFFF",0,1)+IF(getRGB1($D458)="FFFFFF",0,2)+IF(getRGB1($E458)="FFFFFF",0,3)+IF(getRGB1($F458)="FFFFFF",0,4)</f>
        <v>3</v>
      </c>
    </row>
    <row r="459" spans="1:7" ht="47.25">
      <c r="A459" t="s">
        <v>6654</v>
      </c>
      <c r="B459" s="80" t="s">
        <v>1636</v>
      </c>
      <c r="C459" s="82" t="s">
        <v>1637</v>
      </c>
      <c r="D459" s="81" t="s">
        <v>1638</v>
      </c>
      <c r="E459" s="81" t="s">
        <v>1639</v>
      </c>
      <c r="F459" s="81" t="s">
        <v>1640</v>
      </c>
      <c r="G459">
        <f>IF(getRGB1($C459)="FFFFFF",0,1)+IF(getRGB1($D459)="FFFFFF",0,2)+IF(getRGB1($E459)="FFFFFF",0,3)+IF(getRGB1($F459)="FFFFFF",0,4)</f>
        <v>1</v>
      </c>
    </row>
    <row r="460" spans="1:7" ht="47.25">
      <c r="A460" t="s">
        <v>6654</v>
      </c>
      <c r="B460" s="80" t="s">
        <v>1641</v>
      </c>
      <c r="C460" s="81" t="s">
        <v>1639</v>
      </c>
      <c r="D460" s="82" t="s">
        <v>1642</v>
      </c>
      <c r="E460" s="81" t="s">
        <v>1643</v>
      </c>
      <c r="F460" s="81" t="s">
        <v>1644</v>
      </c>
      <c r="G460">
        <f>IF(getRGB1($C460)="FFFFFF",0,1)+IF(getRGB1($D460)="FFFFFF",0,2)+IF(getRGB1($E460)="FFFFFF",0,3)+IF(getRGB1($F460)="FFFFFF",0,4)</f>
        <v>2</v>
      </c>
    </row>
    <row r="461" spans="1:7" ht="15.75">
      <c r="A461" t="s">
        <v>6654</v>
      </c>
      <c r="B461" s="83" t="s">
        <v>1645</v>
      </c>
      <c r="C461" s="84" t="s">
        <v>1477</v>
      </c>
      <c r="D461" s="82" t="s">
        <v>1478</v>
      </c>
      <c r="E461" s="84" t="s">
        <v>1646</v>
      </c>
      <c r="F461" s="84" t="s">
        <v>1437</v>
      </c>
      <c r="G461">
        <f>IF(getRGB1($C461)="FFFFFF",0,1)+IF(getRGB1($D461)="FFFFFF",0,2)+IF(getRGB1($E461)="FFFFFF",0,3)+IF(getRGB1($F461)="FFFFFF",0,4)</f>
        <v>2</v>
      </c>
    </row>
    <row r="462" spans="1:7" ht="31.5">
      <c r="A462" t="s">
        <v>6654</v>
      </c>
      <c r="B462" s="80" t="s">
        <v>1647</v>
      </c>
      <c r="C462" s="82" t="s">
        <v>1648</v>
      </c>
      <c r="D462" s="81" t="s">
        <v>1649</v>
      </c>
      <c r="E462" s="81" t="s">
        <v>1650</v>
      </c>
      <c r="F462" s="81" t="s">
        <v>137</v>
      </c>
      <c r="G462">
        <f>IF(getRGB1($C462)="FFFFFF",0,1)+IF(getRGB1($D462)="FFFFFF",0,2)+IF(getRGB1($E462)="FFFFFF",0,3)+IF(getRGB1($F462)="FFFFFF",0,4)</f>
        <v>1</v>
      </c>
    </row>
    <row r="463" spans="1:7" ht="31.5">
      <c r="A463" t="s">
        <v>6654</v>
      </c>
      <c r="B463" s="80" t="s">
        <v>1651</v>
      </c>
      <c r="C463" s="81" t="s">
        <v>1652</v>
      </c>
      <c r="D463" s="81" t="s">
        <v>1653</v>
      </c>
      <c r="E463" s="82" t="s">
        <v>1362</v>
      </c>
      <c r="F463" s="81" t="s">
        <v>328</v>
      </c>
      <c r="G463">
        <f>IF(getRGB1($C463)="FFFFFF",0,1)+IF(getRGB1($D463)="FFFFFF",0,2)+IF(getRGB1($E463)="FFFFFF",0,3)+IF(getRGB1($F463)="FFFFFF",0,4)</f>
        <v>3</v>
      </c>
    </row>
    <row r="464" spans="1:7" ht="47.25">
      <c r="A464" t="s">
        <v>6654</v>
      </c>
      <c r="B464" s="80" t="s">
        <v>1654</v>
      </c>
      <c r="C464" s="81" t="s">
        <v>1655</v>
      </c>
      <c r="D464" s="84" t="s">
        <v>1656</v>
      </c>
      <c r="E464" s="82" t="s">
        <v>1657</v>
      </c>
      <c r="F464" s="81" t="s">
        <v>1437</v>
      </c>
      <c r="G464">
        <f>IF(getRGB1($C464)="FFFFFF",0,1)+IF(getRGB1($D464)="FFFFFF",0,2)+IF(getRGB1($E464)="FFFFFF",0,3)+IF(getRGB1($F464)="FFFFFF",0,4)</f>
        <v>3</v>
      </c>
    </row>
    <row r="465" spans="1:7" ht="31.5">
      <c r="A465" t="s">
        <v>6654</v>
      </c>
      <c r="B465" s="80" t="s">
        <v>1658</v>
      </c>
      <c r="C465" s="81" t="s">
        <v>1659</v>
      </c>
      <c r="D465" s="82" t="s">
        <v>1660</v>
      </c>
      <c r="E465" s="81" t="s">
        <v>1661</v>
      </c>
      <c r="F465" s="81" t="s">
        <v>1662</v>
      </c>
      <c r="G465">
        <f>IF(getRGB1($C465)="FFFFFF",0,1)+IF(getRGB1($D465)="FFFFFF",0,2)+IF(getRGB1($E465)="FFFFFF",0,3)+IF(getRGB1($F465)="FFFFFF",0,4)</f>
        <v>2</v>
      </c>
    </row>
    <row r="466" spans="1:7" ht="31.5">
      <c r="A466" t="s">
        <v>6654</v>
      </c>
      <c r="B466" s="80" t="s">
        <v>1663</v>
      </c>
      <c r="C466" s="81" t="s">
        <v>1664</v>
      </c>
      <c r="D466" s="82" t="s">
        <v>1665</v>
      </c>
      <c r="E466" s="81" t="s">
        <v>1666</v>
      </c>
      <c r="F466" s="81" t="s">
        <v>1667</v>
      </c>
      <c r="G466">
        <f>IF(getRGB1($C466)="FFFFFF",0,1)+IF(getRGB1($D466)="FFFFFF",0,2)+IF(getRGB1($E466)="FFFFFF",0,3)+IF(getRGB1($F466)="FFFFFF",0,4)</f>
        <v>2</v>
      </c>
    </row>
    <row r="467" spans="1:7" ht="47.25">
      <c r="A467" t="s">
        <v>6654</v>
      </c>
      <c r="B467" s="80" t="s">
        <v>1668</v>
      </c>
      <c r="C467" s="81" t="s">
        <v>1669</v>
      </c>
      <c r="D467" s="82" t="s">
        <v>1670</v>
      </c>
      <c r="E467" s="81" t="s">
        <v>1671</v>
      </c>
      <c r="F467" s="81" t="s">
        <v>1672</v>
      </c>
      <c r="G467">
        <f>IF(getRGB1($C467)="FFFFFF",0,1)+IF(getRGB1($D467)="FFFFFF",0,2)+IF(getRGB1($E467)="FFFFFF",0,3)+IF(getRGB1($F467)="FFFFFF",0,4)</f>
        <v>2</v>
      </c>
    </row>
    <row r="468" spans="1:7" ht="47.25">
      <c r="A468" t="s">
        <v>6654</v>
      </c>
      <c r="B468" s="83" t="s">
        <v>1673</v>
      </c>
      <c r="C468" s="82" t="s">
        <v>1674</v>
      </c>
      <c r="D468" s="84" t="s">
        <v>1675</v>
      </c>
      <c r="E468" s="84" t="s">
        <v>1676</v>
      </c>
      <c r="F468" s="84" t="s">
        <v>61</v>
      </c>
      <c r="G468">
        <f>IF(getRGB1($C468)="FFFFFF",0,1)+IF(getRGB1($D468)="FFFFFF",0,2)+IF(getRGB1($E468)="FFFFFF",0,3)+IF(getRGB1($F468)="FFFFFF",0,4)</f>
        <v>1</v>
      </c>
    </row>
    <row r="469" spans="1:7" ht="31.5">
      <c r="A469" t="s">
        <v>6654</v>
      </c>
      <c r="B469" s="83" t="s">
        <v>1677</v>
      </c>
      <c r="C469" s="84" t="s">
        <v>1678</v>
      </c>
      <c r="D469" s="84" t="s">
        <v>1679</v>
      </c>
      <c r="E469" s="84" t="s">
        <v>1680</v>
      </c>
      <c r="F469" s="82" t="s">
        <v>1681</v>
      </c>
      <c r="G469">
        <f>IF(getRGB1($C469)="FFFFFF",0,1)+IF(getRGB1($D469)="FFFFFF",0,2)+IF(getRGB1($E469)="FFFFFF",0,3)+IF(getRGB1($F469)="FFFFFF",0,4)</f>
        <v>4</v>
      </c>
    </row>
    <row r="470" spans="1:7" ht="126">
      <c r="A470" t="s">
        <v>6654</v>
      </c>
      <c r="B470" s="83" t="s">
        <v>1682</v>
      </c>
      <c r="C470" s="84" t="s">
        <v>1683</v>
      </c>
      <c r="D470" s="84" t="s">
        <v>1684</v>
      </c>
      <c r="E470" s="84" t="s">
        <v>1685</v>
      </c>
      <c r="F470" s="82" t="s">
        <v>1686</v>
      </c>
      <c r="G470">
        <f>IF(getRGB1($C470)="FFFFFF",0,1)+IF(getRGB1($D470)="FFFFFF",0,2)+IF(getRGB1($E470)="FFFFFF",0,3)+IF(getRGB1($F470)="FFFFFF",0,4)</f>
        <v>4</v>
      </c>
    </row>
    <row r="471" spans="1:7" ht="126">
      <c r="A471" t="s">
        <v>6654</v>
      </c>
      <c r="B471" s="83" t="s">
        <v>1687</v>
      </c>
      <c r="C471" s="81" t="s">
        <v>1683</v>
      </c>
      <c r="D471" s="84" t="s">
        <v>1684</v>
      </c>
      <c r="E471" s="84" t="s">
        <v>1688</v>
      </c>
      <c r="F471" s="82" t="s">
        <v>1689</v>
      </c>
      <c r="G471">
        <f>IF(getRGB1($C471)="FFFFFF",0,1)+IF(getRGB1($D471)="FFFFFF",0,2)+IF(getRGB1($E471)="FFFFFF",0,3)+IF(getRGB1($F471)="FFFFFF",0,4)</f>
        <v>4</v>
      </c>
    </row>
    <row r="472" spans="1:7" ht="110.25">
      <c r="A472" t="s">
        <v>6654</v>
      </c>
      <c r="B472" s="83" t="s">
        <v>1690</v>
      </c>
      <c r="C472" s="84" t="s">
        <v>1683</v>
      </c>
      <c r="D472" s="84" t="s">
        <v>1684</v>
      </c>
      <c r="E472" s="82" t="s">
        <v>1688</v>
      </c>
      <c r="F472" s="84" t="s">
        <v>1691</v>
      </c>
      <c r="G472">
        <f>IF(getRGB1($C472)="FFFFFF",0,1)+IF(getRGB1($D472)="FFFFFF",0,2)+IF(getRGB1($E472)="FFFFFF",0,3)+IF(getRGB1($F472)="FFFFFF",0,4)</f>
        <v>3</v>
      </c>
    </row>
    <row r="473" spans="1:7" ht="94.5">
      <c r="A473" t="s">
        <v>6654</v>
      </c>
      <c r="B473" s="83" t="s">
        <v>1692</v>
      </c>
      <c r="C473" s="84" t="s">
        <v>1683</v>
      </c>
      <c r="D473" s="82" t="s">
        <v>1684</v>
      </c>
      <c r="E473" s="84" t="s">
        <v>1688</v>
      </c>
      <c r="F473" s="84" t="s">
        <v>1686</v>
      </c>
      <c r="G473">
        <f>IF(getRGB1($C473)="FFFFFF",0,1)+IF(getRGB1($D473)="FFFFFF",0,2)+IF(getRGB1($E473)="FFFFFF",0,3)+IF(getRGB1($F473)="FFFFFF",0,4)</f>
        <v>2</v>
      </c>
    </row>
    <row r="474" spans="1:7" ht="94.5">
      <c r="A474" t="s">
        <v>6654</v>
      </c>
      <c r="B474" s="80" t="s">
        <v>1693</v>
      </c>
      <c r="C474" s="82" t="s">
        <v>1694</v>
      </c>
      <c r="D474" s="81" t="s">
        <v>1695</v>
      </c>
      <c r="E474" s="81" t="s">
        <v>1696</v>
      </c>
      <c r="F474" s="81" t="s">
        <v>1697</v>
      </c>
      <c r="G474">
        <f>IF(getRGB1($C474)="FFFFFF",0,1)+IF(getRGB1($D474)="FFFFFF",0,2)+IF(getRGB1($E474)="FFFFFF",0,3)+IF(getRGB1($F474)="FFFFFF",0,4)</f>
        <v>1</v>
      </c>
    </row>
    <row r="475" spans="1:7" ht="47.25">
      <c r="A475" t="s">
        <v>6654</v>
      </c>
      <c r="B475" s="83" t="s">
        <v>1698</v>
      </c>
      <c r="C475" s="84" t="s">
        <v>1699</v>
      </c>
      <c r="D475" s="82" t="s">
        <v>1700</v>
      </c>
      <c r="E475" s="84" t="s">
        <v>1701</v>
      </c>
      <c r="F475" s="84" t="s">
        <v>1702</v>
      </c>
      <c r="G475">
        <f>IF(getRGB1($C475)="FFFFFF",0,1)+IF(getRGB1($D475)="FFFFFF",0,2)+IF(getRGB1($E475)="FFFFFF",0,3)+IF(getRGB1($F475)="FFFFFF",0,4)</f>
        <v>2</v>
      </c>
    </row>
    <row r="476" spans="1:7" ht="31.5">
      <c r="A476" t="s">
        <v>6654</v>
      </c>
      <c r="B476" s="80" t="s">
        <v>1703</v>
      </c>
      <c r="C476" s="82" t="s">
        <v>1704</v>
      </c>
      <c r="D476" s="81" t="s">
        <v>1498</v>
      </c>
      <c r="E476" s="81" t="s">
        <v>1705</v>
      </c>
      <c r="F476" s="81" t="s">
        <v>1706</v>
      </c>
      <c r="G476">
        <f>IF(getRGB1($C476)="FFFFFF",0,1)+IF(getRGB1($D476)="FFFFFF",0,2)+IF(getRGB1($E476)="FFFFFF",0,3)+IF(getRGB1($F476)="FFFFFF",0,4)</f>
        <v>1</v>
      </c>
    </row>
    <row r="477" spans="1:7" ht="15.75">
      <c r="A477" t="s">
        <v>6654</v>
      </c>
      <c r="B477" s="83" t="s">
        <v>1707</v>
      </c>
      <c r="C477" s="84" t="s">
        <v>179</v>
      </c>
      <c r="D477" s="84" t="s">
        <v>557</v>
      </c>
      <c r="E477" s="82" t="s">
        <v>73</v>
      </c>
      <c r="F477" s="84" t="s">
        <v>180</v>
      </c>
      <c r="G477">
        <f>IF(getRGB1($C477)="FFFFFF",0,1)+IF(getRGB1($D477)="FFFFFF",0,2)+IF(getRGB1($E477)="FFFFFF",0,3)+IF(getRGB1($F477)="FFFFFF",0,4)</f>
        <v>3</v>
      </c>
    </row>
    <row r="478" spans="1:7" ht="15.75">
      <c r="A478" t="s">
        <v>6654</v>
      </c>
      <c r="B478" s="80" t="s">
        <v>1708</v>
      </c>
      <c r="C478" s="81" t="s">
        <v>73</v>
      </c>
      <c r="D478" s="82" t="s">
        <v>177</v>
      </c>
      <c r="E478" s="81" t="s">
        <v>76</v>
      </c>
      <c r="F478" s="81" t="s">
        <v>557</v>
      </c>
      <c r="G478">
        <f>IF(getRGB1($C478)="FFFFFF",0,1)+IF(getRGB1($D478)="FFFFFF",0,2)+IF(getRGB1($E478)="FFFFFF",0,3)+IF(getRGB1($F478)="FFFFFF",0,4)</f>
        <v>2</v>
      </c>
    </row>
    <row r="479" spans="1:7" ht="15.75">
      <c r="A479" t="s">
        <v>6654</v>
      </c>
      <c r="B479" s="80" t="s">
        <v>1709</v>
      </c>
      <c r="C479" s="82" t="s">
        <v>73</v>
      </c>
      <c r="D479" s="81" t="s">
        <v>177</v>
      </c>
      <c r="E479" s="81" t="s">
        <v>76</v>
      </c>
      <c r="F479" s="81" t="s">
        <v>557</v>
      </c>
      <c r="G479">
        <f>IF(getRGB1($C479)="FFFFFF",0,1)+IF(getRGB1($D479)="FFFFFF",0,2)+IF(getRGB1($E479)="FFFFFF",0,3)+IF(getRGB1($F479)="FFFFFF",0,4)</f>
        <v>1</v>
      </c>
    </row>
    <row r="480" spans="1:7" ht="31.5">
      <c r="A480" t="s">
        <v>6654</v>
      </c>
      <c r="B480" s="83" t="s">
        <v>1710</v>
      </c>
      <c r="C480" s="82" t="s">
        <v>1648</v>
      </c>
      <c r="D480" s="84" t="s">
        <v>1711</v>
      </c>
      <c r="E480" s="84" t="s">
        <v>1712</v>
      </c>
      <c r="F480" s="84" t="s">
        <v>1713</v>
      </c>
      <c r="G480">
        <f>IF(getRGB1($C480)="FFFFFF",0,1)+IF(getRGB1($D480)="FFFFFF",0,2)+IF(getRGB1($E480)="FFFFFF",0,3)+IF(getRGB1($F480)="FFFFFF",0,4)</f>
        <v>1</v>
      </c>
    </row>
    <row r="481" spans="1:7" ht="31.5">
      <c r="A481" t="s">
        <v>6654</v>
      </c>
      <c r="B481" s="83" t="s">
        <v>1714</v>
      </c>
      <c r="C481" s="84" t="s">
        <v>1715</v>
      </c>
      <c r="D481" s="84" t="s">
        <v>1716</v>
      </c>
      <c r="E481" s="82" t="s">
        <v>1717</v>
      </c>
      <c r="F481" s="84" t="s">
        <v>1718</v>
      </c>
      <c r="G481">
        <f>IF(getRGB1($C481)="FFFFFF",0,1)+IF(getRGB1($D481)="FFFFFF",0,2)+IF(getRGB1($E481)="FFFFFF",0,3)+IF(getRGB1($F481)="FFFFFF",0,4)</f>
        <v>3</v>
      </c>
    </row>
    <row r="482" spans="1:7" ht="47.25">
      <c r="A482" t="s">
        <v>6654</v>
      </c>
      <c r="B482" s="83" t="s">
        <v>1719</v>
      </c>
      <c r="C482" s="84" t="s">
        <v>1448</v>
      </c>
      <c r="D482" s="84" t="s">
        <v>1449</v>
      </c>
      <c r="E482" s="82" t="s">
        <v>1450</v>
      </c>
      <c r="F482" s="84" t="s">
        <v>1720</v>
      </c>
      <c r="G482">
        <f>IF(getRGB1($C482)="FFFFFF",0,1)+IF(getRGB1($D482)="FFFFFF",0,2)+IF(getRGB1($E482)="FFFFFF",0,3)+IF(getRGB1($F482)="FFFFFF",0,4)</f>
        <v>3</v>
      </c>
    </row>
    <row r="483" spans="1:7" ht="15.75">
      <c r="A483" t="s">
        <v>6654</v>
      </c>
      <c r="B483" s="80" t="s">
        <v>1721</v>
      </c>
      <c r="C483" s="81" t="s">
        <v>1722</v>
      </c>
      <c r="D483" s="81" t="s">
        <v>1723</v>
      </c>
      <c r="E483" s="81" t="s">
        <v>1724</v>
      </c>
      <c r="F483" s="82" t="s">
        <v>1725</v>
      </c>
      <c r="G483">
        <f>IF(getRGB1($C483)="FFFFFF",0,1)+IF(getRGB1($D483)="FFFFFF",0,2)+IF(getRGB1($E483)="FFFFFF",0,3)+IF(getRGB1($F483)="FFFFFF",0,4)</f>
        <v>4</v>
      </c>
    </row>
    <row r="484" spans="1:7" ht="31.5">
      <c r="A484" t="s">
        <v>6654</v>
      </c>
      <c r="B484" s="80" t="s">
        <v>1726</v>
      </c>
      <c r="C484" s="81" t="s">
        <v>1727</v>
      </c>
      <c r="D484" s="82" t="s">
        <v>1728</v>
      </c>
      <c r="E484" s="81" t="s">
        <v>1729</v>
      </c>
      <c r="F484" s="81" t="s">
        <v>1730</v>
      </c>
      <c r="G484">
        <f>IF(getRGB1($C484)="FFFFFF",0,1)+IF(getRGB1($D484)="FFFFFF",0,2)+IF(getRGB1($E484)="FFFFFF",0,3)+IF(getRGB1($F484)="FFFFFF",0,4)</f>
        <v>2</v>
      </c>
    </row>
    <row r="485" spans="1:7" ht="31.5">
      <c r="A485" t="s">
        <v>6654</v>
      </c>
      <c r="B485" s="80" t="s">
        <v>1731</v>
      </c>
      <c r="C485" s="81">
        <v>5000</v>
      </c>
      <c r="D485" s="81">
        <v>2000</v>
      </c>
      <c r="E485" s="82">
        <v>1000</v>
      </c>
      <c r="F485" s="81" t="s">
        <v>1732</v>
      </c>
      <c r="G485">
        <f>IF(getRGB1($C485)="FFFFFF",0,1)+IF(getRGB1($D485)="FFFFFF",0,2)+IF(getRGB1($E485)="FFFFFF",0,3)+IF(getRGB1($F485)="FFFFFF",0,4)</f>
        <v>3</v>
      </c>
    </row>
    <row r="486" spans="1:7" ht="47.25">
      <c r="A486" t="s">
        <v>6654</v>
      </c>
      <c r="B486" s="80" t="s">
        <v>1733</v>
      </c>
      <c r="C486" s="81">
        <v>5000</v>
      </c>
      <c r="D486" s="81">
        <v>3000</v>
      </c>
      <c r="E486" s="81">
        <v>2000</v>
      </c>
      <c r="F486" s="82">
        <v>1000</v>
      </c>
      <c r="G486">
        <f>IF(getRGB1($C486)="FFFFFF",0,1)+IF(getRGB1($D486)="FFFFFF",0,2)+IF(getRGB1($E486)="FFFFFF",0,3)+IF(getRGB1($F486)="FFFFFF",0,4)</f>
        <v>4</v>
      </c>
    </row>
    <row r="487" spans="1:7" ht="47.25">
      <c r="A487" t="s">
        <v>6654</v>
      </c>
      <c r="B487" s="80" t="s">
        <v>1734</v>
      </c>
      <c r="C487" s="81">
        <v>100</v>
      </c>
      <c r="D487" s="81">
        <v>90</v>
      </c>
      <c r="E487" s="82">
        <v>80</v>
      </c>
      <c r="F487" s="81">
        <v>60</v>
      </c>
      <c r="G487">
        <f>IF(getRGB1($C487)="FFFFFF",0,1)+IF(getRGB1($D487)="FFFFFF",0,2)+IF(getRGB1($E487)="FFFFFF",0,3)+IF(getRGB1($F487)="FFFFFF",0,4)</f>
        <v>3</v>
      </c>
    </row>
    <row r="488" spans="1:7" ht="47.25">
      <c r="A488" t="s">
        <v>6654</v>
      </c>
      <c r="B488" s="80" t="s">
        <v>1735</v>
      </c>
      <c r="C488" s="82">
        <v>100</v>
      </c>
      <c r="D488" s="81">
        <v>90</v>
      </c>
      <c r="E488" s="81">
        <v>80</v>
      </c>
      <c r="F488" s="81">
        <v>60</v>
      </c>
      <c r="G488">
        <f>IF(getRGB1($C488)="FFFFFF",0,1)+IF(getRGB1($D488)="FFFFFF",0,2)+IF(getRGB1($E488)="FFFFFF",0,3)+IF(getRGB1($F488)="FFFFFF",0,4)</f>
        <v>1</v>
      </c>
    </row>
    <row r="489" spans="1:7" ht="47.25">
      <c r="A489" t="s">
        <v>6654</v>
      </c>
      <c r="B489" s="80" t="s">
        <v>1736</v>
      </c>
      <c r="C489" s="81" t="s">
        <v>1737</v>
      </c>
      <c r="D489" s="81" t="s">
        <v>179</v>
      </c>
      <c r="E489" s="82" t="s">
        <v>1738</v>
      </c>
      <c r="F489" s="81" t="s">
        <v>1739</v>
      </c>
      <c r="G489">
        <f>IF(getRGB1($C489)="FFFFFF",0,1)+IF(getRGB1($D489)="FFFFFF",0,2)+IF(getRGB1($E489)="FFFFFF",0,3)+IF(getRGB1($F489)="FFFFFF",0,4)</f>
        <v>3</v>
      </c>
    </row>
    <row r="490" spans="1:7" ht="31.5">
      <c r="A490" t="s">
        <v>6654</v>
      </c>
      <c r="B490" s="80" t="s">
        <v>1740</v>
      </c>
      <c r="C490" s="81" t="s">
        <v>1741</v>
      </c>
      <c r="D490" s="81" t="s">
        <v>1742</v>
      </c>
      <c r="E490" s="81" t="s">
        <v>1743</v>
      </c>
      <c r="F490" s="82" t="s">
        <v>1744</v>
      </c>
      <c r="G490">
        <f>IF(getRGB1($C490)="FFFFFF",0,1)+IF(getRGB1($D490)="FFFFFF",0,2)+IF(getRGB1($E490)="FFFFFF",0,3)+IF(getRGB1($F490)="FFFFFF",0,4)</f>
        <v>4</v>
      </c>
    </row>
    <row r="491" spans="1:7" ht="31.5">
      <c r="A491" t="s">
        <v>6654</v>
      </c>
      <c r="B491" s="80" t="s">
        <v>1745</v>
      </c>
      <c r="C491" s="81" t="s">
        <v>1746</v>
      </c>
      <c r="D491" s="81" t="s">
        <v>1747</v>
      </c>
      <c r="E491" s="82" t="s">
        <v>1748</v>
      </c>
      <c r="F491" s="81" t="s">
        <v>1749</v>
      </c>
      <c r="G491">
        <f>IF(getRGB1($C491)="FFFFFF",0,1)+IF(getRGB1($D491)="FFFFFF",0,2)+IF(getRGB1($E491)="FFFFFF",0,3)+IF(getRGB1($F491)="FFFFFF",0,4)</f>
        <v>3</v>
      </c>
    </row>
    <row r="492" spans="1:7" ht="63">
      <c r="A492" t="s">
        <v>6654</v>
      </c>
      <c r="B492" s="80" t="s">
        <v>1750</v>
      </c>
      <c r="C492" s="81" t="s">
        <v>1751</v>
      </c>
      <c r="D492" s="81" t="s">
        <v>1752</v>
      </c>
      <c r="E492" s="81" t="s">
        <v>1753</v>
      </c>
      <c r="F492" s="88" t="s">
        <v>1754</v>
      </c>
      <c r="G492">
        <f>IF(getRGB1($C492)="FFFFFF",0,1)+IF(getRGB1($D492)="FFFFFF",0,2)+IF(getRGB1($E492)="FFFFFF",0,3)+IF(getRGB1($F492)="FFFFFF",0,4)</f>
        <v>4</v>
      </c>
    </row>
    <row r="493" spans="1:7" ht="15.75">
      <c r="A493" t="s">
        <v>6654</v>
      </c>
      <c r="B493" s="80" t="s">
        <v>1755</v>
      </c>
      <c r="C493" s="81" t="s">
        <v>1756</v>
      </c>
      <c r="D493" s="88" t="s">
        <v>1757</v>
      </c>
      <c r="E493" s="81" t="s">
        <v>1758</v>
      </c>
      <c r="F493" s="89" t="s">
        <v>1759</v>
      </c>
      <c r="G493">
        <f>IF(getRGB1($C493)="FFFFFF",0,1)+IF(getRGB1($D493)="FFFFFF",0,2)+IF(getRGB1($E493)="FFFFFF",0,3)+IF(getRGB1($F493)="FFFFFF",0,4)</f>
        <v>2</v>
      </c>
    </row>
    <row r="494" spans="1:7" ht="15.75">
      <c r="A494" t="s">
        <v>6654</v>
      </c>
      <c r="B494" s="80" t="s">
        <v>1760</v>
      </c>
      <c r="C494" s="81" t="s">
        <v>1761</v>
      </c>
      <c r="D494" s="81" t="s">
        <v>1762</v>
      </c>
      <c r="E494" s="82" t="s">
        <v>1763</v>
      </c>
      <c r="F494" s="81" t="s">
        <v>1764</v>
      </c>
      <c r="G494">
        <f>IF(getRGB1($C494)="FFFFFF",0,1)+IF(getRGB1($D494)="FFFFFF",0,2)+IF(getRGB1($E494)="FFFFFF",0,3)+IF(getRGB1($F494)="FFFFFF",0,4)</f>
        <v>3</v>
      </c>
    </row>
    <row r="495" spans="1:7" ht="15.75">
      <c r="A495" t="s">
        <v>6654</v>
      </c>
      <c r="B495" s="80" t="s">
        <v>1765</v>
      </c>
      <c r="C495" s="82" t="s">
        <v>1766</v>
      </c>
      <c r="D495" s="90">
        <v>43467</v>
      </c>
      <c r="E495" s="90">
        <v>43463</v>
      </c>
      <c r="F495" s="90">
        <v>43449</v>
      </c>
      <c r="G495">
        <f>IF(getRGB1($C495)="FFFFFF",0,1)+IF(getRGB1($D495)="FFFFFF",0,2)+IF(getRGB1($E495)="FFFFFF",0,3)+IF(getRGB1($F495)="FFFFFF",0,4)</f>
        <v>1</v>
      </c>
    </row>
    <row r="496" spans="1:7" ht="31.5">
      <c r="A496" t="s">
        <v>6654</v>
      </c>
      <c r="B496" s="80" t="s">
        <v>1767</v>
      </c>
      <c r="C496" s="81">
        <v>1</v>
      </c>
      <c r="D496" s="81">
        <v>2</v>
      </c>
      <c r="E496" s="82">
        <v>3</v>
      </c>
      <c r="F496" s="81">
        <v>6</v>
      </c>
      <c r="G496">
        <f>IF(getRGB1($C496)="FFFFFF",0,1)+IF(getRGB1($D496)="FFFFFF",0,2)+IF(getRGB1($E496)="FFFFFF",0,3)+IF(getRGB1($F496)="FFFFFF",0,4)</f>
        <v>3</v>
      </c>
    </row>
    <row r="497" spans="1:7" ht="15.75">
      <c r="A497" t="s">
        <v>6654</v>
      </c>
      <c r="B497" s="80" t="s">
        <v>1768</v>
      </c>
      <c r="C497" s="81">
        <v>2000</v>
      </c>
      <c r="D497" s="81">
        <v>10000</v>
      </c>
      <c r="E497" s="81">
        <v>1000</v>
      </c>
      <c r="F497" s="82">
        <v>5000</v>
      </c>
      <c r="G497">
        <f>IF(getRGB1($C497)="FFFFFF",0,1)+IF(getRGB1($D497)="FFFFFF",0,2)+IF(getRGB1($E497)="FFFFFF",0,3)+IF(getRGB1($F497)="FFFFFF",0,4)</f>
        <v>4</v>
      </c>
    </row>
    <row r="498" spans="1:7" ht="78.75">
      <c r="A498" t="s">
        <v>6654</v>
      </c>
      <c r="B498" s="80" t="s">
        <v>1769</v>
      </c>
      <c r="C498" s="82" t="s">
        <v>1770</v>
      </c>
      <c r="D498" s="81" t="s">
        <v>1771</v>
      </c>
      <c r="E498" s="81" t="s">
        <v>1772</v>
      </c>
      <c r="F498" s="81" t="s">
        <v>1773</v>
      </c>
      <c r="G498">
        <f>IF(getRGB1($C498)="FFFFFF",0,1)+IF(getRGB1($D498)="FFFFFF",0,2)+IF(getRGB1($E498)="FFFFFF",0,3)+IF(getRGB1($F498)="FFFFFF",0,4)</f>
        <v>1</v>
      </c>
    </row>
    <row r="499" spans="1:7" ht="31.5">
      <c r="A499" t="s">
        <v>6654</v>
      </c>
      <c r="B499" s="80" t="s">
        <v>1774</v>
      </c>
      <c r="C499" s="81" t="s">
        <v>1775</v>
      </c>
      <c r="D499" s="81" t="s">
        <v>557</v>
      </c>
      <c r="E499" s="81" t="s">
        <v>174</v>
      </c>
      <c r="F499" s="82" t="s">
        <v>76</v>
      </c>
      <c r="G499">
        <f>IF(getRGB1($C499)="FFFFFF",0,1)+IF(getRGB1($D499)="FFFFFF",0,2)+IF(getRGB1($E499)="FFFFFF",0,3)+IF(getRGB1($F499)="FFFFFF",0,4)</f>
        <v>4</v>
      </c>
    </row>
    <row r="500" spans="1:7" ht="15.75">
      <c r="A500" t="s">
        <v>6654</v>
      </c>
      <c r="B500" s="80" t="s">
        <v>1776</v>
      </c>
      <c r="C500" s="81" t="s">
        <v>1737</v>
      </c>
      <c r="D500" s="81" t="s">
        <v>1777</v>
      </c>
      <c r="E500" s="82" t="s">
        <v>1778</v>
      </c>
      <c r="F500" s="81" t="s">
        <v>173</v>
      </c>
      <c r="G500">
        <f>IF(getRGB1($C500)="FFFFFF",0,1)+IF(getRGB1($D500)="FFFFFF",0,2)+IF(getRGB1($E500)="FFFFFF",0,3)+IF(getRGB1($F500)="FFFFFF",0,4)</f>
        <v>3</v>
      </c>
    </row>
    <row r="501" spans="1:7" ht="15.75">
      <c r="A501" t="s">
        <v>6654</v>
      </c>
      <c r="B501" s="80" t="s">
        <v>1779</v>
      </c>
      <c r="C501" s="81" t="s">
        <v>1780</v>
      </c>
      <c r="D501" s="82" t="s">
        <v>1781</v>
      </c>
      <c r="E501" s="81" t="s">
        <v>1782</v>
      </c>
      <c r="F501" s="81" t="s">
        <v>1783</v>
      </c>
      <c r="G501">
        <f>IF(getRGB1($C501)="FFFFFF",0,1)+IF(getRGB1($D501)="FFFFFF",0,2)+IF(getRGB1($E501)="FFFFFF",0,3)+IF(getRGB1($F501)="FFFFFF",0,4)</f>
        <v>2</v>
      </c>
    </row>
    <row r="502" spans="1:7" ht="31.5">
      <c r="A502" t="s">
        <v>6654</v>
      </c>
      <c r="B502" s="80" t="s">
        <v>1784</v>
      </c>
      <c r="C502" s="81" t="s">
        <v>1648</v>
      </c>
      <c r="D502" s="81" t="s">
        <v>74</v>
      </c>
      <c r="E502" s="81" t="s">
        <v>1785</v>
      </c>
      <c r="F502" s="91" t="s">
        <v>1786</v>
      </c>
      <c r="G502">
        <f>IF(getRGB1($C502)="FFFFFF",0,1)+IF(getRGB1($D502)="FFFFFF",0,2)+IF(getRGB1($E502)="FFFFFF",0,3)+IF(getRGB1($F502)="FFFFFF",0,4)</f>
        <v>4</v>
      </c>
    </row>
    <row r="503" spans="1:7" ht="31.5">
      <c r="A503" t="s">
        <v>6654</v>
      </c>
      <c r="B503" s="80" t="s">
        <v>1787</v>
      </c>
      <c r="C503" s="81" t="s">
        <v>1788</v>
      </c>
      <c r="D503" s="81" t="s">
        <v>1789</v>
      </c>
      <c r="E503" s="91" t="s">
        <v>1790</v>
      </c>
      <c r="F503" s="81" t="s">
        <v>1791</v>
      </c>
      <c r="G503">
        <f>IF(getRGB1($C503)="FFFFFF",0,1)+IF(getRGB1($D503)="FFFFFF",0,2)+IF(getRGB1($E503)="FFFFFF",0,3)+IF(getRGB1($F503)="FFFFFF",0,4)</f>
        <v>3</v>
      </c>
    </row>
    <row r="504" spans="1:7" ht="31.5">
      <c r="A504" t="s">
        <v>6654</v>
      </c>
      <c r="B504" s="80" t="s">
        <v>1792</v>
      </c>
      <c r="C504" s="81" t="s">
        <v>1793</v>
      </c>
      <c r="D504" s="81" t="s">
        <v>1794</v>
      </c>
      <c r="E504" s="81" t="s">
        <v>1795</v>
      </c>
      <c r="F504" s="91" t="s">
        <v>1796</v>
      </c>
      <c r="G504">
        <f>IF(getRGB1($C504)="FFFFFF",0,1)+IF(getRGB1($D504)="FFFFFF",0,2)+IF(getRGB1($E504)="FFFFFF",0,3)+IF(getRGB1($F504)="FFFFFF",0,4)</f>
        <v>4</v>
      </c>
    </row>
    <row r="505" spans="1:7" ht="47.25">
      <c r="A505" t="s">
        <v>6654</v>
      </c>
      <c r="B505" s="80" t="s">
        <v>1797</v>
      </c>
      <c r="C505" s="81">
        <v>80</v>
      </c>
      <c r="D505" s="81">
        <v>70</v>
      </c>
      <c r="E505" s="81">
        <v>50</v>
      </c>
      <c r="F505" s="91">
        <v>0</v>
      </c>
      <c r="G505">
        <f>IF(getRGB1($C505)="FFFFFF",0,1)+IF(getRGB1($D505)="FFFFFF",0,2)+IF(getRGB1($E505)="FFFFFF",0,3)+IF(getRGB1($F505)="FFFFFF",0,4)</f>
        <v>4</v>
      </c>
    </row>
    <row r="506" spans="1:7" ht="31.5">
      <c r="A506" t="s">
        <v>6654</v>
      </c>
      <c r="B506" s="80" t="s">
        <v>1798</v>
      </c>
      <c r="C506" s="91">
        <v>1</v>
      </c>
      <c r="D506" s="81">
        <v>3</v>
      </c>
      <c r="E506" s="81">
        <v>5</v>
      </c>
      <c r="F506" s="81">
        <v>6</v>
      </c>
      <c r="G506">
        <f>IF(getRGB1($C506)="FFFFFF",0,1)+IF(getRGB1($D506)="FFFFFF",0,2)+IF(getRGB1($E506)="FFFFFF",0,3)+IF(getRGB1($F506)="FFFFFF",0,4)</f>
        <v>1</v>
      </c>
    </row>
    <row r="507" spans="1:7" ht="15.75">
      <c r="A507" t="s">
        <v>6654</v>
      </c>
      <c r="B507" s="80" t="s">
        <v>1799</v>
      </c>
      <c r="C507" s="81" t="s">
        <v>1800</v>
      </c>
      <c r="D507" s="81" t="s">
        <v>1801</v>
      </c>
      <c r="E507" s="91" t="s">
        <v>1802</v>
      </c>
      <c r="F507" s="81" t="s">
        <v>1803</v>
      </c>
      <c r="G507">
        <f>IF(getRGB1($C507)="FFFFFF",0,1)+IF(getRGB1($D507)="FFFFFF",0,2)+IF(getRGB1($E507)="FFFFFF",0,3)+IF(getRGB1($F507)="FFFFFF",0,4)</f>
        <v>3</v>
      </c>
    </row>
    <row r="508" spans="1:7" ht="31.5">
      <c r="A508" t="s">
        <v>6654</v>
      </c>
      <c r="B508" s="80" t="s">
        <v>1804</v>
      </c>
      <c r="C508" s="81" t="s">
        <v>1805</v>
      </c>
      <c r="D508" s="91" t="s">
        <v>994</v>
      </c>
      <c r="E508" s="81" t="s">
        <v>993</v>
      </c>
      <c r="F508" s="81" t="s">
        <v>995</v>
      </c>
      <c r="G508">
        <f>IF(getRGB1($C508)="FFFFFF",0,1)+IF(getRGB1($D508)="FFFFFF",0,2)+IF(getRGB1($E508)="FFFFFF",0,3)+IF(getRGB1($F508)="FFFFFF",0,4)</f>
        <v>2</v>
      </c>
    </row>
    <row r="509" spans="1:7" ht="47.25">
      <c r="A509" t="s">
        <v>6654</v>
      </c>
      <c r="B509" s="80" t="s">
        <v>1806</v>
      </c>
      <c r="C509" s="81">
        <v>25</v>
      </c>
      <c r="D509" s="81">
        <v>50</v>
      </c>
      <c r="E509" s="91">
        <v>80</v>
      </c>
      <c r="F509" s="81">
        <v>100</v>
      </c>
      <c r="G509">
        <f>IF(getRGB1($C509)="FFFFFF",0,1)+IF(getRGB1($D509)="FFFFFF",0,2)+IF(getRGB1($E509)="FFFFFF",0,3)+IF(getRGB1($F509)="FFFFFF",0,4)</f>
        <v>3</v>
      </c>
    </row>
    <row r="510" spans="1:7" ht="47.25">
      <c r="A510" t="s">
        <v>6654</v>
      </c>
      <c r="B510" s="80" t="s">
        <v>1807</v>
      </c>
      <c r="C510" s="81">
        <v>50</v>
      </c>
      <c r="D510" s="91">
        <v>100</v>
      </c>
      <c r="E510" s="81">
        <v>250</v>
      </c>
      <c r="F510" s="81">
        <v>500</v>
      </c>
      <c r="G510">
        <f>IF(getRGB1($C510)="FFFFFF",0,1)+IF(getRGB1($D510)="FFFFFF",0,2)+IF(getRGB1($E510)="FFFFFF",0,3)+IF(getRGB1($F510)="FFFFFF",0,4)</f>
        <v>2</v>
      </c>
    </row>
    <row r="511" spans="1:7" ht="47.25">
      <c r="A511" t="s">
        <v>6654</v>
      </c>
      <c r="B511" s="80" t="s">
        <v>1808</v>
      </c>
      <c r="C511" s="91" t="s">
        <v>1809</v>
      </c>
      <c r="D511" s="81" t="s">
        <v>1810</v>
      </c>
      <c r="E511" s="81" t="s">
        <v>1811</v>
      </c>
      <c r="F511" s="81" t="s">
        <v>1812</v>
      </c>
      <c r="G511">
        <f>IF(getRGB1($C511)="FFFFFF",0,1)+IF(getRGB1($D511)="FFFFFF",0,2)+IF(getRGB1($E511)="FFFFFF",0,3)+IF(getRGB1($F511)="FFFFFF",0,4)</f>
        <v>1</v>
      </c>
    </row>
    <row r="512" spans="1:7" ht="63">
      <c r="A512" t="s">
        <v>6654</v>
      </c>
      <c r="B512" s="92" t="s">
        <v>1813</v>
      </c>
      <c r="C512" s="93" t="s">
        <v>1814</v>
      </c>
      <c r="D512" s="94" t="b">
        <v>0</v>
      </c>
      <c r="E512" s="94"/>
      <c r="F512" s="94"/>
      <c r="G512">
        <f>IF(getRGB1($C512)="FFFFFF",0,1)+IF(getRGB1($D512)="FFFFFF",0,2)+IF(getRGB1($E512)="FFFFFF",0,3)+IF(getRGB1($F512)="FFFFFF",0,4)</f>
        <v>1</v>
      </c>
    </row>
    <row r="513" spans="1:7" ht="31.5">
      <c r="A513" t="s">
        <v>6654</v>
      </c>
      <c r="B513" s="95" t="s">
        <v>1815</v>
      </c>
      <c r="C513" s="89" t="s">
        <v>1816</v>
      </c>
      <c r="D513" s="89" t="s">
        <v>1817</v>
      </c>
      <c r="E513" s="89" t="s">
        <v>1818</v>
      </c>
      <c r="F513" s="91" t="s">
        <v>1725</v>
      </c>
      <c r="G513">
        <f>IF(getRGB1($C513)="FFFFFF",0,1)+IF(getRGB1($D513)="FFFFFF",0,2)+IF(getRGB1($E513)="FFFFFF",0,3)+IF(getRGB1($F513)="FFFFFF",0,4)</f>
        <v>4</v>
      </c>
    </row>
    <row r="514" spans="1:7" ht="31.5">
      <c r="A514" t="s">
        <v>6654</v>
      </c>
      <c r="B514" s="95" t="s">
        <v>1819</v>
      </c>
      <c r="C514" s="89" t="s">
        <v>1820</v>
      </c>
      <c r="D514" s="89" t="s">
        <v>1821</v>
      </c>
      <c r="E514" s="89" t="s">
        <v>1822</v>
      </c>
      <c r="F514" s="91" t="s">
        <v>1725</v>
      </c>
      <c r="G514">
        <f>IF(getRGB1($C514)="FFFFFF",0,1)+IF(getRGB1($D514)="FFFFFF",0,2)+IF(getRGB1($E514)="FFFFFF",0,3)+IF(getRGB1($F514)="FFFFFF",0,4)</f>
        <v>4</v>
      </c>
    </row>
    <row r="515" spans="1:7" ht="15.75">
      <c r="A515" t="s">
        <v>6654</v>
      </c>
      <c r="B515" s="96" t="s">
        <v>1823</v>
      </c>
      <c r="C515" s="82" t="s">
        <v>108</v>
      </c>
      <c r="D515" s="85" t="s">
        <v>1557</v>
      </c>
      <c r="E515" s="84" t="s">
        <v>109</v>
      </c>
      <c r="F515" s="84" t="s">
        <v>1558</v>
      </c>
      <c r="G515">
        <f>IF(getRGB1($C515)="FFFFFF",0,1)+IF(getRGB1($D515)="FFFFFF",0,2)+IF(getRGB1($E515)="FFFFFF",0,3)+IF(getRGB1($F515)="FFFFFF",0,4)</f>
        <v>1</v>
      </c>
    </row>
    <row r="516" spans="1:7" ht="15.75">
      <c r="A516" t="s">
        <v>6654</v>
      </c>
      <c r="B516" s="96" t="s">
        <v>1824</v>
      </c>
      <c r="C516" s="82" t="s">
        <v>108</v>
      </c>
      <c r="D516" s="85" t="s">
        <v>1557</v>
      </c>
      <c r="E516" s="84" t="s">
        <v>109</v>
      </c>
      <c r="F516" s="84" t="s">
        <v>1558</v>
      </c>
      <c r="G516">
        <f>IF(getRGB1($C516)="FFFFFF",0,1)+IF(getRGB1($D516)="FFFFFF",0,2)+IF(getRGB1($E516)="FFFFFF",0,3)+IF(getRGB1($F516)="FFFFFF",0,4)</f>
        <v>1</v>
      </c>
    </row>
    <row r="517" spans="1:7" ht="25.5">
      <c r="A517" t="s">
        <v>6655</v>
      </c>
      <c r="B517" s="97" t="s">
        <v>1825</v>
      </c>
      <c r="C517" s="98" t="s">
        <v>1826</v>
      </c>
      <c r="D517" s="99" t="s">
        <v>1827</v>
      </c>
      <c r="E517" s="100" t="s">
        <v>1828</v>
      </c>
      <c r="F517" s="100" t="s">
        <v>1829</v>
      </c>
      <c r="G517">
        <f>IF(getRGB1($C517)="FFFFFF",0,1)+IF(getRGB1($D517)="FFFFFF",0,2)+IF(getRGB1($E517)="FFFFFF",0,3)+IF(getRGB1($F517)="FFFFFF",0,4)</f>
        <v>2</v>
      </c>
    </row>
    <row r="518" spans="1:7" ht="25.5">
      <c r="A518" t="s">
        <v>6655</v>
      </c>
      <c r="B518" s="101" t="s">
        <v>1830</v>
      </c>
      <c r="C518" s="98" t="s">
        <v>1831</v>
      </c>
      <c r="D518" s="102" t="s">
        <v>1832</v>
      </c>
      <c r="E518" s="98" t="s">
        <v>1833</v>
      </c>
      <c r="F518" s="98" t="s">
        <v>1834</v>
      </c>
      <c r="G518">
        <f>IF(getRGB1($C518)="FFFFFF",0,1)+IF(getRGB1($D518)="FFFFFF",0,2)+IF(getRGB1($E518)="FFFFFF",0,3)+IF(getRGB1($F518)="FFFFFF",0,4)</f>
        <v>2</v>
      </c>
    </row>
    <row r="519" spans="1:7" ht="25.5">
      <c r="A519" t="s">
        <v>6655</v>
      </c>
      <c r="B519" s="101" t="s">
        <v>1835</v>
      </c>
      <c r="C519" s="100" t="s">
        <v>1836</v>
      </c>
      <c r="D519" s="99" t="s">
        <v>1837</v>
      </c>
      <c r="E519" s="100" t="s">
        <v>1838</v>
      </c>
      <c r="F519" s="100" t="s">
        <v>1839</v>
      </c>
      <c r="G519">
        <f>IF(getRGB1($C519)="FFFFFF",0,1)+IF(getRGB1($D519)="FFFFFF",0,2)+IF(getRGB1($E519)="FFFFFF",0,3)+IF(getRGB1($F519)="FFFFFF",0,4)</f>
        <v>2</v>
      </c>
    </row>
    <row r="520" spans="1:7">
      <c r="A520" t="s">
        <v>6655</v>
      </c>
      <c r="B520" s="101" t="s">
        <v>1840</v>
      </c>
      <c r="C520" s="99" t="s">
        <v>1841</v>
      </c>
      <c r="D520" s="100" t="s">
        <v>1842</v>
      </c>
      <c r="E520" s="100" t="s">
        <v>1843</v>
      </c>
      <c r="F520" s="100" t="s">
        <v>1844</v>
      </c>
      <c r="G520">
        <f>IF(getRGB1($C520)="FFFFFF",0,1)+IF(getRGB1($D520)="FFFFFF",0,2)+IF(getRGB1($E520)="FFFFFF",0,3)+IF(getRGB1($F520)="FFFFFF",0,4)</f>
        <v>1</v>
      </c>
    </row>
    <row r="521" spans="1:7">
      <c r="A521" t="s">
        <v>6655</v>
      </c>
      <c r="B521" s="101" t="s">
        <v>1845</v>
      </c>
      <c r="C521" s="100" t="s">
        <v>1846</v>
      </c>
      <c r="D521" s="99" t="s">
        <v>1847</v>
      </c>
      <c r="E521" s="100" t="s">
        <v>1848</v>
      </c>
      <c r="F521" s="100" t="s">
        <v>1849</v>
      </c>
      <c r="G521">
        <f>IF(getRGB1($C521)="FFFFFF",0,1)+IF(getRGB1($D521)="FFFFFF",0,2)+IF(getRGB1($E521)="FFFFFF",0,3)+IF(getRGB1($F521)="FFFFFF",0,4)</f>
        <v>2</v>
      </c>
    </row>
    <row r="522" spans="1:7">
      <c r="A522" t="s">
        <v>6655</v>
      </c>
      <c r="B522" s="103" t="s">
        <v>1850</v>
      </c>
      <c r="C522" s="99" t="s">
        <v>1851</v>
      </c>
      <c r="D522" s="100" t="s">
        <v>1852</v>
      </c>
      <c r="E522" s="100" t="s">
        <v>1853</v>
      </c>
      <c r="F522" s="100" t="s">
        <v>1854</v>
      </c>
      <c r="G522">
        <f>IF(getRGB1($C522)="FFFFFF",0,1)+IF(getRGB1($D522)="FFFFFF",0,2)+IF(getRGB1($E522)="FFFFFF",0,3)+IF(getRGB1($F522)="FFFFFF",0,4)</f>
        <v>1</v>
      </c>
    </row>
    <row r="523" spans="1:7" ht="25.5">
      <c r="A523" t="s">
        <v>6655</v>
      </c>
      <c r="B523" s="104" t="s">
        <v>1855</v>
      </c>
      <c r="C523" s="105" t="s">
        <v>1856</v>
      </c>
      <c r="D523" s="105" t="s">
        <v>1857</v>
      </c>
      <c r="E523" s="105" t="s">
        <v>1858</v>
      </c>
      <c r="F523" s="99" t="s">
        <v>1859</v>
      </c>
      <c r="G523">
        <f>IF(getRGB1($C523)="FFFFFF",0,1)+IF(getRGB1($D523)="FFFFFF",0,2)+IF(getRGB1($E523)="FFFFFF",0,3)+IF(getRGB1($F523)="FFFFFF",0,4)</f>
        <v>4</v>
      </c>
    </row>
    <row r="524" spans="1:7" ht="38.25">
      <c r="A524" t="s">
        <v>6655</v>
      </c>
      <c r="B524" s="101" t="s">
        <v>1860</v>
      </c>
      <c r="C524" s="99" t="s">
        <v>1861</v>
      </c>
      <c r="D524" s="100" t="s">
        <v>1862</v>
      </c>
      <c r="E524" s="100" t="s">
        <v>1863</v>
      </c>
      <c r="F524" s="100" t="s">
        <v>1864</v>
      </c>
      <c r="G524">
        <f>IF(getRGB1($C524)="FFFFFF",0,1)+IF(getRGB1($D524)="FFFFFF",0,2)+IF(getRGB1($E524)="FFFFFF",0,3)+IF(getRGB1($F524)="FFFFFF",0,4)</f>
        <v>1</v>
      </c>
    </row>
    <row r="525" spans="1:7" ht="38.25">
      <c r="A525" t="s">
        <v>6655</v>
      </c>
      <c r="B525" s="97" t="s">
        <v>1865</v>
      </c>
      <c r="C525" s="99" t="s">
        <v>1866</v>
      </c>
      <c r="D525" s="100" t="s">
        <v>1867</v>
      </c>
      <c r="E525" s="100" t="s">
        <v>1868</v>
      </c>
      <c r="F525" s="100" t="s">
        <v>1869</v>
      </c>
      <c r="G525">
        <f>IF(getRGB1($C525)="FFFFFF",0,1)+IF(getRGB1($D525)="FFFFFF",0,2)+IF(getRGB1($E525)="FFFFFF",0,3)+IF(getRGB1($F525)="FFFFFF",0,4)</f>
        <v>1</v>
      </c>
    </row>
    <row r="526" spans="1:7" ht="60">
      <c r="A526" t="s">
        <v>6655</v>
      </c>
      <c r="B526" s="106" t="s">
        <v>1870</v>
      </c>
      <c r="C526" s="107" t="s">
        <v>1871</v>
      </c>
      <c r="D526" s="106" t="s">
        <v>1872</v>
      </c>
      <c r="E526" s="106" t="s">
        <v>1873</v>
      </c>
      <c r="F526" s="108" t="s">
        <v>61</v>
      </c>
      <c r="G526">
        <f>IF(getRGB1($C526)="FFFFFF",0,1)+IF(getRGB1($D526)="FFFFFF",0,2)+IF(getRGB1($E526)="FFFFFF",0,3)+IF(getRGB1($F526)="FFFFFF",0,4)</f>
        <v>1</v>
      </c>
    </row>
    <row r="527" spans="1:7" ht="51.75">
      <c r="A527" t="s">
        <v>6655</v>
      </c>
      <c r="B527" s="106" t="s">
        <v>1874</v>
      </c>
      <c r="C527" s="109" t="s">
        <v>1875</v>
      </c>
      <c r="D527" s="110" t="s">
        <v>1876</v>
      </c>
      <c r="E527" s="110" t="s">
        <v>1877</v>
      </c>
      <c r="F527" s="107" t="s">
        <v>1869</v>
      </c>
      <c r="G527">
        <f>IF(getRGB1($C527)="FFFFFF",0,1)+IF(getRGB1($D527)="FFFFFF",0,2)+IF(getRGB1($E527)="FFFFFF",0,3)+IF(getRGB1($F527)="FFFFFF",0,4)</f>
        <v>4</v>
      </c>
    </row>
    <row r="528" spans="1:7" ht="45">
      <c r="A528" t="s">
        <v>6655</v>
      </c>
      <c r="B528" s="106" t="s">
        <v>1878</v>
      </c>
      <c r="C528" s="107" t="s">
        <v>1879</v>
      </c>
      <c r="D528" s="109" t="s">
        <v>1880</v>
      </c>
      <c r="E528" s="109" t="s">
        <v>1881</v>
      </c>
      <c r="F528" s="108" t="s">
        <v>61</v>
      </c>
      <c r="G528">
        <f>IF(getRGB1($C528)="FFFFFF",0,1)+IF(getRGB1($D528)="FFFFFF",0,2)+IF(getRGB1($E528)="FFFFFF",0,3)+IF(getRGB1($F528)="FFFFFF",0,4)</f>
        <v>1</v>
      </c>
    </row>
    <row r="529" spans="1:7">
      <c r="A529" t="s">
        <v>6655</v>
      </c>
      <c r="B529" s="106" t="s">
        <v>1882</v>
      </c>
      <c r="C529" s="107" t="s">
        <v>1883</v>
      </c>
      <c r="D529" s="109" t="s">
        <v>1884</v>
      </c>
      <c r="E529" s="109" t="s">
        <v>1885</v>
      </c>
      <c r="F529" s="108" t="s">
        <v>61</v>
      </c>
      <c r="G529">
        <f>IF(getRGB1($C529)="FFFFFF",0,1)+IF(getRGB1($D529)="FFFFFF",0,2)+IF(getRGB1($E529)="FFFFFF",0,3)+IF(getRGB1($F529)="FFFFFF",0,4)</f>
        <v>1</v>
      </c>
    </row>
    <row r="530" spans="1:7" ht="30">
      <c r="A530" t="s">
        <v>6655</v>
      </c>
      <c r="B530" s="106" t="s">
        <v>1886</v>
      </c>
      <c r="C530" s="106" t="s">
        <v>1887</v>
      </c>
      <c r="D530" s="111" t="s">
        <v>1888</v>
      </c>
      <c r="E530" s="108" t="s">
        <v>1889</v>
      </c>
      <c r="F530" s="108" t="s">
        <v>1502</v>
      </c>
      <c r="G530">
        <f>IF(getRGB1($C530)="FFFFFF",0,1)+IF(getRGB1($D530)="FFFFFF",0,2)+IF(getRGB1($E530)="FFFFFF",0,3)+IF(getRGB1($F530)="FFFFFF",0,4)</f>
        <v>2</v>
      </c>
    </row>
    <row r="531" spans="1:7" ht="60">
      <c r="A531" t="s">
        <v>6655</v>
      </c>
      <c r="B531" s="106" t="s">
        <v>1890</v>
      </c>
      <c r="C531" s="108" t="s">
        <v>1891</v>
      </c>
      <c r="D531" s="111" t="s">
        <v>1892</v>
      </c>
      <c r="E531" s="108" t="s">
        <v>1891</v>
      </c>
      <c r="F531" s="108" t="s">
        <v>1893</v>
      </c>
      <c r="G531">
        <f>IF(getRGB1($C531)="FFFFFF",0,1)+IF(getRGB1($D531)="FFFFFF",0,2)+IF(getRGB1($E531)="FFFFFF",0,3)+IF(getRGB1($F531)="FFFFFF",0,4)</f>
        <v>2</v>
      </c>
    </row>
    <row r="532" spans="1:7">
      <c r="A532" t="s">
        <v>6655</v>
      </c>
      <c r="B532" s="106" t="s">
        <v>1894</v>
      </c>
      <c r="C532" s="108" t="s">
        <v>174</v>
      </c>
      <c r="D532" s="108" t="s">
        <v>76</v>
      </c>
      <c r="E532" s="112" t="s">
        <v>1895</v>
      </c>
      <c r="F532" s="108" t="s">
        <v>74</v>
      </c>
      <c r="G532">
        <f>IF(getRGB1($C532)="FFFFFF",0,1)+IF(getRGB1($D532)="FFFFFF",0,2)+IF(getRGB1($E532)="FFFFFF",0,3)+IF(getRGB1($F532)="FFFFFF",0,4)</f>
        <v>3</v>
      </c>
    </row>
    <row r="533" spans="1:7" ht="30">
      <c r="A533" t="s">
        <v>6655</v>
      </c>
      <c r="B533" s="113" t="s">
        <v>1896</v>
      </c>
      <c r="C533" s="113" t="s">
        <v>1897</v>
      </c>
      <c r="D533" s="113" t="s">
        <v>1898</v>
      </c>
      <c r="E533" s="114"/>
      <c r="F533" s="115" t="s">
        <v>1899</v>
      </c>
      <c r="G533">
        <f>IF(getRGB1($C533)="FFFFFF",0,1)+IF(getRGB1($D533)="FFFFFF",0,2)+IF(getRGB1($E533)="FFFFFF",0,3)+IF(getRGB1($F533)="FFFFFF",0,4)</f>
        <v>4</v>
      </c>
    </row>
    <row r="534" spans="1:7" ht="60">
      <c r="A534" t="s">
        <v>6655</v>
      </c>
      <c r="B534" s="113" t="s">
        <v>1900</v>
      </c>
      <c r="C534" s="113" t="s">
        <v>1901</v>
      </c>
      <c r="D534" s="113" t="s">
        <v>1902</v>
      </c>
      <c r="E534" s="113" t="s">
        <v>1903</v>
      </c>
      <c r="F534" s="115" t="s">
        <v>1869</v>
      </c>
      <c r="G534">
        <f>IF(getRGB1($C534)="FFFFFF",0,1)+IF(getRGB1($D534)="FFFFFF",0,2)+IF(getRGB1($E534)="FFFFFF",0,3)+IF(getRGB1($F534)="FFFFFF",0,4)</f>
        <v>4</v>
      </c>
    </row>
    <row r="535" spans="1:7">
      <c r="A535" t="s">
        <v>6655</v>
      </c>
      <c r="B535" s="106" t="s">
        <v>1904</v>
      </c>
      <c r="C535" s="108" t="s">
        <v>1905</v>
      </c>
      <c r="D535" s="108" t="s">
        <v>1906</v>
      </c>
      <c r="E535" s="111" t="s">
        <v>1907</v>
      </c>
      <c r="F535" s="108" t="s">
        <v>61</v>
      </c>
      <c r="G535">
        <f>IF(getRGB1($C535)="FFFFFF",0,1)+IF(getRGB1($D535)="FFFFFF",0,2)+IF(getRGB1($E535)="FFFFFF",0,3)+IF(getRGB1($F535)="FFFFFF",0,4)</f>
        <v>3</v>
      </c>
    </row>
    <row r="536" spans="1:7" ht="45">
      <c r="A536" t="s">
        <v>6655</v>
      </c>
      <c r="B536" s="106" t="s">
        <v>1908</v>
      </c>
      <c r="C536" s="106" t="s">
        <v>1909</v>
      </c>
      <c r="D536" s="107" t="s">
        <v>1910</v>
      </c>
      <c r="E536" s="106" t="s">
        <v>1911</v>
      </c>
      <c r="F536" s="106" t="s">
        <v>1912</v>
      </c>
      <c r="G536">
        <f>IF(getRGB1($C536)="FFFFFF",0,1)+IF(getRGB1($D536)="FFFFFF",0,2)+IF(getRGB1($E536)="FFFFFF",0,3)+IF(getRGB1($F536)="FFFFFF",0,4)</f>
        <v>2</v>
      </c>
    </row>
    <row r="537" spans="1:7">
      <c r="A537" t="s">
        <v>6655</v>
      </c>
      <c r="B537" s="106" t="s">
        <v>1913</v>
      </c>
      <c r="C537" s="106" t="s">
        <v>1914</v>
      </c>
      <c r="D537" s="106" t="s">
        <v>1915</v>
      </c>
      <c r="E537" s="107" t="s">
        <v>1916</v>
      </c>
      <c r="F537" s="106" t="s">
        <v>1917</v>
      </c>
      <c r="G537">
        <f>IF(getRGB1($C537)="FFFFFF",0,1)+IF(getRGB1($D537)="FFFFFF",0,2)+IF(getRGB1($E537)="FFFFFF",0,3)+IF(getRGB1($F537)="FFFFFF",0,4)</f>
        <v>3</v>
      </c>
    </row>
    <row r="538" spans="1:7" ht="31.5">
      <c r="A538" t="s">
        <v>6656</v>
      </c>
      <c r="B538" s="116" t="s">
        <v>1918</v>
      </c>
      <c r="C538" s="116" t="s">
        <v>1919</v>
      </c>
      <c r="D538" s="116" t="s">
        <v>1920</v>
      </c>
      <c r="E538" s="116" t="s">
        <v>1921</v>
      </c>
      <c r="F538" s="117" t="s">
        <v>1922</v>
      </c>
      <c r="G538">
        <f>IF(getRGB1($C538)="FFFFFF",0,1)+IF(getRGB1($D538)="FFFFFF",0,2)+IF(getRGB1($E538)="FFFFFF",0,3)+IF(getRGB1($F538)="FFFFFF",0,4)</f>
        <v>4</v>
      </c>
    </row>
    <row r="539" spans="1:7" ht="15.75">
      <c r="A539" t="s">
        <v>6656</v>
      </c>
      <c r="B539" s="116" t="s">
        <v>1923</v>
      </c>
      <c r="C539" s="116" t="s">
        <v>1924</v>
      </c>
      <c r="D539" s="116" t="s">
        <v>1925</v>
      </c>
      <c r="E539" s="117" t="s">
        <v>1926</v>
      </c>
      <c r="F539" s="116" t="s">
        <v>1927</v>
      </c>
      <c r="G539">
        <f>IF(getRGB1($C539)="FFFFFF",0,1)+IF(getRGB1($D539)="FFFFFF",0,2)+IF(getRGB1($E539)="FFFFFF",0,3)+IF(getRGB1($F539)="FFFFFF",0,4)</f>
        <v>3</v>
      </c>
    </row>
    <row r="540" spans="1:7" ht="31.5">
      <c r="A540" t="s">
        <v>6656</v>
      </c>
      <c r="B540" s="116" t="s">
        <v>1928</v>
      </c>
      <c r="C540" s="116" t="s">
        <v>1929</v>
      </c>
      <c r="D540" s="117" t="s">
        <v>1930</v>
      </c>
      <c r="E540" s="116" t="s">
        <v>1931</v>
      </c>
      <c r="F540" s="116" t="s">
        <v>1932</v>
      </c>
      <c r="G540">
        <f>IF(getRGB1($C540)="FFFFFF",0,1)+IF(getRGB1($D540)="FFFFFF",0,2)+IF(getRGB1($E540)="FFFFFF",0,3)+IF(getRGB1($F540)="FFFFFF",0,4)</f>
        <v>2</v>
      </c>
    </row>
    <row r="541" spans="1:7" ht="47.25">
      <c r="A541" t="s">
        <v>6656</v>
      </c>
      <c r="B541" s="116" t="s">
        <v>1933</v>
      </c>
      <c r="C541" s="116" t="s">
        <v>1934</v>
      </c>
      <c r="D541" s="116" t="s">
        <v>1935</v>
      </c>
      <c r="E541" s="117" t="s">
        <v>1936</v>
      </c>
      <c r="F541" s="116" t="s">
        <v>1937</v>
      </c>
      <c r="G541">
        <f>IF(getRGB1($C541)="FFFFFF",0,1)+IF(getRGB1($D541)="FFFFFF",0,2)+IF(getRGB1($E541)="FFFFFF",0,3)+IF(getRGB1($F541)="FFFFFF",0,4)</f>
        <v>3</v>
      </c>
    </row>
    <row r="542" spans="1:7" ht="47.25">
      <c r="A542" t="s">
        <v>6656</v>
      </c>
      <c r="B542" s="116" t="s">
        <v>1938</v>
      </c>
      <c r="C542" s="117" t="s">
        <v>1937</v>
      </c>
      <c r="D542" s="116" t="s">
        <v>1939</v>
      </c>
      <c r="E542" s="116" t="s">
        <v>1940</v>
      </c>
      <c r="F542" s="116" t="s">
        <v>1941</v>
      </c>
      <c r="G542">
        <f>IF(getRGB1($C542)="FFFFFF",0,1)+IF(getRGB1($D542)="FFFFFF",0,2)+IF(getRGB1($E542)="FFFFFF",0,3)+IF(getRGB1($F542)="FFFFFF",0,4)</f>
        <v>1</v>
      </c>
    </row>
    <row r="543" spans="1:7" ht="31.5">
      <c r="A543" t="s">
        <v>6656</v>
      </c>
      <c r="B543" s="116" t="s">
        <v>1942</v>
      </c>
      <c r="C543" s="116" t="s">
        <v>1943</v>
      </c>
      <c r="D543" s="116" t="s">
        <v>1944</v>
      </c>
      <c r="E543" s="117" t="s">
        <v>1945</v>
      </c>
      <c r="F543" s="116" t="s">
        <v>328</v>
      </c>
      <c r="G543">
        <f>IF(getRGB1($C543)="FFFFFF",0,1)+IF(getRGB1($D543)="FFFFFF",0,2)+IF(getRGB1($E543)="FFFFFF",0,3)+IF(getRGB1($F543)="FFFFFF",0,4)</f>
        <v>3</v>
      </c>
    </row>
    <row r="544" spans="1:7" ht="47.25">
      <c r="A544" t="s">
        <v>6656</v>
      </c>
      <c r="B544" s="116" t="s">
        <v>1946</v>
      </c>
      <c r="C544" s="116" t="s">
        <v>1947</v>
      </c>
      <c r="D544" s="116" t="s">
        <v>1948</v>
      </c>
      <c r="E544" s="117" t="s">
        <v>1949</v>
      </c>
      <c r="F544" s="116" t="s">
        <v>1950</v>
      </c>
      <c r="G544">
        <f>IF(getRGB1($C544)="FFFFFF",0,1)+IF(getRGB1($D544)="FFFFFF",0,2)+IF(getRGB1($E544)="FFFFFF",0,3)+IF(getRGB1($F544)="FFFFFF",0,4)</f>
        <v>3</v>
      </c>
    </row>
    <row r="545" spans="1:7" ht="47.25">
      <c r="A545" t="s">
        <v>6656</v>
      </c>
      <c r="B545" s="116" t="s">
        <v>1951</v>
      </c>
      <c r="C545" s="116" t="s">
        <v>1929</v>
      </c>
      <c r="D545" s="116" t="s">
        <v>1930</v>
      </c>
      <c r="E545" s="116" t="s">
        <v>1952</v>
      </c>
      <c r="F545" s="117" t="s">
        <v>1953</v>
      </c>
      <c r="G545">
        <f>IF(getRGB1($C545)="FFFFFF",0,1)+IF(getRGB1($D545)="FFFFFF",0,2)+IF(getRGB1($E545)="FFFFFF",0,3)+IF(getRGB1($F545)="FFFFFF",0,4)</f>
        <v>4</v>
      </c>
    </row>
    <row r="546" spans="1:7" ht="15.75">
      <c r="A546" t="s">
        <v>6656</v>
      </c>
      <c r="B546" s="116" t="s">
        <v>1954</v>
      </c>
      <c r="C546" s="116" t="s">
        <v>1955</v>
      </c>
      <c r="D546" s="117" t="s">
        <v>1956</v>
      </c>
      <c r="E546" s="116" t="s">
        <v>1957</v>
      </c>
      <c r="F546" s="116" t="s">
        <v>1958</v>
      </c>
      <c r="G546">
        <f>IF(getRGB1($C546)="FFFFFF",0,1)+IF(getRGB1($D546)="FFFFFF",0,2)+IF(getRGB1($E546)="FFFFFF",0,3)+IF(getRGB1($F546)="FFFFFF",0,4)</f>
        <v>2</v>
      </c>
    </row>
    <row r="547" spans="1:7" ht="15.75">
      <c r="A547" t="s">
        <v>6656</v>
      </c>
      <c r="B547" s="116" t="s">
        <v>1959</v>
      </c>
      <c r="C547" s="116" t="s">
        <v>1960</v>
      </c>
      <c r="D547" s="116" t="s">
        <v>1961</v>
      </c>
      <c r="E547" s="117" t="s">
        <v>1962</v>
      </c>
      <c r="F547" s="116" t="s">
        <v>1963</v>
      </c>
      <c r="G547">
        <f>IF(getRGB1($C547)="FFFFFF",0,1)+IF(getRGB1($D547)="FFFFFF",0,2)+IF(getRGB1($E547)="FFFFFF",0,3)+IF(getRGB1($F547)="FFFFFF",0,4)</f>
        <v>3</v>
      </c>
    </row>
    <row r="548" spans="1:7" ht="31.5">
      <c r="A548" t="s">
        <v>6656</v>
      </c>
      <c r="B548" s="116" t="s">
        <v>1964</v>
      </c>
      <c r="C548" s="116" t="s">
        <v>1965</v>
      </c>
      <c r="D548" s="117" t="s">
        <v>1966</v>
      </c>
      <c r="E548" s="116" t="s">
        <v>1967</v>
      </c>
      <c r="F548" s="116" t="s">
        <v>1968</v>
      </c>
      <c r="G548">
        <f>IF(getRGB1($C548)="FFFFFF",0,1)+IF(getRGB1($D548)="FFFFFF",0,2)+IF(getRGB1($E548)="FFFFFF",0,3)+IF(getRGB1($F548)="FFFFFF",0,4)</f>
        <v>2</v>
      </c>
    </row>
    <row r="549" spans="1:7" ht="15.75">
      <c r="A549" t="s">
        <v>6656</v>
      </c>
      <c r="B549" s="116" t="s">
        <v>1969</v>
      </c>
      <c r="C549" s="118" t="s">
        <v>1970</v>
      </c>
      <c r="D549" s="116" t="s">
        <v>1971</v>
      </c>
      <c r="E549" s="117" t="s">
        <v>1972</v>
      </c>
      <c r="F549" s="116" t="s">
        <v>1973</v>
      </c>
      <c r="G549">
        <f>IF(getRGB1($C549)="FFFFFF",0,1)+IF(getRGB1($D549)="FFFFFF",0,2)+IF(getRGB1($E549)="FFFFFF",0,3)+IF(getRGB1($F549)="FFFFFF",0,4)</f>
        <v>3</v>
      </c>
    </row>
    <row r="550" spans="1:7" ht="15.75">
      <c r="A550" t="s">
        <v>6656</v>
      </c>
      <c r="B550" s="116" t="s">
        <v>1974</v>
      </c>
      <c r="C550" s="116" t="s">
        <v>1975</v>
      </c>
      <c r="D550" s="117" t="s">
        <v>1976</v>
      </c>
      <c r="E550" s="116" t="s">
        <v>1977</v>
      </c>
      <c r="F550" s="116" t="s">
        <v>1978</v>
      </c>
      <c r="G550">
        <f>IF(getRGB1($C550)="FFFFFF",0,1)+IF(getRGB1($D550)="FFFFFF",0,2)+IF(getRGB1($E550)="FFFFFF",0,3)+IF(getRGB1($F550)="FFFFFF",0,4)</f>
        <v>2</v>
      </c>
    </row>
    <row r="551" spans="1:7" ht="31.5">
      <c r="A551" t="s">
        <v>6656</v>
      </c>
      <c r="B551" s="116" t="s">
        <v>1979</v>
      </c>
      <c r="C551" s="116" t="s">
        <v>1980</v>
      </c>
      <c r="D551" s="117" t="s">
        <v>1981</v>
      </c>
      <c r="E551" s="116" t="s">
        <v>1982</v>
      </c>
      <c r="F551" s="116" t="s">
        <v>1983</v>
      </c>
      <c r="G551">
        <f>IF(getRGB1($C551)="FFFFFF",0,1)+IF(getRGB1($D551)="FFFFFF",0,2)+IF(getRGB1($E551)="FFFFFF",0,3)+IF(getRGB1($F551)="FFFFFF",0,4)</f>
        <v>2</v>
      </c>
    </row>
    <row r="552" spans="1:7" ht="31.5">
      <c r="A552" t="s">
        <v>6656</v>
      </c>
      <c r="B552" s="116" t="s">
        <v>1984</v>
      </c>
      <c r="C552" s="116">
        <v>20</v>
      </c>
      <c r="D552" s="116">
        <v>15</v>
      </c>
      <c r="E552" s="117">
        <v>10</v>
      </c>
      <c r="F552" s="116">
        <v>5</v>
      </c>
      <c r="G552">
        <f>IF(getRGB1($C552)="FFFFFF",0,1)+IF(getRGB1($D552)="FFFFFF",0,2)+IF(getRGB1($E552)="FFFFFF",0,3)+IF(getRGB1($F552)="FFFFFF",0,4)</f>
        <v>3</v>
      </c>
    </row>
    <row r="553" spans="1:7" ht="15.75">
      <c r="A553" t="s">
        <v>6656</v>
      </c>
      <c r="B553" s="116" t="s">
        <v>1985</v>
      </c>
      <c r="C553" s="116">
        <v>1</v>
      </c>
      <c r="D553" s="116">
        <v>2</v>
      </c>
      <c r="E553" s="117">
        <v>3</v>
      </c>
      <c r="F553" s="116">
        <v>4</v>
      </c>
      <c r="G553">
        <f>IF(getRGB1($C553)="FFFFFF",0,1)+IF(getRGB1($D553)="FFFFFF",0,2)+IF(getRGB1($E553)="FFFFFF",0,3)+IF(getRGB1($F553)="FFFFFF",0,4)</f>
        <v>3</v>
      </c>
    </row>
    <row r="554" spans="1:7" ht="31.5">
      <c r="A554" t="s">
        <v>6656</v>
      </c>
      <c r="B554" s="116" t="s">
        <v>1465</v>
      </c>
      <c r="C554" s="117" t="s">
        <v>1466</v>
      </c>
      <c r="D554" s="116" t="s">
        <v>1467</v>
      </c>
      <c r="E554" s="116" t="s">
        <v>1468</v>
      </c>
      <c r="F554" s="116" t="s">
        <v>61</v>
      </c>
      <c r="G554">
        <f>IF(getRGB1($C554)="FFFFFF",0,1)+IF(getRGB1($D554)="FFFFFF",0,2)+IF(getRGB1($E554)="FFFFFF",0,3)+IF(getRGB1($F554)="FFFFFF",0,4)</f>
        <v>1</v>
      </c>
    </row>
    <row r="555" spans="1:7" ht="15.75">
      <c r="A555" t="s">
        <v>6656</v>
      </c>
      <c r="B555" s="116" t="s">
        <v>1986</v>
      </c>
      <c r="C555" s="117" t="s">
        <v>1987</v>
      </c>
      <c r="D555" s="116" t="s">
        <v>1988</v>
      </c>
      <c r="E555" s="116" t="s">
        <v>1989</v>
      </c>
      <c r="F555" s="116" t="s">
        <v>1990</v>
      </c>
      <c r="G555">
        <f>IF(getRGB1($C555)="FFFFFF",0,1)+IF(getRGB1($D555)="FFFFFF",0,2)+IF(getRGB1($E555)="FFFFFF",0,3)+IF(getRGB1($F555)="FFFFFF",0,4)</f>
        <v>1</v>
      </c>
    </row>
    <row r="556" spans="1:7" ht="31.5">
      <c r="A556" t="s">
        <v>6656</v>
      </c>
      <c r="B556" s="116" t="s">
        <v>1991</v>
      </c>
      <c r="C556" s="117" t="s">
        <v>1992</v>
      </c>
      <c r="D556" s="116" t="s">
        <v>1993</v>
      </c>
      <c r="E556" s="116" t="s">
        <v>1994</v>
      </c>
      <c r="F556" s="116" t="s">
        <v>1995</v>
      </c>
      <c r="G556">
        <f>IF(getRGB1($C556)="FFFFFF",0,1)+IF(getRGB1($D556)="FFFFFF",0,2)+IF(getRGB1($E556)="FFFFFF",0,3)+IF(getRGB1($F556)="FFFFFF",0,4)</f>
        <v>1</v>
      </c>
    </row>
    <row r="557" spans="1:7" ht="31.5">
      <c r="A557" t="s">
        <v>6656</v>
      </c>
      <c r="B557" s="116" t="s">
        <v>1996</v>
      </c>
      <c r="C557" s="116" t="s">
        <v>1997</v>
      </c>
      <c r="D557" s="117" t="s">
        <v>1998</v>
      </c>
      <c r="E557" s="116" t="s">
        <v>1999</v>
      </c>
      <c r="F557" s="116" t="s">
        <v>61</v>
      </c>
      <c r="G557">
        <f>IF(getRGB1($C557)="FFFFFF",0,1)+IF(getRGB1($D557)="FFFFFF",0,2)+IF(getRGB1($E557)="FFFFFF",0,3)+IF(getRGB1($F557)="FFFFFF",0,4)</f>
        <v>2</v>
      </c>
    </row>
    <row r="558" spans="1:7" ht="47.25">
      <c r="A558" t="s">
        <v>6656</v>
      </c>
      <c r="B558" s="116" t="s">
        <v>2000</v>
      </c>
      <c r="C558" s="116" t="s">
        <v>2001</v>
      </c>
      <c r="D558" s="116" t="s">
        <v>2002</v>
      </c>
      <c r="E558" s="117" t="s">
        <v>360</v>
      </c>
      <c r="F558" s="116" t="s">
        <v>61</v>
      </c>
      <c r="G558">
        <f>IF(getRGB1($C558)="FFFFFF",0,1)+IF(getRGB1($D558)="FFFFFF",0,2)+IF(getRGB1($E558)="FFFFFF",0,3)+IF(getRGB1($F558)="FFFFFF",0,4)</f>
        <v>3</v>
      </c>
    </row>
    <row r="559" spans="1:7" ht="15.75">
      <c r="A559" t="s">
        <v>6656</v>
      </c>
      <c r="B559" s="116" t="s">
        <v>2003</v>
      </c>
      <c r="C559" s="116" t="s">
        <v>76</v>
      </c>
      <c r="D559" s="117" t="s">
        <v>2004</v>
      </c>
      <c r="E559" s="116" t="s">
        <v>557</v>
      </c>
      <c r="F559" s="116" t="s">
        <v>179</v>
      </c>
      <c r="G559">
        <f>IF(getRGB1($C559)="FFFFFF",0,1)+IF(getRGB1($D559)="FFFFFF",0,2)+IF(getRGB1($E559)="FFFFFF",0,3)+IF(getRGB1($F559)="FFFFFF",0,4)</f>
        <v>2</v>
      </c>
    </row>
    <row r="560" spans="1:7" ht="15.75">
      <c r="A560" t="s">
        <v>6656</v>
      </c>
      <c r="B560" s="116" t="s">
        <v>2005</v>
      </c>
      <c r="C560" s="116" t="s">
        <v>2006</v>
      </c>
      <c r="D560" s="117" t="s">
        <v>2007</v>
      </c>
      <c r="E560" s="116" t="s">
        <v>2008</v>
      </c>
      <c r="F560" s="116" t="s">
        <v>61</v>
      </c>
      <c r="G560">
        <f>IF(getRGB1($C560)="FFFFFF",0,1)+IF(getRGB1($D560)="FFFFFF",0,2)+IF(getRGB1($E560)="FFFFFF",0,3)+IF(getRGB1($F560)="FFFFFF",0,4)</f>
        <v>2</v>
      </c>
    </row>
    <row r="561" spans="1:7" ht="31.5">
      <c r="A561" t="s">
        <v>6656</v>
      </c>
      <c r="B561" s="116" t="s">
        <v>2009</v>
      </c>
      <c r="C561" s="117" t="s">
        <v>2010</v>
      </c>
      <c r="D561" s="116" t="s">
        <v>2011</v>
      </c>
      <c r="E561" s="116" t="s">
        <v>2012</v>
      </c>
      <c r="F561" s="119" t="s">
        <v>61</v>
      </c>
      <c r="G561">
        <f>IF(getRGB1($C561)="FFFFFF",0,1)+IF(getRGB1($D561)="FFFFFF",0,2)+IF(getRGB1($E561)="FFFFFF",0,3)+IF(getRGB1($F561)="FFFFFF",0,4)</f>
        <v>1</v>
      </c>
    </row>
    <row r="562" spans="1:7" ht="31.5">
      <c r="A562" t="s">
        <v>6656</v>
      </c>
      <c r="B562" s="116" t="s">
        <v>2013</v>
      </c>
      <c r="C562" s="117" t="s">
        <v>2014</v>
      </c>
      <c r="D562" s="116" t="s">
        <v>2015</v>
      </c>
      <c r="E562" s="116" t="s">
        <v>2016</v>
      </c>
      <c r="F562" s="116" t="s">
        <v>2017</v>
      </c>
      <c r="G562">
        <f>IF(getRGB1($C562)="FFFFFF",0,1)+IF(getRGB1($D562)="FFFFFF",0,2)+IF(getRGB1($E562)="FFFFFF",0,3)+IF(getRGB1($F562)="FFFFFF",0,4)</f>
        <v>1</v>
      </c>
    </row>
    <row r="563" spans="1:7" ht="15.75">
      <c r="A563" t="s">
        <v>6656</v>
      </c>
      <c r="B563" s="116" t="s">
        <v>2018</v>
      </c>
      <c r="C563" s="116" t="s">
        <v>2019</v>
      </c>
      <c r="D563" s="116" t="s">
        <v>2020</v>
      </c>
      <c r="E563" s="120" t="s">
        <v>2021</v>
      </c>
      <c r="F563" s="116" t="s">
        <v>2022</v>
      </c>
      <c r="G563">
        <f>IF(getRGB1($C563)="FFFFFF",0,1)+IF(getRGB1($D563)="FFFFFF",0,2)+IF(getRGB1($E563)="FFFFFF",0,3)+IF(getRGB1($F563)="FFFFFF",0,4)</f>
        <v>3</v>
      </c>
    </row>
    <row r="564" spans="1:7" ht="15.75">
      <c r="A564" t="s">
        <v>6656</v>
      </c>
      <c r="B564" s="121" t="s">
        <v>2023</v>
      </c>
      <c r="C564" s="122" t="s">
        <v>2024</v>
      </c>
      <c r="D564" s="121" t="s">
        <v>2025</v>
      </c>
      <c r="E564" s="121" t="s">
        <v>1952</v>
      </c>
      <c r="F564" s="121" t="s">
        <v>2026</v>
      </c>
      <c r="G564">
        <f>IF(getRGB1($C564)="FFFFFF",0,1)+IF(getRGB1($D564)="FFFFFF",0,2)+IF(getRGB1($E564)="FFFFFF",0,3)+IF(getRGB1($F564)="FFFFFF",0,4)</f>
        <v>1</v>
      </c>
    </row>
    <row r="565" spans="1:7" ht="47.25">
      <c r="A565" t="s">
        <v>6656</v>
      </c>
      <c r="B565" s="116" t="s">
        <v>2027</v>
      </c>
      <c r="C565" s="116" t="s">
        <v>2028</v>
      </c>
      <c r="D565" s="116" t="s">
        <v>2029</v>
      </c>
      <c r="E565" s="116" t="s">
        <v>2030</v>
      </c>
      <c r="F565" s="117" t="s">
        <v>2031</v>
      </c>
      <c r="G565">
        <f>IF(getRGB1($C565)="FFFFFF",0,1)+IF(getRGB1($D565)="FFFFFF",0,2)+IF(getRGB1($E565)="FFFFFF",0,3)+IF(getRGB1($F565)="FFFFFF",0,4)</f>
        <v>4</v>
      </c>
    </row>
    <row r="566" spans="1:7" ht="15.75">
      <c r="A566" t="s">
        <v>6656</v>
      </c>
      <c r="B566" s="116" t="s">
        <v>2032</v>
      </c>
      <c r="C566" s="116" t="s">
        <v>2033</v>
      </c>
      <c r="D566" s="117" t="s">
        <v>2034</v>
      </c>
      <c r="E566" s="116" t="s">
        <v>2035</v>
      </c>
      <c r="F566" s="116" t="s">
        <v>2036</v>
      </c>
      <c r="G566">
        <f>IF(getRGB1($C566)="FFFFFF",0,1)+IF(getRGB1($D566)="FFFFFF",0,2)+IF(getRGB1($E566)="FFFFFF",0,3)+IF(getRGB1($F566)="FFFFFF",0,4)</f>
        <v>2</v>
      </c>
    </row>
    <row r="567" spans="1:7" ht="15.75">
      <c r="A567" t="s">
        <v>6656</v>
      </c>
      <c r="B567" s="116" t="s">
        <v>2037</v>
      </c>
      <c r="C567" s="116" t="s">
        <v>2038</v>
      </c>
      <c r="D567" s="117" t="s">
        <v>2039</v>
      </c>
      <c r="E567" s="116" t="s">
        <v>2040</v>
      </c>
      <c r="F567" s="116" t="s">
        <v>61</v>
      </c>
      <c r="G567">
        <f>IF(getRGB1($C567)="FFFFFF",0,1)+IF(getRGB1($D567)="FFFFFF",0,2)+IF(getRGB1($E567)="FFFFFF",0,3)+IF(getRGB1($F567)="FFFFFF",0,4)</f>
        <v>2</v>
      </c>
    </row>
    <row r="568" spans="1:7" ht="31.5">
      <c r="A568" t="s">
        <v>6656</v>
      </c>
      <c r="B568" s="116" t="s">
        <v>2041</v>
      </c>
      <c r="C568" s="117" t="s">
        <v>2042</v>
      </c>
      <c r="D568" s="116" t="s">
        <v>2043</v>
      </c>
      <c r="E568" s="116" t="s">
        <v>2044</v>
      </c>
      <c r="F568" s="116" t="s">
        <v>2045</v>
      </c>
      <c r="G568">
        <f>IF(getRGB1($C568)="FFFFFF",0,1)+IF(getRGB1($D568)="FFFFFF",0,2)+IF(getRGB1($E568)="FFFFFF",0,3)+IF(getRGB1($F568)="FFFFFF",0,4)</f>
        <v>1</v>
      </c>
    </row>
    <row r="569" spans="1:7" ht="31.5">
      <c r="A569" t="s">
        <v>6656</v>
      </c>
      <c r="B569" s="116" t="s">
        <v>2046</v>
      </c>
      <c r="C569" s="116" t="s">
        <v>2047</v>
      </c>
      <c r="D569" s="116" t="s">
        <v>2048</v>
      </c>
      <c r="E569" s="116" t="s">
        <v>2049</v>
      </c>
      <c r="F569" s="117" t="s">
        <v>2050</v>
      </c>
      <c r="G569">
        <f>IF(getRGB1($C569)="FFFFFF",0,1)+IF(getRGB1($D569)="FFFFFF",0,2)+IF(getRGB1($E569)="FFFFFF",0,3)+IF(getRGB1($F569)="FFFFFF",0,4)</f>
        <v>4</v>
      </c>
    </row>
    <row r="570" spans="1:7" ht="15.75">
      <c r="A570" t="s">
        <v>6656</v>
      </c>
      <c r="B570" s="116" t="s">
        <v>2051</v>
      </c>
      <c r="C570" s="116" t="s">
        <v>2052</v>
      </c>
      <c r="D570" s="117" t="s">
        <v>2053</v>
      </c>
      <c r="E570" s="116" t="s">
        <v>2054</v>
      </c>
      <c r="F570" s="116" t="s">
        <v>2055</v>
      </c>
      <c r="G570">
        <f>IF(getRGB1($C570)="FFFFFF",0,1)+IF(getRGB1($D570)="FFFFFF",0,2)+IF(getRGB1($E570)="FFFFFF",0,3)+IF(getRGB1($F570)="FFFFFF",0,4)</f>
        <v>2</v>
      </c>
    </row>
    <row r="571" spans="1:7" ht="15.75">
      <c r="A571" t="s">
        <v>6656</v>
      </c>
      <c r="B571" s="116" t="s">
        <v>2056</v>
      </c>
      <c r="C571" s="116" t="s">
        <v>557</v>
      </c>
      <c r="D571" s="116" t="s">
        <v>179</v>
      </c>
      <c r="E571" s="117" t="s">
        <v>76</v>
      </c>
      <c r="F571" s="116" t="s">
        <v>73</v>
      </c>
      <c r="G571">
        <f>IF(getRGB1($C571)="FFFFFF",0,1)+IF(getRGB1($D571)="FFFFFF",0,2)+IF(getRGB1($E571)="FFFFFF",0,3)+IF(getRGB1($F571)="FFFFFF",0,4)</f>
        <v>3</v>
      </c>
    </row>
    <row r="572" spans="1:7" ht="31.5">
      <c r="A572" t="s">
        <v>6656</v>
      </c>
      <c r="B572" s="116" t="s">
        <v>2057</v>
      </c>
      <c r="C572" s="116" t="s">
        <v>2058</v>
      </c>
      <c r="D572" s="117" t="s">
        <v>114</v>
      </c>
      <c r="E572" s="116" t="s">
        <v>2059</v>
      </c>
      <c r="F572" s="116" t="s">
        <v>2060</v>
      </c>
      <c r="G572">
        <f>IF(getRGB1($C572)="FFFFFF",0,1)+IF(getRGB1($D572)="FFFFFF",0,2)+IF(getRGB1($E572)="FFFFFF",0,3)+IF(getRGB1($F572)="FFFFFF",0,4)</f>
        <v>2</v>
      </c>
    </row>
    <row r="573" spans="1:7" ht="31.5">
      <c r="A573" t="s">
        <v>6656</v>
      </c>
      <c r="B573" s="116" t="s">
        <v>2061</v>
      </c>
      <c r="C573" s="116" t="s">
        <v>2062</v>
      </c>
      <c r="D573" s="116" t="s">
        <v>2063</v>
      </c>
      <c r="E573" s="117" t="s">
        <v>2064</v>
      </c>
      <c r="F573" s="116" t="s">
        <v>66</v>
      </c>
      <c r="G573">
        <f>IF(getRGB1($C573)="FFFFFF",0,1)+IF(getRGB1($D573)="FFFFFF",0,2)+IF(getRGB1($E573)="FFFFFF",0,3)+IF(getRGB1($F573)="FFFFFF",0,4)</f>
        <v>3</v>
      </c>
    </row>
    <row r="574" spans="1:7" ht="15.75">
      <c r="A574" t="s">
        <v>6656</v>
      </c>
      <c r="B574" s="116" t="s">
        <v>2065</v>
      </c>
      <c r="C574" s="116">
        <v>1000</v>
      </c>
      <c r="D574" s="116">
        <v>2000</v>
      </c>
      <c r="E574" s="116">
        <v>10000</v>
      </c>
      <c r="F574" s="117">
        <v>5000</v>
      </c>
      <c r="G574">
        <f>IF(getRGB1($C574)="FFFFFF",0,1)+IF(getRGB1($D574)="FFFFFF",0,2)+IF(getRGB1($E574)="FFFFFF",0,3)+IF(getRGB1($F574)="FFFFFF",0,4)</f>
        <v>4</v>
      </c>
    </row>
    <row r="575" spans="1:7" ht="15.75">
      <c r="A575" t="s">
        <v>6656</v>
      </c>
      <c r="B575" s="116" t="s">
        <v>2066</v>
      </c>
      <c r="C575" s="116" t="s">
        <v>2067</v>
      </c>
      <c r="D575" s="117" t="s">
        <v>2068</v>
      </c>
      <c r="E575" s="116" t="s">
        <v>2040</v>
      </c>
      <c r="F575" s="116" t="s">
        <v>61</v>
      </c>
      <c r="G575">
        <f>IF(getRGB1($C575)="FFFFFF",0,1)+IF(getRGB1($D575)="FFFFFF",0,2)+IF(getRGB1($E575)="FFFFFF",0,3)+IF(getRGB1($F575)="FFFFFF",0,4)</f>
        <v>2</v>
      </c>
    </row>
    <row r="576" spans="1:7" ht="31.5">
      <c r="A576" t="s">
        <v>6656</v>
      </c>
      <c r="B576" s="116" t="s">
        <v>2069</v>
      </c>
      <c r="C576" s="116" t="s">
        <v>76</v>
      </c>
      <c r="D576" s="116" t="s">
        <v>2070</v>
      </c>
      <c r="E576" s="117" t="s">
        <v>73</v>
      </c>
      <c r="F576" s="116" t="s">
        <v>270</v>
      </c>
      <c r="G576">
        <f>IF(getRGB1($C576)="FFFFFF",0,1)+IF(getRGB1($D576)="FFFFFF",0,2)+IF(getRGB1($E576)="FFFFFF",0,3)+IF(getRGB1($F576)="FFFFFF",0,4)</f>
        <v>3</v>
      </c>
    </row>
    <row r="577" spans="1:7" ht="15.75">
      <c r="A577" t="s">
        <v>6656</v>
      </c>
      <c r="B577" s="116" t="s">
        <v>2071</v>
      </c>
      <c r="C577" s="116" t="s">
        <v>2072</v>
      </c>
      <c r="D577" s="117" t="s">
        <v>2073</v>
      </c>
      <c r="E577" s="116" t="s">
        <v>61</v>
      </c>
      <c r="F577" s="116" t="s">
        <v>2074</v>
      </c>
      <c r="G577">
        <f>IF(getRGB1($C577)="FFFFFF",0,1)+IF(getRGB1($D577)="FFFFFF",0,2)+IF(getRGB1($E577)="FFFFFF",0,3)+IF(getRGB1($F577)="FFFFFF",0,4)</f>
        <v>2</v>
      </c>
    </row>
    <row r="578" spans="1:7" ht="15.75">
      <c r="A578" t="s">
        <v>6656</v>
      </c>
      <c r="B578" s="116" t="s">
        <v>2075</v>
      </c>
      <c r="C578" s="116" t="s">
        <v>2076</v>
      </c>
      <c r="D578" s="116" t="s">
        <v>2077</v>
      </c>
      <c r="E578" s="117" t="s">
        <v>2078</v>
      </c>
      <c r="F578" s="116" t="s">
        <v>61</v>
      </c>
      <c r="G578">
        <f>IF(getRGB1($C578)="FFFFFF",0,1)+IF(getRGB1($D578)="FFFFFF",0,2)+IF(getRGB1($E578)="FFFFFF",0,3)+IF(getRGB1($F578)="FFFFFF",0,4)</f>
        <v>3</v>
      </c>
    </row>
    <row r="579" spans="1:7" ht="15.75">
      <c r="A579" t="s">
        <v>6656</v>
      </c>
      <c r="B579" s="116" t="s">
        <v>2079</v>
      </c>
      <c r="C579" s="116" t="s">
        <v>2080</v>
      </c>
      <c r="D579" s="117" t="s">
        <v>2081</v>
      </c>
      <c r="E579" s="116" t="s">
        <v>2040</v>
      </c>
      <c r="F579" s="116" t="s">
        <v>61</v>
      </c>
      <c r="G579">
        <f>IF(getRGB1($C579)="FFFFFF",0,1)+IF(getRGB1($D579)="FFFFFF",0,2)+IF(getRGB1($E579)="FFFFFF",0,3)+IF(getRGB1($F579)="FFFFFF",0,4)</f>
        <v>2</v>
      </c>
    </row>
    <row r="580" spans="1:7" ht="15.75">
      <c r="A580" t="s">
        <v>6656</v>
      </c>
      <c r="B580" s="116" t="s">
        <v>2082</v>
      </c>
      <c r="C580" s="116" t="s">
        <v>2083</v>
      </c>
      <c r="D580" s="116" t="s">
        <v>2084</v>
      </c>
      <c r="E580" s="117" t="s">
        <v>2085</v>
      </c>
      <c r="F580" s="116" t="s">
        <v>61</v>
      </c>
      <c r="G580">
        <f>IF(getRGB1($C580)="FFFFFF",0,1)+IF(getRGB1($D580)="FFFFFF",0,2)+IF(getRGB1($E580)="FFFFFF",0,3)+IF(getRGB1($F580)="FFFFFF",0,4)</f>
        <v>3</v>
      </c>
    </row>
    <row r="581" spans="1:7" ht="31.5">
      <c r="A581" t="s">
        <v>6656</v>
      </c>
      <c r="B581" s="116" t="s">
        <v>2086</v>
      </c>
      <c r="C581" s="116" t="s">
        <v>2087</v>
      </c>
      <c r="D581" s="116" t="s">
        <v>2088</v>
      </c>
      <c r="E581" s="117" t="s">
        <v>2089</v>
      </c>
      <c r="F581" s="116" t="s">
        <v>61</v>
      </c>
      <c r="G581">
        <f>IF(getRGB1($C581)="FFFFFF",0,1)+IF(getRGB1($D581)="FFFFFF",0,2)+IF(getRGB1($E581)="FFFFFF",0,3)+IF(getRGB1($F581)="FFFFFF",0,4)</f>
        <v>3</v>
      </c>
    </row>
    <row r="582" spans="1:7" ht="31.5">
      <c r="A582" t="s">
        <v>6656</v>
      </c>
      <c r="B582" s="116" t="s">
        <v>2090</v>
      </c>
      <c r="C582" s="123">
        <v>39326</v>
      </c>
      <c r="D582" s="124">
        <v>39295</v>
      </c>
      <c r="E582" s="123">
        <v>39234</v>
      </c>
      <c r="F582" s="123">
        <v>39264</v>
      </c>
      <c r="G582">
        <f>IF(getRGB1($C582)="FFFFFF",0,1)+IF(getRGB1($D582)="FFFFFF",0,2)+IF(getRGB1($E582)="FFFFFF",0,3)+IF(getRGB1($F582)="FFFFFF",0,4)</f>
        <v>2</v>
      </c>
    </row>
    <row r="583" spans="1:7" ht="15.75">
      <c r="A583" t="s">
        <v>6656</v>
      </c>
      <c r="B583" s="116" t="s">
        <v>2091</v>
      </c>
      <c r="C583" s="117" t="s">
        <v>2092</v>
      </c>
      <c r="D583" s="116" t="s">
        <v>2093</v>
      </c>
      <c r="E583" s="116" t="s">
        <v>2094</v>
      </c>
      <c r="F583" s="116"/>
      <c r="G583">
        <f>IF(getRGB1($C583)="FFFFFF",0,1)+IF(getRGB1($D583)="FFFFFF",0,2)+IF(getRGB1($E583)="FFFFFF",0,3)+IF(getRGB1($F583)="FFFFFF",0,4)</f>
        <v>1</v>
      </c>
    </row>
    <row r="584" spans="1:7" ht="63">
      <c r="A584" t="s">
        <v>6656</v>
      </c>
      <c r="B584" s="116" t="s">
        <v>2095</v>
      </c>
      <c r="C584" s="116" t="s">
        <v>2096</v>
      </c>
      <c r="D584" s="117" t="s">
        <v>2097</v>
      </c>
      <c r="E584" s="116" t="s">
        <v>2098</v>
      </c>
      <c r="F584" s="116" t="s">
        <v>61</v>
      </c>
      <c r="G584">
        <f>IF(getRGB1($C584)="FFFFFF",0,1)+IF(getRGB1($D584)="FFFFFF",0,2)+IF(getRGB1($E584)="FFFFFF",0,3)+IF(getRGB1($F584)="FFFFFF",0,4)</f>
        <v>2</v>
      </c>
    </row>
    <row r="585" spans="1:7" ht="47.25">
      <c r="A585" t="s">
        <v>6656</v>
      </c>
      <c r="B585" s="116" t="s">
        <v>2099</v>
      </c>
      <c r="C585" s="117" t="s">
        <v>2100</v>
      </c>
      <c r="D585" s="116" t="s">
        <v>2101</v>
      </c>
      <c r="E585" s="116" t="s">
        <v>2102</v>
      </c>
      <c r="F585" s="116" t="s">
        <v>61</v>
      </c>
      <c r="G585">
        <f>IF(getRGB1($C585)="FFFFFF",0,1)+IF(getRGB1($D585)="FFFFFF",0,2)+IF(getRGB1($E585)="FFFFFF",0,3)+IF(getRGB1($F585)="FFFFFF",0,4)</f>
        <v>1</v>
      </c>
    </row>
    <row r="586" spans="1:7" ht="15.75">
      <c r="A586" t="s">
        <v>6656</v>
      </c>
      <c r="B586" s="116" t="s">
        <v>2103</v>
      </c>
      <c r="C586" s="116" t="s">
        <v>2104</v>
      </c>
      <c r="D586" s="116" t="s">
        <v>2105</v>
      </c>
      <c r="E586" s="117" t="s">
        <v>2106</v>
      </c>
      <c r="F586" s="116" t="s">
        <v>61</v>
      </c>
      <c r="G586">
        <f>IF(getRGB1($C586)="FFFFFF",0,1)+IF(getRGB1($D586)="FFFFFF",0,2)+IF(getRGB1($E586)="FFFFFF",0,3)+IF(getRGB1($F586)="FFFFFF",0,4)</f>
        <v>3</v>
      </c>
    </row>
    <row r="587" spans="1:7" ht="47.25">
      <c r="A587" t="s">
        <v>6656</v>
      </c>
      <c r="B587" s="116" t="s">
        <v>2107</v>
      </c>
      <c r="C587" s="116" t="s">
        <v>1947</v>
      </c>
      <c r="D587" s="117" t="s">
        <v>1948</v>
      </c>
      <c r="E587" s="116" t="s">
        <v>1949</v>
      </c>
      <c r="F587" s="116" t="s">
        <v>1950</v>
      </c>
      <c r="G587">
        <f>IF(getRGB1($C587)="FFFFFF",0,1)+IF(getRGB1($D587)="FFFFFF",0,2)+IF(getRGB1($E587)="FFFFFF",0,3)+IF(getRGB1($F587)="FFFFFF",0,4)</f>
        <v>2</v>
      </c>
    </row>
    <row r="588" spans="1:7" ht="47.25">
      <c r="A588" t="s">
        <v>6656</v>
      </c>
      <c r="B588" s="116" t="s">
        <v>2108</v>
      </c>
      <c r="C588" s="125" t="b">
        <v>1</v>
      </c>
      <c r="D588" s="126" t="b">
        <v>0</v>
      </c>
      <c r="E588" s="126"/>
      <c r="F588" s="126"/>
      <c r="G588">
        <f>IF(getRGB1($C588)="FFFFFF",0,1)+IF(getRGB1($D588)="FFFFFF",0,2)+IF(getRGB1($E588)="FFFFFF",0,3)+IF(getRGB1($F588)="FFFFFF",0,4)</f>
        <v>1</v>
      </c>
    </row>
    <row r="589" spans="1:7" ht="15.75">
      <c r="A589" t="s">
        <v>6656</v>
      </c>
      <c r="B589" s="116" t="s">
        <v>2109</v>
      </c>
      <c r="C589" s="116" t="s">
        <v>2110</v>
      </c>
      <c r="D589" s="126" t="s">
        <v>2111</v>
      </c>
      <c r="E589" s="116" t="s">
        <v>2112</v>
      </c>
      <c r="F589" s="117" t="s">
        <v>2113</v>
      </c>
      <c r="G589">
        <f>IF(getRGB1($C589)="FFFFFF",0,1)+IF(getRGB1($D589)="FFFFFF",0,2)+IF(getRGB1($E589)="FFFFFF",0,3)+IF(getRGB1($F589)="FFFFFF",0,4)</f>
        <v>4</v>
      </c>
    </row>
    <row r="590" spans="1:7" ht="31.5">
      <c r="A590" t="s">
        <v>6656</v>
      </c>
      <c r="B590" s="116" t="s">
        <v>2114</v>
      </c>
      <c r="C590" s="117" t="s">
        <v>2110</v>
      </c>
      <c r="D590" s="126" t="s">
        <v>2111</v>
      </c>
      <c r="E590" s="116" t="s">
        <v>2112</v>
      </c>
      <c r="F590" s="118" t="s">
        <v>2113</v>
      </c>
      <c r="G590">
        <f>IF(getRGB1($C590)="FFFFFF",0,1)+IF(getRGB1($D590)="FFFFFF",0,2)+IF(getRGB1($E590)="FFFFFF",0,3)+IF(getRGB1($F590)="FFFFFF",0,4)</f>
        <v>1</v>
      </c>
    </row>
    <row r="591" spans="1:7" ht="15.75">
      <c r="A591" t="s">
        <v>6656</v>
      </c>
      <c r="B591" s="116" t="s">
        <v>2115</v>
      </c>
      <c r="C591" s="127">
        <v>0.05</v>
      </c>
      <c r="D591" s="127">
        <v>0.25</v>
      </c>
      <c r="E591" s="127">
        <v>0.3</v>
      </c>
      <c r="F591" s="128">
        <v>0.5</v>
      </c>
      <c r="G591">
        <f>IF(getRGB1($C591)="FFFFFF",0,1)+IF(getRGB1($D591)="FFFFFF",0,2)+IF(getRGB1($E591)="FFFFFF",0,3)+IF(getRGB1($F591)="FFFFFF",0,4)</f>
        <v>4</v>
      </c>
    </row>
    <row r="592" spans="1:7" ht="47.25">
      <c r="A592" t="s">
        <v>6656</v>
      </c>
      <c r="B592" s="116" t="s">
        <v>2116</v>
      </c>
      <c r="C592" s="127">
        <v>0.05</v>
      </c>
      <c r="D592" s="128">
        <v>0.25</v>
      </c>
      <c r="E592" s="127">
        <v>0.3</v>
      </c>
      <c r="F592" s="127">
        <v>0.5</v>
      </c>
      <c r="G592">
        <f>IF(getRGB1($C592)="FFFFFF",0,1)+IF(getRGB1($D592)="FFFFFF",0,2)+IF(getRGB1($E592)="FFFFFF",0,3)+IF(getRGB1($F592)="FFFFFF",0,4)</f>
        <v>2</v>
      </c>
    </row>
    <row r="593" spans="1:7" ht="31.5">
      <c r="A593" t="s">
        <v>6656</v>
      </c>
      <c r="B593" s="116" t="s">
        <v>2117</v>
      </c>
      <c r="C593" s="128">
        <v>0.05</v>
      </c>
      <c r="D593" s="127">
        <v>0.25</v>
      </c>
      <c r="E593" s="127">
        <v>0.3</v>
      </c>
      <c r="F593" s="127">
        <v>0.5</v>
      </c>
      <c r="G593">
        <f>IF(getRGB1($C593)="FFFFFF",0,1)+IF(getRGB1($D593)="FFFFFF",0,2)+IF(getRGB1($E593)="FFFFFF",0,3)+IF(getRGB1($F593)="FFFFFF",0,4)</f>
        <v>1</v>
      </c>
    </row>
    <row r="594" spans="1:7" ht="47.25">
      <c r="A594" t="s">
        <v>6656</v>
      </c>
      <c r="B594" s="116" t="s">
        <v>2118</v>
      </c>
      <c r="C594" s="127">
        <v>0.17</v>
      </c>
      <c r="D594" s="127">
        <v>0.31</v>
      </c>
      <c r="E594" s="128">
        <v>0.49</v>
      </c>
      <c r="F594" s="127">
        <v>0.51</v>
      </c>
      <c r="G594">
        <f>IF(getRGB1($C594)="FFFFFF",0,1)+IF(getRGB1($D594)="FFFFFF",0,2)+IF(getRGB1($E594)="FFFFFF",0,3)+IF(getRGB1($F594)="FFFFFF",0,4)</f>
        <v>3</v>
      </c>
    </row>
    <row r="595" spans="1:7" ht="31.5">
      <c r="A595" t="s">
        <v>6656</v>
      </c>
      <c r="B595" s="116" t="s">
        <v>2119</v>
      </c>
      <c r="C595" s="125" t="s">
        <v>2120</v>
      </c>
      <c r="D595" s="126" t="s">
        <v>995</v>
      </c>
      <c r="E595" s="126" t="s">
        <v>2121</v>
      </c>
      <c r="F595" s="126" t="s">
        <v>2122</v>
      </c>
      <c r="G595">
        <f>IF(getRGB1($C595)="FFFFFF",0,1)+IF(getRGB1($D595)="FFFFFF",0,2)+IF(getRGB1($E595)="FFFFFF",0,3)+IF(getRGB1($F595)="FFFFFF",0,4)</f>
        <v>1</v>
      </c>
    </row>
    <row r="596" spans="1:7" ht="31.5">
      <c r="A596" t="s">
        <v>6656</v>
      </c>
      <c r="B596" s="116" t="s">
        <v>2123</v>
      </c>
      <c r="C596" s="126" t="s">
        <v>2124</v>
      </c>
      <c r="D596" s="126" t="s">
        <v>1805</v>
      </c>
      <c r="E596" s="126" t="s">
        <v>994</v>
      </c>
      <c r="F596" s="125" t="s">
        <v>995</v>
      </c>
      <c r="G596">
        <f>IF(getRGB1($C596)="FFFFFF",0,1)+IF(getRGB1($D596)="FFFFFF",0,2)+IF(getRGB1($E596)="FFFFFF",0,3)+IF(getRGB1($F596)="FFFFFF",0,4)</f>
        <v>4</v>
      </c>
    </row>
    <row r="597" spans="1:7" ht="30">
      <c r="A597" t="s">
        <v>6656</v>
      </c>
      <c r="B597" s="116" t="s">
        <v>2125</v>
      </c>
      <c r="C597" s="126" t="s">
        <v>2126</v>
      </c>
      <c r="D597" s="116" t="s">
        <v>2127</v>
      </c>
      <c r="E597" s="125" t="s">
        <v>2128</v>
      </c>
      <c r="F597" s="126">
        <v>5</v>
      </c>
      <c r="G597">
        <f>IF(getRGB1($C597)="FFFFFF",0,1)+IF(getRGB1($D597)="FFFFFF",0,2)+IF(getRGB1($E597)="FFFFFF",0,3)+IF(getRGB1($F597)="FFFFFF",0,4)</f>
        <v>3</v>
      </c>
    </row>
    <row r="598" spans="1:7" ht="15.75">
      <c r="A598" t="s">
        <v>6656</v>
      </c>
      <c r="B598" s="116" t="s">
        <v>2129</v>
      </c>
      <c r="C598" s="126" t="s">
        <v>2130</v>
      </c>
      <c r="D598" s="126" t="s">
        <v>1127</v>
      </c>
      <c r="E598" s="126" t="s">
        <v>1126</v>
      </c>
      <c r="F598" s="125" t="s">
        <v>2131</v>
      </c>
      <c r="G598">
        <f>IF(getRGB1($C598)="FFFFFF",0,1)+IF(getRGB1($D598)="FFFFFF",0,2)+IF(getRGB1($E598)="FFFFFF",0,3)+IF(getRGB1($F598)="FFFFFF",0,4)</f>
        <v>4</v>
      </c>
    </row>
    <row r="599" spans="1:7" ht="15.75">
      <c r="A599" t="s">
        <v>6656</v>
      </c>
      <c r="B599" s="116" t="s">
        <v>2132</v>
      </c>
      <c r="C599" s="126" t="s">
        <v>2130</v>
      </c>
      <c r="D599" s="126" t="s">
        <v>1127</v>
      </c>
      <c r="E599" s="125" t="s">
        <v>1126</v>
      </c>
      <c r="F599" s="126" t="s">
        <v>2131</v>
      </c>
      <c r="G599">
        <f>IF(getRGB1($C599)="FFFFFF",0,1)+IF(getRGB1($D599)="FFFFFF",0,2)+IF(getRGB1($E599)="FFFFFF",0,3)+IF(getRGB1($F599)="FFFFFF",0,4)</f>
        <v>3</v>
      </c>
    </row>
    <row r="600" spans="1:7" ht="15.75">
      <c r="A600" t="s">
        <v>6656</v>
      </c>
      <c r="B600" s="116" t="s">
        <v>2133</v>
      </c>
      <c r="C600" s="125" t="s">
        <v>2130</v>
      </c>
      <c r="D600" s="126" t="s">
        <v>1127</v>
      </c>
      <c r="E600" s="126" t="s">
        <v>1126</v>
      </c>
      <c r="F600" s="126" t="s">
        <v>2131</v>
      </c>
      <c r="G600">
        <f>IF(getRGB1($C600)="FFFFFF",0,1)+IF(getRGB1($D600)="FFFFFF",0,2)+IF(getRGB1($E600)="FFFFFF",0,3)+IF(getRGB1($F600)="FFFFFF",0,4)</f>
        <v>1</v>
      </c>
    </row>
    <row r="601" spans="1:7" ht="60">
      <c r="A601" t="s">
        <v>6656</v>
      </c>
      <c r="B601" s="126" t="s">
        <v>2134</v>
      </c>
      <c r="C601" s="126" t="s">
        <v>2135</v>
      </c>
      <c r="D601" s="126" t="s">
        <v>2136</v>
      </c>
      <c r="E601" s="125" t="s">
        <v>1936</v>
      </c>
      <c r="F601" s="126" t="s">
        <v>328</v>
      </c>
      <c r="G601">
        <f>IF(getRGB1($C601)="FFFFFF",0,1)+IF(getRGB1($D601)="FFFFFF",0,2)+IF(getRGB1($E601)="FFFFFF",0,3)+IF(getRGB1($F601)="FFFFFF",0,4)</f>
        <v>3</v>
      </c>
    </row>
    <row r="602" spans="1:7" ht="75">
      <c r="A602" t="s">
        <v>6656</v>
      </c>
      <c r="B602" s="126" t="s">
        <v>2137</v>
      </c>
      <c r="C602" s="126" t="s">
        <v>2138</v>
      </c>
      <c r="D602" s="126" t="s">
        <v>2139</v>
      </c>
      <c r="E602" s="126" t="s">
        <v>2140</v>
      </c>
      <c r="F602" s="125" t="s">
        <v>2141</v>
      </c>
      <c r="G602">
        <f>IF(getRGB1($C602)="FFFFFF",0,1)+IF(getRGB1($D602)="FFFFFF",0,2)+IF(getRGB1($E602)="FFFFFF",0,3)+IF(getRGB1($F602)="FFFFFF",0,4)</f>
        <v>4</v>
      </c>
    </row>
    <row r="603" spans="1:7" ht="45">
      <c r="A603" t="s">
        <v>6656</v>
      </c>
      <c r="B603" s="126" t="s">
        <v>2142</v>
      </c>
      <c r="C603" s="129">
        <v>5.0000000000000001E-3</v>
      </c>
      <c r="D603" s="129">
        <v>2.5000000000000001E-3</v>
      </c>
      <c r="E603" s="130">
        <v>7.4999999999999997E-3</v>
      </c>
      <c r="F603" s="127">
        <v>0.01</v>
      </c>
      <c r="G603">
        <f>IF(getRGB1($C603)="FFFFFF",0,1)+IF(getRGB1($D603)="FFFFFF",0,2)+IF(getRGB1($E603)="FFFFFF",0,3)+IF(getRGB1($F603)="FFFFFF",0,4)</f>
        <v>3</v>
      </c>
    </row>
    <row r="604" spans="1:7" ht="30">
      <c r="A604" t="s">
        <v>6656</v>
      </c>
      <c r="B604" s="126" t="s">
        <v>2143</v>
      </c>
      <c r="C604" s="126" t="s">
        <v>45</v>
      </c>
      <c r="D604" s="126" t="s">
        <v>44</v>
      </c>
      <c r="E604" s="125" t="s">
        <v>2144</v>
      </c>
      <c r="F604" s="126" t="s">
        <v>46</v>
      </c>
      <c r="G604">
        <f>IF(getRGB1($C604)="FFFFFF",0,1)+IF(getRGB1($D604)="FFFFFF",0,2)+IF(getRGB1($E604)="FFFFFF",0,3)+IF(getRGB1($F604)="FFFFFF",0,4)</f>
        <v>3</v>
      </c>
    </row>
    <row r="605" spans="1:7" ht="60">
      <c r="A605" t="s">
        <v>6656</v>
      </c>
      <c r="B605" s="126" t="s">
        <v>2145</v>
      </c>
      <c r="C605" s="125" t="s">
        <v>2146</v>
      </c>
      <c r="D605" s="126" t="s">
        <v>2147</v>
      </c>
      <c r="E605" s="126" t="s">
        <v>2148</v>
      </c>
      <c r="F605" s="126" t="s">
        <v>2149</v>
      </c>
      <c r="G605">
        <f>IF(getRGB1($C605)="FFFFFF",0,1)+IF(getRGB1($D605)="FFFFFF",0,2)+IF(getRGB1($E605)="FFFFFF",0,3)+IF(getRGB1($F605)="FFFFFF",0,4)</f>
        <v>1</v>
      </c>
    </row>
    <row r="606" spans="1:7" ht="45">
      <c r="A606" t="s">
        <v>6656</v>
      </c>
      <c r="B606" s="126" t="s">
        <v>2150</v>
      </c>
      <c r="C606" s="125" t="s">
        <v>2151</v>
      </c>
      <c r="D606" s="126" t="s">
        <v>2152</v>
      </c>
      <c r="E606" s="126" t="s">
        <v>2153</v>
      </c>
      <c r="F606" s="126" t="s">
        <v>2154</v>
      </c>
      <c r="G606">
        <f>IF(getRGB1($C606)="FFFFFF",0,1)+IF(getRGB1($D606)="FFFFFF",0,2)+IF(getRGB1($E606)="FFFFFF",0,3)+IF(getRGB1($F606)="FFFFFF",0,4)</f>
        <v>1</v>
      </c>
    </row>
    <row r="607" spans="1:7" ht="45">
      <c r="A607" t="s">
        <v>6657</v>
      </c>
      <c r="B607" s="126" t="s">
        <v>2155</v>
      </c>
      <c r="C607" s="126" t="s">
        <v>2156</v>
      </c>
      <c r="D607" s="126" t="s">
        <v>2157</v>
      </c>
      <c r="E607" s="125" t="s">
        <v>1936</v>
      </c>
      <c r="F607" s="126" t="s">
        <v>2158</v>
      </c>
      <c r="G607">
        <f>IF(getRGB1($C607)="FFFFFF",0,1)+IF(getRGB1($D607)="FFFFFF",0,2)+IF(getRGB1($E607)="FFFFFF",0,3)+IF(getRGB1($F607)="FFFFFF",0,4)</f>
        <v>3</v>
      </c>
    </row>
    <row r="608" spans="1:7" ht="60">
      <c r="A608" t="s">
        <v>6657</v>
      </c>
      <c r="B608" s="126" t="s">
        <v>2134</v>
      </c>
      <c r="C608" s="126" t="s">
        <v>2159</v>
      </c>
      <c r="D608" s="126" t="s">
        <v>2160</v>
      </c>
      <c r="E608" s="125" t="s">
        <v>1936</v>
      </c>
      <c r="F608" s="126" t="s">
        <v>328</v>
      </c>
      <c r="G608">
        <f>IF(getRGB1($C608)="FFFFFF",0,1)+IF(getRGB1($D608)="FFFFFF",0,2)+IF(getRGB1($E608)="FFFFFF",0,3)+IF(getRGB1($F608)="FFFFFF",0,4)</f>
        <v>3</v>
      </c>
    </row>
    <row r="609" spans="1:7" ht="30">
      <c r="A609" t="s">
        <v>6657</v>
      </c>
      <c r="B609" s="126" t="s">
        <v>2161</v>
      </c>
      <c r="C609" s="125" t="s">
        <v>2162</v>
      </c>
      <c r="D609" s="126" t="s">
        <v>2163</v>
      </c>
      <c r="E609" s="126" t="s">
        <v>2164</v>
      </c>
      <c r="F609" s="126" t="s">
        <v>2165</v>
      </c>
      <c r="G609">
        <f>IF(getRGB1($C609)="FFFFFF",0,1)+IF(getRGB1($D609)="FFFFFF",0,2)+IF(getRGB1($E609)="FFFFFF",0,3)+IF(getRGB1($F609)="FFFFFF",0,4)</f>
        <v>1</v>
      </c>
    </row>
    <row r="610" spans="1:7" ht="30">
      <c r="A610" t="s">
        <v>6657</v>
      </c>
      <c r="B610" s="126" t="s">
        <v>2166</v>
      </c>
      <c r="C610" s="126" t="s">
        <v>2167</v>
      </c>
      <c r="D610" s="126" t="s">
        <v>2168</v>
      </c>
      <c r="E610" s="125" t="s">
        <v>2164</v>
      </c>
      <c r="F610" s="126" t="s">
        <v>2165</v>
      </c>
      <c r="G610">
        <f>IF(getRGB1($C610)="FFFFFF",0,1)+IF(getRGB1($D610)="FFFFFF",0,2)+IF(getRGB1($E610)="FFFFFF",0,3)+IF(getRGB1($F610)="FFFFFF",0,4)</f>
        <v>3</v>
      </c>
    </row>
    <row r="611" spans="1:7" ht="60">
      <c r="A611" t="s">
        <v>6657</v>
      </c>
      <c r="B611" s="126" t="s">
        <v>2169</v>
      </c>
      <c r="C611" s="126">
        <v>25</v>
      </c>
      <c r="D611" s="125">
        <v>26</v>
      </c>
      <c r="E611" s="126">
        <v>33</v>
      </c>
      <c r="F611" s="126">
        <v>34</v>
      </c>
      <c r="G611">
        <f>IF(getRGB1($C611)="FFFFFF",0,1)+IF(getRGB1($D611)="FFFFFF",0,2)+IF(getRGB1($E611)="FFFFFF",0,3)+IF(getRGB1($F611)="FFFFFF",0,4)</f>
        <v>2</v>
      </c>
    </row>
    <row r="612" spans="1:7" ht="30">
      <c r="A612" t="s">
        <v>6657</v>
      </c>
      <c r="B612" s="126" t="s">
        <v>2170</v>
      </c>
      <c r="C612" s="126" t="s">
        <v>2171</v>
      </c>
      <c r="D612" s="125" t="s">
        <v>2172</v>
      </c>
      <c r="E612" s="126" t="s">
        <v>2173</v>
      </c>
      <c r="F612" s="126" t="s">
        <v>2174</v>
      </c>
      <c r="G612">
        <f>IF(getRGB1($C612)="FFFFFF",0,1)+IF(getRGB1($D612)="FFFFFF",0,2)+IF(getRGB1($E612)="FFFFFF",0,3)+IF(getRGB1($F612)="FFFFFF",0,4)</f>
        <v>2</v>
      </c>
    </row>
    <row r="613" spans="1:7">
      <c r="A613" t="s">
        <v>6657</v>
      </c>
      <c r="B613" s="126" t="s">
        <v>2175</v>
      </c>
      <c r="C613" s="126" t="s">
        <v>2176</v>
      </c>
      <c r="D613" s="126" t="s">
        <v>2177</v>
      </c>
      <c r="E613" s="126" t="s">
        <v>2178</v>
      </c>
      <c r="F613" s="125" t="s">
        <v>1759</v>
      </c>
      <c r="G613">
        <f>IF(getRGB1($C613)="FFFFFF",0,1)+IF(getRGB1($D613)="FFFFFF",0,2)+IF(getRGB1($E613)="FFFFFF",0,3)+IF(getRGB1($F613)="FFFFFF",0,4)</f>
        <v>4</v>
      </c>
    </row>
    <row r="614" spans="1:7">
      <c r="A614" t="s">
        <v>6657</v>
      </c>
      <c r="B614" s="126" t="s">
        <v>2179</v>
      </c>
      <c r="C614" s="126" t="s">
        <v>2176</v>
      </c>
      <c r="D614" s="126" t="s">
        <v>2177</v>
      </c>
      <c r="E614" s="125" t="s">
        <v>2178</v>
      </c>
      <c r="F614" s="126" t="s">
        <v>1759</v>
      </c>
      <c r="G614">
        <f>IF(getRGB1($C614)="FFFFFF",0,1)+IF(getRGB1($D614)="FFFFFF",0,2)+IF(getRGB1($E614)="FFFFFF",0,3)+IF(getRGB1($F614)="FFFFFF",0,4)</f>
        <v>3</v>
      </c>
    </row>
    <row r="615" spans="1:7">
      <c r="A615" t="s">
        <v>6657</v>
      </c>
      <c r="B615" s="126" t="s">
        <v>2180</v>
      </c>
      <c r="C615" s="126" t="s">
        <v>2176</v>
      </c>
      <c r="D615" s="125" t="s">
        <v>2177</v>
      </c>
      <c r="E615" s="126" t="s">
        <v>2178</v>
      </c>
      <c r="F615" s="126" t="s">
        <v>1759</v>
      </c>
      <c r="G615">
        <f>IF(getRGB1($C615)="FFFFFF",0,1)+IF(getRGB1($D615)="FFFFFF",0,2)+IF(getRGB1($E615)="FFFFFF",0,3)+IF(getRGB1($F615)="FFFFFF",0,4)</f>
        <v>2</v>
      </c>
    </row>
    <row r="616" spans="1:7">
      <c r="A616" t="s">
        <v>6657</v>
      </c>
      <c r="B616" s="126" t="s">
        <v>2181</v>
      </c>
      <c r="C616" s="125" t="s">
        <v>2176</v>
      </c>
      <c r="D616" s="126" t="s">
        <v>2177</v>
      </c>
      <c r="E616" s="126" t="s">
        <v>2178</v>
      </c>
      <c r="F616" s="126" t="s">
        <v>1759</v>
      </c>
      <c r="G616">
        <f>IF(getRGB1($C616)="FFFFFF",0,1)+IF(getRGB1($D616)="FFFFFF",0,2)+IF(getRGB1($E616)="FFFFFF",0,3)+IF(getRGB1($F616)="FFFFFF",0,4)</f>
        <v>1</v>
      </c>
    </row>
    <row r="617" spans="1:7" ht="45">
      <c r="A617" t="s">
        <v>6657</v>
      </c>
      <c r="B617" s="126" t="s">
        <v>2182</v>
      </c>
      <c r="C617" s="126" t="s">
        <v>2183</v>
      </c>
      <c r="D617" s="125" t="s">
        <v>2184</v>
      </c>
      <c r="E617" s="126" t="s">
        <v>2185</v>
      </c>
      <c r="F617" s="126" t="s">
        <v>2186</v>
      </c>
      <c r="G617">
        <f>IF(getRGB1($C617)="FFFFFF",0,1)+IF(getRGB1($D617)="FFFFFF",0,2)+IF(getRGB1($E617)="FFFFFF",0,3)+IF(getRGB1($F617)="FFFFFF",0,4)</f>
        <v>2</v>
      </c>
    </row>
    <row r="618" spans="1:7" ht="30">
      <c r="A618" t="s">
        <v>6657</v>
      </c>
      <c r="B618" s="126" t="s">
        <v>2187</v>
      </c>
      <c r="C618" s="127">
        <v>1</v>
      </c>
      <c r="D618" s="127">
        <v>1.3</v>
      </c>
      <c r="E618" s="127">
        <v>1.4</v>
      </c>
      <c r="F618" s="128">
        <v>1.2</v>
      </c>
      <c r="G618">
        <f>IF(getRGB1($C618)="FFFFFF",0,1)+IF(getRGB1($D618)="FFFFFF",0,2)+IF(getRGB1($E618)="FFFFFF",0,3)+IF(getRGB1($F618)="FFFFFF",0,4)</f>
        <v>4</v>
      </c>
    </row>
    <row r="619" spans="1:7" ht="45">
      <c r="A619" t="s">
        <v>6657</v>
      </c>
      <c r="B619" s="126" t="s">
        <v>2188</v>
      </c>
      <c r="C619" s="125" t="b">
        <v>1</v>
      </c>
      <c r="D619" s="126" t="b">
        <v>0</v>
      </c>
      <c r="E619" s="126"/>
      <c r="F619" s="126"/>
      <c r="G619">
        <f>IF(getRGB1($C619)="FFFFFF",0,1)+IF(getRGB1($D619)="FFFFFF",0,2)+IF(getRGB1($E619)="FFFFFF",0,3)+IF(getRGB1($F619)="FFFFFF",0,4)</f>
        <v>1</v>
      </c>
    </row>
    <row r="620" spans="1:7" ht="60">
      <c r="A620" t="s">
        <v>6657</v>
      </c>
      <c r="B620" s="126" t="s">
        <v>2189</v>
      </c>
      <c r="C620" s="126" t="s">
        <v>2190</v>
      </c>
      <c r="D620" s="126" t="s">
        <v>94</v>
      </c>
      <c r="E620" s="125" t="s">
        <v>95</v>
      </c>
      <c r="F620" s="126" t="s">
        <v>93</v>
      </c>
      <c r="G620">
        <f>IF(getRGB1($C620)="FFFFFF",0,1)+IF(getRGB1($D620)="FFFFFF",0,2)+IF(getRGB1($E620)="FFFFFF",0,3)+IF(getRGB1($F620)="FFFFFF",0,4)</f>
        <v>3</v>
      </c>
    </row>
    <row r="621" spans="1:7" ht="30">
      <c r="A621" t="s">
        <v>6657</v>
      </c>
      <c r="B621" s="126" t="s">
        <v>2191</v>
      </c>
      <c r="C621" s="115" t="s">
        <v>2192</v>
      </c>
      <c r="D621" s="126" t="s">
        <v>2193</v>
      </c>
      <c r="E621" s="126" t="s">
        <v>2194</v>
      </c>
      <c r="F621" s="126" t="s">
        <v>2195</v>
      </c>
      <c r="G621">
        <f>IF(getRGB1($C621)="FFFFFF",0,1)+IF(getRGB1($D621)="FFFFFF",0,2)+IF(getRGB1($E621)="FFFFFF",0,3)+IF(getRGB1($F621)="FFFFFF",0,4)</f>
        <v>1</v>
      </c>
    </row>
    <row r="622" spans="1:7" ht="30">
      <c r="A622" t="s">
        <v>6657</v>
      </c>
      <c r="B622" s="126" t="s">
        <v>2196</v>
      </c>
      <c r="C622" s="125">
        <v>7</v>
      </c>
      <c r="D622" s="126">
        <v>3</v>
      </c>
      <c r="E622" s="126">
        <v>4</v>
      </c>
      <c r="F622" s="126">
        <v>5</v>
      </c>
      <c r="G622">
        <f>IF(getRGB1($C622)="FFFFFF",0,1)+IF(getRGB1($D622)="FFFFFF",0,2)+IF(getRGB1($E622)="FFFFFF",0,3)+IF(getRGB1($F622)="FFFFFF",0,4)</f>
        <v>1</v>
      </c>
    </row>
    <row r="623" spans="1:7" ht="30">
      <c r="A623" t="s">
        <v>6657</v>
      </c>
      <c r="B623" s="126" t="s">
        <v>2197</v>
      </c>
      <c r="C623" s="126">
        <v>7</v>
      </c>
      <c r="D623" s="126">
        <v>3</v>
      </c>
      <c r="E623" s="125">
        <v>4</v>
      </c>
      <c r="F623" s="126">
        <v>5</v>
      </c>
      <c r="G623">
        <f>IF(getRGB1($C623)="FFFFFF",0,1)+IF(getRGB1($D623)="FFFFFF",0,2)+IF(getRGB1($E623)="FFFFFF",0,3)+IF(getRGB1($F623)="FFFFFF",0,4)</f>
        <v>3</v>
      </c>
    </row>
    <row r="624" spans="1:7" ht="45">
      <c r="A624" t="s">
        <v>6657</v>
      </c>
      <c r="B624" s="106" t="s">
        <v>2198</v>
      </c>
      <c r="C624" s="108">
        <v>173191</v>
      </c>
      <c r="D624" s="108">
        <v>162960</v>
      </c>
      <c r="E624" s="111">
        <v>168000</v>
      </c>
      <c r="F624" s="108">
        <v>98966</v>
      </c>
      <c r="G624">
        <f>IF(getRGB1($C624)="FFFFFF",0,1)+IF(getRGB1($D624)="FFFFFF",0,2)+IF(getRGB1($E624)="FFFFFF",0,3)+IF(getRGB1($F624)="FFFFFF",0,4)</f>
        <v>3</v>
      </c>
    </row>
    <row r="625" spans="1:7" ht="60">
      <c r="A625" t="s">
        <v>6657</v>
      </c>
      <c r="B625" s="106" t="s">
        <v>2199</v>
      </c>
      <c r="C625" s="108">
        <v>168000</v>
      </c>
      <c r="D625" s="108">
        <v>96000</v>
      </c>
      <c r="E625" s="108">
        <v>173195</v>
      </c>
      <c r="F625" s="111">
        <v>48000</v>
      </c>
      <c r="G625">
        <f>IF(getRGB1($C625)="FFFFFF",0,1)+IF(getRGB1($D625)="FFFFFF",0,2)+IF(getRGB1($E625)="FFFFFF",0,3)+IF(getRGB1($F625)="FFFFFF",0,4)</f>
        <v>4</v>
      </c>
    </row>
    <row r="626" spans="1:7" ht="30">
      <c r="A626" t="s">
        <v>6658</v>
      </c>
      <c r="B626" s="97" t="s">
        <v>2200</v>
      </c>
      <c r="C626" s="131" t="s">
        <v>2201</v>
      </c>
      <c r="D626" s="102" t="s">
        <v>2202</v>
      </c>
      <c r="E626" s="131" t="s">
        <v>2203</v>
      </c>
      <c r="F626" s="131" t="s">
        <v>2204</v>
      </c>
      <c r="G626">
        <f>IF(getRGB1($C626)="FFFFFF",0,1)+IF(getRGB1($D626)="FFFFFF",0,2)+IF(getRGB1($E626)="FFFFFF",0,3)+IF(getRGB1($F626)="FFFFFF",0,4)</f>
        <v>2</v>
      </c>
    </row>
    <row r="627" spans="1:7" ht="30">
      <c r="A627" t="s">
        <v>6658</v>
      </c>
      <c r="B627" s="97" t="s">
        <v>2205</v>
      </c>
      <c r="C627" s="131" t="s">
        <v>2206</v>
      </c>
      <c r="D627" s="102" t="s">
        <v>2207</v>
      </c>
      <c r="E627" s="131" t="s">
        <v>2208</v>
      </c>
      <c r="F627" s="131" t="s">
        <v>2209</v>
      </c>
      <c r="G627">
        <f>IF(getRGB1($C627)="FFFFFF",0,1)+IF(getRGB1($D627)="FFFFFF",0,2)+IF(getRGB1($E627)="FFFFFF",0,3)+IF(getRGB1($F627)="FFFFFF",0,4)</f>
        <v>2</v>
      </c>
    </row>
    <row r="628" spans="1:7" ht="25.5">
      <c r="A628" t="s">
        <v>6658</v>
      </c>
      <c r="B628" s="101" t="s">
        <v>2210</v>
      </c>
      <c r="C628" s="131">
        <v>1</v>
      </c>
      <c r="D628" s="131">
        <v>3</v>
      </c>
      <c r="E628" s="102">
        <v>2</v>
      </c>
      <c r="F628" s="131">
        <v>4</v>
      </c>
      <c r="G628">
        <f>IF(getRGB1($C628)="FFFFFF",0,1)+IF(getRGB1($D628)="FFFFFF",0,2)+IF(getRGB1($E628)="FFFFFF",0,3)+IF(getRGB1($F628)="FFFFFF",0,4)</f>
        <v>3</v>
      </c>
    </row>
    <row r="629" spans="1:7" ht="38.25">
      <c r="A629" t="s">
        <v>6658</v>
      </c>
      <c r="B629" s="101" t="s">
        <v>2211</v>
      </c>
      <c r="C629" s="131" t="s">
        <v>2212</v>
      </c>
      <c r="D629" s="131" t="s">
        <v>2213</v>
      </c>
      <c r="E629" s="131" t="s">
        <v>2214</v>
      </c>
      <c r="F629" s="102" t="s">
        <v>2215</v>
      </c>
      <c r="G629">
        <f>IF(getRGB1($C629)="FFFFFF",0,1)+IF(getRGB1($D629)="FFFFFF",0,2)+IF(getRGB1($E629)="FFFFFF",0,3)+IF(getRGB1($F629)="FFFFFF",0,4)</f>
        <v>4</v>
      </c>
    </row>
    <row r="630" spans="1:7" ht="25.5">
      <c r="A630" t="s">
        <v>6658</v>
      </c>
      <c r="B630" s="101" t="s">
        <v>2216</v>
      </c>
      <c r="C630" s="131" t="s">
        <v>2217</v>
      </c>
      <c r="D630" s="131" t="s">
        <v>2218</v>
      </c>
      <c r="E630" s="131" t="s">
        <v>2219</v>
      </c>
      <c r="F630" s="102" t="s">
        <v>2220</v>
      </c>
      <c r="G630">
        <f>IF(getRGB1($C630)="FFFFFF",0,1)+IF(getRGB1($D630)="FFFFFF",0,2)+IF(getRGB1($E630)="FFFFFF",0,3)+IF(getRGB1($F630)="FFFFFF",0,4)</f>
        <v>4</v>
      </c>
    </row>
    <row r="631" spans="1:7" ht="25.5">
      <c r="A631" t="s">
        <v>6658</v>
      </c>
      <c r="B631" s="101" t="s">
        <v>2221</v>
      </c>
      <c r="C631" s="131" t="s">
        <v>2222</v>
      </c>
      <c r="D631" s="131" t="s">
        <v>2204</v>
      </c>
      <c r="E631" s="131" t="s">
        <v>2203</v>
      </c>
      <c r="F631" s="102" t="s">
        <v>2223</v>
      </c>
      <c r="G631">
        <f>IF(getRGB1($C631)="FFFFFF",0,1)+IF(getRGB1($D631)="FFFFFF",0,2)+IF(getRGB1($E631)="FFFFFF",0,3)+IF(getRGB1($F631)="FFFFFF",0,4)</f>
        <v>4</v>
      </c>
    </row>
    <row r="632" spans="1:7" ht="38.25">
      <c r="A632" t="s">
        <v>6658</v>
      </c>
      <c r="B632" s="101" t="s">
        <v>2224</v>
      </c>
      <c r="C632" s="131" t="s">
        <v>2225</v>
      </c>
      <c r="D632" s="131" t="s">
        <v>2226</v>
      </c>
      <c r="E632" s="131" t="s">
        <v>2227</v>
      </c>
      <c r="F632" s="102" t="s">
        <v>2228</v>
      </c>
      <c r="G632">
        <f>IF(getRGB1($C632)="FFFFFF",0,1)+IF(getRGB1($D632)="FFFFFF",0,2)+IF(getRGB1($E632)="FFFFFF",0,3)+IF(getRGB1($F632)="FFFFFF",0,4)</f>
        <v>4</v>
      </c>
    </row>
    <row r="633" spans="1:7">
      <c r="A633" t="s">
        <v>6658</v>
      </c>
      <c r="B633" s="101" t="s">
        <v>2229</v>
      </c>
      <c r="C633" s="102" t="s">
        <v>179</v>
      </c>
      <c r="D633" s="131" t="s">
        <v>557</v>
      </c>
      <c r="E633" s="131" t="s">
        <v>137</v>
      </c>
      <c r="F633" s="131" t="s">
        <v>76</v>
      </c>
      <c r="G633">
        <f>IF(getRGB1($C633)="FFFFFF",0,1)+IF(getRGB1($D633)="FFFFFF",0,2)+IF(getRGB1($E633)="FFFFFF",0,3)+IF(getRGB1($F633)="FFFFFF",0,4)</f>
        <v>1</v>
      </c>
    </row>
    <row r="634" spans="1:7" ht="30">
      <c r="A634" t="s">
        <v>6658</v>
      </c>
      <c r="B634" s="97" t="s">
        <v>2230</v>
      </c>
      <c r="C634" s="132" t="s">
        <v>2231</v>
      </c>
      <c r="D634" s="133" t="s">
        <v>2232</v>
      </c>
      <c r="E634" s="133" t="s">
        <v>2233</v>
      </c>
      <c r="F634" s="133" t="s">
        <v>2234</v>
      </c>
      <c r="G634">
        <f>IF(getRGB1($C634)="FFFFFF",0,1)+IF(getRGB1($D634)="FFFFFF",0,2)+IF(getRGB1($E634)="FFFFFF",0,3)+IF(getRGB1($F634)="FFFFFF",0,4)</f>
        <v>1</v>
      </c>
    </row>
    <row r="635" spans="1:7" ht="30">
      <c r="A635" t="s">
        <v>6658</v>
      </c>
      <c r="B635" s="97" t="s">
        <v>2235</v>
      </c>
      <c r="C635" s="115" t="s">
        <v>2236</v>
      </c>
      <c r="D635" s="134" t="s">
        <v>2237</v>
      </c>
      <c r="E635" s="134" t="s">
        <v>2238</v>
      </c>
      <c r="F635" s="134" t="s">
        <v>2239</v>
      </c>
      <c r="G635">
        <f>IF(getRGB1($C635)="FFFFFF",0,1)+IF(getRGB1($D635)="FFFFFF",0,2)+IF(getRGB1($E635)="FFFFFF",0,3)+IF(getRGB1($F635)="FFFFFF",0,4)</f>
        <v>1</v>
      </c>
    </row>
    <row r="636" spans="1:7">
      <c r="A636" t="s">
        <v>6658</v>
      </c>
      <c r="B636" s="97" t="s">
        <v>2240</v>
      </c>
      <c r="C636" s="132" t="s">
        <v>2241</v>
      </c>
      <c r="D636" s="133" t="s">
        <v>156</v>
      </c>
      <c r="E636" s="133" t="s">
        <v>2242</v>
      </c>
      <c r="F636" s="133" t="s">
        <v>61</v>
      </c>
      <c r="G636">
        <f>IF(getRGB1($C636)="FFFFFF",0,1)+IF(getRGB1($D636)="FFFFFF",0,2)+IF(getRGB1($E636)="FFFFFF",0,3)+IF(getRGB1($F636)="FFFFFF",0,4)</f>
        <v>1</v>
      </c>
    </row>
    <row r="637" spans="1:7" ht="30">
      <c r="A637" t="s">
        <v>6658</v>
      </c>
      <c r="B637" s="97" t="s">
        <v>2243</v>
      </c>
      <c r="C637" s="133" t="s">
        <v>2244</v>
      </c>
      <c r="D637" s="133" t="s">
        <v>2245</v>
      </c>
      <c r="E637" s="132" t="s">
        <v>2246</v>
      </c>
      <c r="F637" s="133" t="s">
        <v>61</v>
      </c>
      <c r="G637">
        <f>IF(getRGB1($C637)="FFFFFF",0,1)+IF(getRGB1($D637)="FFFFFF",0,2)+IF(getRGB1($E637)="FFFFFF",0,3)+IF(getRGB1($F637)="FFFFFF",0,4)</f>
        <v>3</v>
      </c>
    </row>
    <row r="638" spans="1:7" ht="45">
      <c r="A638" t="s">
        <v>6658</v>
      </c>
      <c r="B638" s="97" t="s">
        <v>2247</v>
      </c>
      <c r="C638" s="133" t="s">
        <v>2248</v>
      </c>
      <c r="D638" s="133" t="s">
        <v>2249</v>
      </c>
      <c r="E638" s="132" t="s">
        <v>2250</v>
      </c>
      <c r="F638" s="133" t="s">
        <v>61</v>
      </c>
      <c r="G638">
        <f>IF(getRGB1($C638)="FFFFFF",0,1)+IF(getRGB1($D638)="FFFFFF",0,2)+IF(getRGB1($E638)="FFFFFF",0,3)+IF(getRGB1($F638)="FFFFFF",0,4)</f>
        <v>3</v>
      </c>
    </row>
    <row r="639" spans="1:7" ht="75">
      <c r="A639" t="s">
        <v>6658</v>
      </c>
      <c r="B639" s="97" t="s">
        <v>2251</v>
      </c>
      <c r="C639" s="133" t="s">
        <v>2252</v>
      </c>
      <c r="D639" s="133" t="s">
        <v>2253</v>
      </c>
      <c r="E639" s="132" t="s">
        <v>2250</v>
      </c>
      <c r="F639" s="133" t="s">
        <v>61</v>
      </c>
      <c r="G639">
        <f>IF(getRGB1($C639)="FFFFFF",0,1)+IF(getRGB1($D639)="FFFFFF",0,2)+IF(getRGB1($E639)="FFFFFF",0,3)+IF(getRGB1($F639)="FFFFFF",0,4)</f>
        <v>3</v>
      </c>
    </row>
    <row r="640" spans="1:7" ht="30">
      <c r="A640" t="s">
        <v>6658</v>
      </c>
      <c r="B640" s="97" t="s">
        <v>2254</v>
      </c>
      <c r="C640" s="132" t="s">
        <v>2255</v>
      </c>
      <c r="D640" s="133" t="s">
        <v>2256</v>
      </c>
      <c r="E640" s="133" t="s">
        <v>2257</v>
      </c>
      <c r="F640" s="133" t="s">
        <v>66</v>
      </c>
      <c r="G640">
        <f>IF(getRGB1($C640)="FFFFFF",0,1)+IF(getRGB1($D640)="FFFFFF",0,2)+IF(getRGB1($E640)="FFFFFF",0,3)+IF(getRGB1($F640)="FFFFFF",0,4)</f>
        <v>1</v>
      </c>
    </row>
    <row r="641" spans="1:7" ht="30">
      <c r="A641" t="s">
        <v>6658</v>
      </c>
      <c r="B641" s="97" t="s">
        <v>2258</v>
      </c>
      <c r="C641" s="132" t="s">
        <v>2259</v>
      </c>
      <c r="D641" s="133" t="s">
        <v>2260</v>
      </c>
      <c r="E641" s="133" t="s">
        <v>2261</v>
      </c>
      <c r="F641" s="133" t="s">
        <v>2262</v>
      </c>
      <c r="G641">
        <f>IF(getRGB1($C641)="FFFFFF",0,1)+IF(getRGB1($D641)="FFFFFF",0,2)+IF(getRGB1($E641)="FFFFFF",0,3)+IF(getRGB1($F641)="FFFFFF",0,4)</f>
        <v>1</v>
      </c>
    </row>
    <row r="642" spans="1:7" ht="30">
      <c r="A642" t="s">
        <v>6658</v>
      </c>
      <c r="B642" s="97" t="s">
        <v>2263</v>
      </c>
      <c r="C642" s="132" t="s">
        <v>2264</v>
      </c>
      <c r="D642" s="133" t="s">
        <v>2265</v>
      </c>
      <c r="E642" s="133" t="s">
        <v>2266</v>
      </c>
      <c r="F642" s="133" t="s">
        <v>66</v>
      </c>
      <c r="G642">
        <f>IF(getRGB1($C642)="FFFFFF",0,1)+IF(getRGB1($D642)="FFFFFF",0,2)+IF(getRGB1($E642)="FFFFFF",0,3)+IF(getRGB1($F642)="FFFFFF",0,4)</f>
        <v>1</v>
      </c>
    </row>
    <row r="643" spans="1:7" ht="30">
      <c r="A643" t="s">
        <v>6658</v>
      </c>
      <c r="B643" s="97" t="s">
        <v>2267</v>
      </c>
      <c r="C643" s="132" t="s">
        <v>2268</v>
      </c>
      <c r="D643" s="133" t="s">
        <v>2269</v>
      </c>
      <c r="E643" s="133" t="s">
        <v>2246</v>
      </c>
      <c r="F643" s="133" t="s">
        <v>61</v>
      </c>
      <c r="G643">
        <f>IF(getRGB1($C643)="FFFFFF",0,1)+IF(getRGB1($D643)="FFFFFF",0,2)+IF(getRGB1($E643)="FFFFFF",0,3)+IF(getRGB1($F643)="FFFFFF",0,4)</f>
        <v>1</v>
      </c>
    </row>
    <row r="644" spans="1:7" ht="30">
      <c r="A644" t="s">
        <v>6658</v>
      </c>
      <c r="B644" s="97" t="s">
        <v>2270</v>
      </c>
      <c r="C644" s="132" t="s">
        <v>2271</v>
      </c>
      <c r="D644" s="133" t="s">
        <v>2272</v>
      </c>
      <c r="E644" s="133" t="s">
        <v>2273</v>
      </c>
      <c r="F644" s="133" t="s">
        <v>61</v>
      </c>
      <c r="G644">
        <f>IF(getRGB1($C644)="FFFFFF",0,1)+IF(getRGB1($D644)="FFFFFF",0,2)+IF(getRGB1($E644)="FFFFFF",0,3)+IF(getRGB1($F644)="FFFFFF",0,4)</f>
        <v>1</v>
      </c>
    </row>
    <row r="645" spans="1:7" ht="30">
      <c r="A645" t="s">
        <v>6658</v>
      </c>
      <c r="B645" s="97" t="s">
        <v>2274</v>
      </c>
      <c r="C645" s="135" t="b">
        <v>1</v>
      </c>
      <c r="D645" s="104" t="b">
        <v>0</v>
      </c>
      <c r="E645" s="104"/>
      <c r="F645" s="104"/>
      <c r="G645">
        <f>IF(getRGB1($C645)="FFFFFF",0,1)+IF(getRGB1($D645)="FFFFFF",0,2)+IF(getRGB1($E645)="FFFFFF",0,3)+IF(getRGB1($F645)="FFFFFF",0,4)</f>
        <v>1</v>
      </c>
    </row>
    <row r="646" spans="1:7" ht="30">
      <c r="A646" t="s">
        <v>6658</v>
      </c>
      <c r="B646" s="97" t="s">
        <v>2275</v>
      </c>
      <c r="C646" s="132" t="s">
        <v>2271</v>
      </c>
      <c r="D646" s="133" t="s">
        <v>2276</v>
      </c>
      <c r="E646" s="133" t="s">
        <v>2277</v>
      </c>
      <c r="F646" s="133" t="s">
        <v>61</v>
      </c>
      <c r="G646">
        <f>IF(getRGB1($C646)="FFFFFF",0,1)+IF(getRGB1($D646)="FFFFFF",0,2)+IF(getRGB1($E646)="FFFFFF",0,3)+IF(getRGB1($F646)="FFFFFF",0,4)</f>
        <v>1</v>
      </c>
    </row>
    <row r="647" spans="1:7">
      <c r="A647" t="s">
        <v>6659</v>
      </c>
      <c r="B647" s="136" t="s">
        <v>2278</v>
      </c>
      <c r="C647" s="131" t="s">
        <v>993</v>
      </c>
      <c r="D647" s="102" t="s">
        <v>995</v>
      </c>
      <c r="E647" s="131" t="s">
        <v>2279</v>
      </c>
      <c r="F647" s="131" t="s">
        <v>2120</v>
      </c>
      <c r="G647">
        <f>IF(getRGB1($C647)="FFFFFF",0,1)+IF(getRGB1($D647)="FFFFFF",0,2)+IF(getRGB1($E647)="FFFFFF",0,3)+IF(getRGB1($F647)="FFFFFF",0,4)</f>
        <v>2</v>
      </c>
    </row>
    <row r="648" spans="1:7" ht="25.5">
      <c r="A648" t="s">
        <v>6659</v>
      </c>
      <c r="B648" s="136" t="s">
        <v>2280</v>
      </c>
      <c r="C648" s="131" t="s">
        <v>2281</v>
      </c>
      <c r="D648" s="131" t="s">
        <v>2282</v>
      </c>
      <c r="E648" s="102" t="s">
        <v>2283</v>
      </c>
      <c r="F648" s="131" t="s">
        <v>2284</v>
      </c>
      <c r="G648">
        <f>IF(getRGB1($C648)="FFFFFF",0,1)+IF(getRGB1($D648)="FFFFFF",0,2)+IF(getRGB1($E648)="FFFFFF",0,3)+IF(getRGB1($F648)="FFFFFF",0,4)</f>
        <v>3</v>
      </c>
    </row>
    <row r="649" spans="1:7" ht="25.5">
      <c r="A649" t="s">
        <v>6659</v>
      </c>
      <c r="B649" s="136" t="s">
        <v>2285</v>
      </c>
      <c r="C649" s="131" t="s">
        <v>2286</v>
      </c>
      <c r="D649" s="102" t="s">
        <v>2287</v>
      </c>
      <c r="E649" s="131" t="s">
        <v>2288</v>
      </c>
      <c r="F649" s="131" t="s">
        <v>2289</v>
      </c>
      <c r="G649">
        <f>IF(getRGB1($C649)="FFFFFF",0,1)+IF(getRGB1($D649)="FFFFFF",0,2)+IF(getRGB1($E649)="FFFFFF",0,3)+IF(getRGB1($F649)="FFFFFF",0,4)</f>
        <v>2</v>
      </c>
    </row>
    <row r="650" spans="1:7">
      <c r="A650" t="s">
        <v>6659</v>
      </c>
      <c r="B650" s="136" t="s">
        <v>2290</v>
      </c>
      <c r="C650" s="131" t="s">
        <v>2291</v>
      </c>
      <c r="D650" s="102" t="s">
        <v>2292</v>
      </c>
      <c r="E650" s="131" t="s">
        <v>2293</v>
      </c>
      <c r="F650" s="131" t="s">
        <v>1000</v>
      </c>
      <c r="G650">
        <f>IF(getRGB1($C650)="FFFFFF",0,1)+IF(getRGB1($D650)="FFFFFF",0,2)+IF(getRGB1($E650)="FFFFFF",0,3)+IF(getRGB1($F650)="FFFFFF",0,4)</f>
        <v>2</v>
      </c>
    </row>
    <row r="651" spans="1:7">
      <c r="A651" t="s">
        <v>6659</v>
      </c>
      <c r="B651" s="136" t="s">
        <v>2294</v>
      </c>
      <c r="C651" s="131" t="s">
        <v>2295</v>
      </c>
      <c r="D651" s="131" t="s">
        <v>2296</v>
      </c>
      <c r="E651" s="131" t="s">
        <v>2297</v>
      </c>
      <c r="F651" s="102" t="s">
        <v>1000</v>
      </c>
      <c r="G651">
        <f>IF(getRGB1($C651)="FFFFFF",0,1)+IF(getRGB1($D651)="FFFFFF",0,2)+IF(getRGB1($E651)="FFFFFF",0,3)+IF(getRGB1($F651)="FFFFFF",0,4)</f>
        <v>4</v>
      </c>
    </row>
    <row r="652" spans="1:7">
      <c r="A652" t="s">
        <v>6659</v>
      </c>
      <c r="B652" s="136" t="s">
        <v>2298</v>
      </c>
      <c r="C652" s="102" t="s">
        <v>2299</v>
      </c>
      <c r="D652" s="131" t="s">
        <v>2300</v>
      </c>
      <c r="E652" s="131" t="s">
        <v>2301</v>
      </c>
      <c r="F652" s="131" t="s">
        <v>2302</v>
      </c>
      <c r="G652">
        <f>IF(getRGB1($C652)="FFFFFF",0,1)+IF(getRGB1($D652)="FFFFFF",0,2)+IF(getRGB1($E652)="FFFFFF",0,3)+IF(getRGB1($F652)="FFFFFF",0,4)</f>
        <v>1</v>
      </c>
    </row>
    <row r="653" spans="1:7" ht="25.5">
      <c r="A653" t="s">
        <v>6659</v>
      </c>
      <c r="B653" s="136" t="s">
        <v>2303</v>
      </c>
      <c r="C653" s="131" t="s">
        <v>2304</v>
      </c>
      <c r="D653" s="102" t="s">
        <v>2305</v>
      </c>
      <c r="E653" s="131" t="s">
        <v>2306</v>
      </c>
      <c r="F653" s="131" t="s">
        <v>2307</v>
      </c>
      <c r="G653">
        <f>IF(getRGB1($C653)="FFFFFF",0,1)+IF(getRGB1($D653)="FFFFFF",0,2)+IF(getRGB1($E653)="FFFFFF",0,3)+IF(getRGB1($F653)="FFFFFF",0,4)</f>
        <v>2</v>
      </c>
    </row>
    <row r="654" spans="1:7" ht="25.5">
      <c r="A654" t="s">
        <v>6659</v>
      </c>
      <c r="B654" s="136" t="s">
        <v>2308</v>
      </c>
      <c r="C654" s="131" t="s">
        <v>2309</v>
      </c>
      <c r="D654" s="131" t="s">
        <v>2310</v>
      </c>
      <c r="E654" s="131" t="s">
        <v>2311</v>
      </c>
      <c r="F654" s="102" t="s">
        <v>2312</v>
      </c>
      <c r="G654">
        <f>IF(getRGB1($C654)="FFFFFF",0,1)+IF(getRGB1($D654)="FFFFFF",0,2)+IF(getRGB1($E654)="FFFFFF",0,3)+IF(getRGB1($F654)="FFFFFF",0,4)</f>
        <v>4</v>
      </c>
    </row>
    <row r="655" spans="1:7">
      <c r="A655" t="s">
        <v>6659</v>
      </c>
      <c r="B655" s="136" t="s">
        <v>2313</v>
      </c>
      <c r="C655" s="131" t="s">
        <v>2314</v>
      </c>
      <c r="D655" s="131" t="s">
        <v>2315</v>
      </c>
      <c r="E655" s="102" t="s">
        <v>2316</v>
      </c>
      <c r="F655" s="131" t="s">
        <v>2317</v>
      </c>
      <c r="G655">
        <f>IF(getRGB1($C655)="FFFFFF",0,1)+IF(getRGB1($D655)="FFFFFF",0,2)+IF(getRGB1($E655)="FFFFFF",0,3)+IF(getRGB1($F655)="FFFFFF",0,4)</f>
        <v>3</v>
      </c>
    </row>
    <row r="656" spans="1:7" ht="25.5">
      <c r="A656" t="s">
        <v>6659</v>
      </c>
      <c r="B656" s="136" t="s">
        <v>2318</v>
      </c>
      <c r="C656" s="131" t="s">
        <v>2319</v>
      </c>
      <c r="D656" s="131" t="s">
        <v>2320</v>
      </c>
      <c r="E656" s="102" t="s">
        <v>2321</v>
      </c>
      <c r="F656" s="131" t="s">
        <v>2322</v>
      </c>
      <c r="G656">
        <f>IF(getRGB1($C656)="FFFFFF",0,1)+IF(getRGB1($D656)="FFFFFF",0,2)+IF(getRGB1($E656)="FFFFFF",0,3)+IF(getRGB1($F656)="FFFFFF",0,4)</f>
        <v>3</v>
      </c>
    </row>
    <row r="657" spans="1:7" ht="25.5">
      <c r="A657" t="s">
        <v>6659</v>
      </c>
      <c r="B657" s="136" t="s">
        <v>2323</v>
      </c>
      <c r="C657" s="131" t="s">
        <v>2324</v>
      </c>
      <c r="D657" s="131" t="s">
        <v>2325</v>
      </c>
      <c r="E657" s="102" t="s">
        <v>2326</v>
      </c>
      <c r="F657" s="131" t="s">
        <v>2327</v>
      </c>
      <c r="G657">
        <f>IF(getRGB1($C657)="FFFFFF",0,1)+IF(getRGB1($D657)="FFFFFF",0,2)+IF(getRGB1($E657)="FFFFFF",0,3)+IF(getRGB1($F657)="FFFFFF",0,4)</f>
        <v>3</v>
      </c>
    </row>
    <row r="658" spans="1:7" ht="25.5">
      <c r="A658" t="s">
        <v>6659</v>
      </c>
      <c r="B658" s="136" t="s">
        <v>2328</v>
      </c>
      <c r="C658" s="131" t="s">
        <v>2324</v>
      </c>
      <c r="D658" s="102" t="s">
        <v>2325</v>
      </c>
      <c r="E658" s="131" t="s">
        <v>2326</v>
      </c>
      <c r="F658" s="131" t="s">
        <v>2327</v>
      </c>
      <c r="G658">
        <f>IF(getRGB1($C658)="FFFFFF",0,1)+IF(getRGB1($D658)="FFFFFF",0,2)+IF(getRGB1($E658)="FFFFFF",0,3)+IF(getRGB1($F658)="FFFFFF",0,4)</f>
        <v>2</v>
      </c>
    </row>
    <row r="659" spans="1:7" ht="38.25">
      <c r="A659" t="s">
        <v>6659</v>
      </c>
      <c r="B659" s="136" t="s">
        <v>2329</v>
      </c>
      <c r="C659" s="131" t="s">
        <v>2330</v>
      </c>
      <c r="D659" s="102" t="s">
        <v>2331</v>
      </c>
      <c r="E659" s="131" t="s">
        <v>2332</v>
      </c>
      <c r="F659" s="131" t="s">
        <v>2333</v>
      </c>
      <c r="G659">
        <f>IF(getRGB1($C659)="FFFFFF",0,1)+IF(getRGB1($D659)="FFFFFF",0,2)+IF(getRGB1($E659)="FFFFFF",0,3)+IF(getRGB1($F659)="FFFFFF",0,4)</f>
        <v>2</v>
      </c>
    </row>
    <row r="660" spans="1:7">
      <c r="A660" t="s">
        <v>6659</v>
      </c>
      <c r="B660" s="136" t="s">
        <v>2334</v>
      </c>
      <c r="C660" s="137" t="s">
        <v>2335</v>
      </c>
      <c r="D660" s="138" t="s">
        <v>1086</v>
      </c>
      <c r="E660" s="139" t="s">
        <v>2336</v>
      </c>
      <c r="F660" s="139" t="s">
        <v>2337</v>
      </c>
      <c r="G660">
        <f>IF(getRGB1($C660)="FFFFFF",0,1)+IF(getRGB1($D660)="FFFFFF",0,2)+IF(getRGB1($E660)="FFFFFF",0,3)+IF(getRGB1($F660)="FFFFFF",0,4)</f>
        <v>2</v>
      </c>
    </row>
    <row r="661" spans="1:7" ht="51">
      <c r="A661" t="s">
        <v>6659</v>
      </c>
      <c r="B661" s="136" t="s">
        <v>2338</v>
      </c>
      <c r="C661" s="131" t="s">
        <v>2339</v>
      </c>
      <c r="D661" s="102" t="s">
        <v>2340</v>
      </c>
      <c r="E661" s="131" t="s">
        <v>2341</v>
      </c>
      <c r="F661" s="131" t="s">
        <v>2342</v>
      </c>
      <c r="G661">
        <f>IF(getRGB1($C661)="FFFFFF",0,1)+IF(getRGB1($D661)="FFFFFF",0,2)+IF(getRGB1($E661)="FFFFFF",0,3)+IF(getRGB1($F661)="FFFFFF",0,4)</f>
        <v>2</v>
      </c>
    </row>
    <row r="662" spans="1:7">
      <c r="A662" t="s">
        <v>6659</v>
      </c>
      <c r="B662" s="136" t="s">
        <v>2343</v>
      </c>
      <c r="C662" s="102" t="s">
        <v>2344</v>
      </c>
      <c r="D662" s="131" t="s">
        <v>2345</v>
      </c>
      <c r="E662" s="131" t="s">
        <v>2346</v>
      </c>
      <c r="F662" s="131" t="s">
        <v>2347</v>
      </c>
      <c r="G662">
        <f>IF(getRGB1($C662)="FFFFFF",0,1)+IF(getRGB1($D662)="FFFFFF",0,2)+IF(getRGB1($E662)="FFFFFF",0,3)+IF(getRGB1($F662)="FFFFFF",0,4)</f>
        <v>1</v>
      </c>
    </row>
    <row r="663" spans="1:7" ht="25.5">
      <c r="A663" t="s">
        <v>6659</v>
      </c>
      <c r="B663" s="136" t="s">
        <v>2348</v>
      </c>
      <c r="C663" s="131" t="s">
        <v>2349</v>
      </c>
      <c r="D663" s="102" t="s">
        <v>2345</v>
      </c>
      <c r="E663" s="131" t="s">
        <v>2346</v>
      </c>
      <c r="F663" s="131" t="s">
        <v>2314</v>
      </c>
      <c r="G663">
        <f>IF(getRGB1($C663)="FFFFFF",0,1)+IF(getRGB1($D663)="FFFFFF",0,2)+IF(getRGB1($E663)="FFFFFF",0,3)+IF(getRGB1($F663)="FFFFFF",0,4)</f>
        <v>2</v>
      </c>
    </row>
    <row r="664" spans="1:7">
      <c r="A664" t="s">
        <v>6659</v>
      </c>
      <c r="B664" s="136" t="s">
        <v>2350</v>
      </c>
      <c r="C664" s="131" t="s">
        <v>1029</v>
      </c>
      <c r="D664" s="131" t="s">
        <v>1030</v>
      </c>
      <c r="E664" s="131" t="s">
        <v>1031</v>
      </c>
      <c r="F664" s="102" t="s">
        <v>2351</v>
      </c>
      <c r="G664">
        <f>IF(getRGB1($C664)="FFFFFF",0,1)+IF(getRGB1($D664)="FFFFFF",0,2)+IF(getRGB1($E664)="FFFFFF",0,3)+IF(getRGB1($F664)="FFFFFF",0,4)</f>
        <v>4</v>
      </c>
    </row>
    <row r="665" spans="1:7">
      <c r="A665" t="s">
        <v>6659</v>
      </c>
      <c r="B665" s="136" t="s">
        <v>2352</v>
      </c>
      <c r="C665" s="140">
        <v>0.155</v>
      </c>
      <c r="D665" s="141">
        <v>0.16</v>
      </c>
      <c r="E665" s="141">
        <v>0.14000000000000001</v>
      </c>
      <c r="F665" s="141">
        <v>0.15</v>
      </c>
      <c r="G665">
        <f>IF(getRGB1($C665)="FFFFFF",0,1)+IF(getRGB1($D665)="FFFFFF",0,2)+IF(getRGB1($E665)="FFFFFF",0,3)+IF(getRGB1($F665)="FFFFFF",0,4)</f>
        <v>1</v>
      </c>
    </row>
    <row r="666" spans="1:7" ht="25.5">
      <c r="A666" t="s">
        <v>6659</v>
      </c>
      <c r="B666" s="136" t="s">
        <v>2353</v>
      </c>
      <c r="C666" s="131" t="s">
        <v>2354</v>
      </c>
      <c r="D666" s="131" t="s">
        <v>2355</v>
      </c>
      <c r="E666" s="102" t="s">
        <v>2356</v>
      </c>
      <c r="F666" s="131" t="s">
        <v>2357</v>
      </c>
      <c r="G666">
        <f>IF(getRGB1($C666)="FFFFFF",0,1)+IF(getRGB1($D666)="FFFFFF",0,2)+IF(getRGB1($E666)="FFFFFF",0,3)+IF(getRGB1($F666)="FFFFFF",0,4)</f>
        <v>3</v>
      </c>
    </row>
    <row r="667" spans="1:7">
      <c r="A667" t="s">
        <v>6659</v>
      </c>
      <c r="B667" s="136" t="s">
        <v>2358</v>
      </c>
      <c r="C667" s="141">
        <v>6.0000000000000001E-3</v>
      </c>
      <c r="D667" s="141">
        <v>0.01</v>
      </c>
      <c r="E667" s="140">
        <v>5.0000000000000001E-3</v>
      </c>
      <c r="F667" s="141">
        <v>7.4999999999999997E-3</v>
      </c>
      <c r="G667">
        <f>IF(getRGB1($C667)="FFFFFF",0,1)+IF(getRGB1($D667)="FFFFFF",0,2)+IF(getRGB1($E667)="FFFFFF",0,3)+IF(getRGB1($F667)="FFFFFF",0,4)</f>
        <v>3</v>
      </c>
    </row>
    <row r="668" spans="1:7">
      <c r="A668" t="s">
        <v>6659</v>
      </c>
      <c r="B668" s="136" t="s">
        <v>2359</v>
      </c>
      <c r="C668" s="131" t="s">
        <v>2360</v>
      </c>
      <c r="D668" s="131" t="s">
        <v>2361</v>
      </c>
      <c r="E668" s="131" t="s">
        <v>2362</v>
      </c>
      <c r="F668" s="102" t="s">
        <v>2363</v>
      </c>
      <c r="G668">
        <f>IF(getRGB1($C668)="FFFFFF",0,1)+IF(getRGB1($D668)="FFFFFF",0,2)+IF(getRGB1($E668)="FFFFFF",0,3)+IF(getRGB1($F668)="FFFFFF",0,4)</f>
        <v>4</v>
      </c>
    </row>
    <row r="669" spans="1:7">
      <c r="A669" t="s">
        <v>6659</v>
      </c>
      <c r="B669" s="136" t="s">
        <v>2364</v>
      </c>
      <c r="C669" s="131" t="s">
        <v>2365</v>
      </c>
      <c r="D669" s="102" t="s">
        <v>2366</v>
      </c>
      <c r="E669" s="131" t="s">
        <v>2367</v>
      </c>
      <c r="F669" s="131" t="s">
        <v>2368</v>
      </c>
      <c r="G669">
        <f>IF(getRGB1($C669)="FFFFFF",0,1)+IF(getRGB1($D669)="FFFFFF",0,2)+IF(getRGB1($E669)="FFFFFF",0,3)+IF(getRGB1($F669)="FFFFFF",0,4)</f>
        <v>2</v>
      </c>
    </row>
    <row r="670" spans="1:7">
      <c r="A670" t="s">
        <v>6659</v>
      </c>
      <c r="B670" s="136" t="s">
        <v>2369</v>
      </c>
      <c r="C670" s="131" t="s">
        <v>2370</v>
      </c>
      <c r="D670" s="131" t="s">
        <v>2371</v>
      </c>
      <c r="E670" s="102" t="s">
        <v>2316</v>
      </c>
      <c r="F670" s="131" t="s">
        <v>2317</v>
      </c>
      <c r="G670">
        <f>IF(getRGB1($C670)="FFFFFF",0,1)+IF(getRGB1($D670)="FFFFFF",0,2)+IF(getRGB1($E670)="FFFFFF",0,3)+IF(getRGB1($F670)="FFFFFF",0,4)</f>
        <v>3</v>
      </c>
    </row>
    <row r="671" spans="1:7">
      <c r="A671" t="s">
        <v>6659</v>
      </c>
      <c r="B671" s="136" t="s">
        <v>2372</v>
      </c>
      <c r="C671" s="142">
        <v>0.3</v>
      </c>
      <c r="D671" s="143">
        <v>0.1</v>
      </c>
      <c r="E671" s="142">
        <v>0.2</v>
      </c>
      <c r="F671" s="142">
        <v>0.12</v>
      </c>
      <c r="G671">
        <f>IF(getRGB1($C671)="FFFFFF",0,1)+IF(getRGB1($D671)="FFFFFF",0,2)+IF(getRGB1($E671)="FFFFFF",0,3)+IF(getRGB1($F671)="FFFFFF",0,4)</f>
        <v>2</v>
      </c>
    </row>
    <row r="672" spans="1:7">
      <c r="A672" t="s">
        <v>6659</v>
      </c>
      <c r="B672" s="136" t="s">
        <v>2373</v>
      </c>
      <c r="C672" s="141">
        <v>5.7200000000000001E-2</v>
      </c>
      <c r="D672" s="141">
        <v>3.3399999999999999E-2</v>
      </c>
      <c r="E672" s="102" t="s">
        <v>2374</v>
      </c>
      <c r="F672" s="142">
        <v>1</v>
      </c>
      <c r="G672">
        <f>IF(getRGB1($C672)="FFFFFF",0,1)+IF(getRGB1($D672)="FFFFFF",0,2)+IF(getRGB1($E672)="FFFFFF",0,3)+IF(getRGB1($F672)="FFFFFF",0,4)</f>
        <v>3</v>
      </c>
    </row>
    <row r="673" spans="1:7" ht="25.5">
      <c r="A673" t="s">
        <v>6659</v>
      </c>
      <c r="B673" s="136" t="s">
        <v>2375</v>
      </c>
      <c r="C673" s="131" t="s">
        <v>2376</v>
      </c>
      <c r="D673" s="131" t="s">
        <v>2377</v>
      </c>
      <c r="E673" s="102" t="s">
        <v>2378</v>
      </c>
      <c r="F673" s="131" t="s">
        <v>2379</v>
      </c>
      <c r="G673">
        <f>IF(getRGB1($C673)="FFFFFF",0,1)+IF(getRGB1($D673)="FFFFFF",0,2)+IF(getRGB1($E673)="FFFFFF",0,3)+IF(getRGB1($F673)="FFFFFF",0,4)</f>
        <v>3</v>
      </c>
    </row>
    <row r="674" spans="1:7">
      <c r="A674" t="s">
        <v>6659</v>
      </c>
      <c r="B674" s="136" t="s">
        <v>2380</v>
      </c>
      <c r="C674" s="131" t="s">
        <v>2381</v>
      </c>
      <c r="D674" s="102" t="s">
        <v>2382</v>
      </c>
      <c r="E674" s="131" t="s">
        <v>2383</v>
      </c>
      <c r="F674" s="131" t="s">
        <v>2384</v>
      </c>
      <c r="G674">
        <f>IF(getRGB1($C674)="FFFFFF",0,1)+IF(getRGB1($D674)="FFFFFF",0,2)+IF(getRGB1($E674)="FFFFFF",0,3)+IF(getRGB1($F674)="FFFFFF",0,4)</f>
        <v>2</v>
      </c>
    </row>
    <row r="675" spans="1:7" ht="25.5">
      <c r="A675" t="s">
        <v>6659</v>
      </c>
      <c r="B675" s="104" t="s">
        <v>2385</v>
      </c>
      <c r="C675" s="131" t="s">
        <v>2386</v>
      </c>
      <c r="D675" s="102" t="s">
        <v>2387</v>
      </c>
      <c r="E675" s="131" t="s">
        <v>2388</v>
      </c>
      <c r="F675" s="131" t="s">
        <v>2389</v>
      </c>
      <c r="G675">
        <f>IF(getRGB1($C675)="FFFFFF",0,1)+IF(getRGB1($D675)="FFFFFF",0,2)+IF(getRGB1($E675)="FFFFFF",0,3)+IF(getRGB1($F675)="FFFFFF",0,4)</f>
        <v>2</v>
      </c>
    </row>
    <row r="676" spans="1:7" ht="25.5">
      <c r="A676" t="s">
        <v>6659</v>
      </c>
      <c r="B676" s="136" t="s">
        <v>2390</v>
      </c>
      <c r="C676" s="131" t="s">
        <v>2391</v>
      </c>
      <c r="D676" s="102" t="s">
        <v>2392</v>
      </c>
      <c r="E676" s="131" t="s">
        <v>2393</v>
      </c>
      <c r="F676" s="131" t="s">
        <v>2394</v>
      </c>
      <c r="G676">
        <f>IF(getRGB1($C676)="FFFFFF",0,1)+IF(getRGB1($D676)="FFFFFF",0,2)+IF(getRGB1($E676)="FFFFFF",0,3)+IF(getRGB1($F676)="FFFFFF",0,4)</f>
        <v>2</v>
      </c>
    </row>
    <row r="677" spans="1:7" ht="45">
      <c r="A677" t="s">
        <v>6659</v>
      </c>
      <c r="B677" s="133" t="s">
        <v>2395</v>
      </c>
      <c r="C677" s="115" t="s">
        <v>2396</v>
      </c>
      <c r="D677" s="134" t="s">
        <v>2397</v>
      </c>
      <c r="E677" s="134" t="s">
        <v>2398</v>
      </c>
      <c r="F677" s="134" t="s">
        <v>2399</v>
      </c>
      <c r="G677">
        <f>IF(getRGB1($C677)="FFFFFF",0,1)+IF(getRGB1($D677)="FFFFFF",0,2)+IF(getRGB1($E677)="FFFFFF",0,3)+IF(getRGB1($F677)="FFFFFF",0,4)</f>
        <v>1</v>
      </c>
    </row>
    <row r="678" spans="1:7" ht="38.25">
      <c r="A678" t="s">
        <v>6659</v>
      </c>
      <c r="B678" s="136" t="s">
        <v>2400</v>
      </c>
      <c r="C678" s="131" t="s">
        <v>2401</v>
      </c>
      <c r="D678" s="102" t="s">
        <v>2402</v>
      </c>
      <c r="E678" s="131" t="s">
        <v>2403</v>
      </c>
      <c r="F678" s="131" t="s">
        <v>2404</v>
      </c>
      <c r="G678">
        <f>IF(getRGB1($C678)="FFFFFF",0,1)+IF(getRGB1($D678)="FFFFFF",0,2)+IF(getRGB1($E678)="FFFFFF",0,3)+IF(getRGB1($F678)="FFFFFF",0,4)</f>
        <v>2</v>
      </c>
    </row>
    <row r="679" spans="1:7">
      <c r="A679" t="s">
        <v>6659</v>
      </c>
      <c r="B679" s="136" t="s">
        <v>2405</v>
      </c>
      <c r="C679" s="131" t="s">
        <v>2406</v>
      </c>
      <c r="D679" s="102" t="s">
        <v>2407</v>
      </c>
      <c r="E679" s="131" t="s">
        <v>2408</v>
      </c>
      <c r="F679" s="131" t="s">
        <v>2409</v>
      </c>
      <c r="G679">
        <f>IF(getRGB1($C679)="FFFFFF",0,1)+IF(getRGB1($D679)="FFFFFF",0,2)+IF(getRGB1($E679)="FFFFFF",0,3)+IF(getRGB1($F679)="FFFFFF",0,4)</f>
        <v>2</v>
      </c>
    </row>
    <row r="680" spans="1:7">
      <c r="A680" t="s">
        <v>6659</v>
      </c>
      <c r="B680" s="136" t="s">
        <v>2410</v>
      </c>
      <c r="C680" s="131" t="s">
        <v>2411</v>
      </c>
      <c r="D680" s="102" t="s">
        <v>2412</v>
      </c>
      <c r="E680" s="131" t="s">
        <v>2413</v>
      </c>
      <c r="F680" s="131" t="s">
        <v>2414</v>
      </c>
      <c r="G680">
        <f>IF(getRGB1($C680)="FFFFFF",0,1)+IF(getRGB1($D680)="FFFFFF",0,2)+IF(getRGB1($E680)="FFFFFF",0,3)+IF(getRGB1($F680)="FFFFFF",0,4)</f>
        <v>2</v>
      </c>
    </row>
    <row r="681" spans="1:7" ht="45">
      <c r="A681" t="s">
        <v>6659</v>
      </c>
      <c r="B681" s="136" t="s">
        <v>2415</v>
      </c>
      <c r="C681" s="131" t="s">
        <v>2416</v>
      </c>
      <c r="D681" s="98" t="s">
        <v>2417</v>
      </c>
      <c r="E681" s="131" t="s">
        <v>2418</v>
      </c>
      <c r="F681" s="115" t="s">
        <v>2419</v>
      </c>
      <c r="G681">
        <f>IF(getRGB1($C681)="FFFFFF",0,1)+IF(getRGB1($D681)="FFFFFF",0,2)+IF(getRGB1($E681)="FFFFFF",0,3)+IF(getRGB1($F681)="FFFFFF",0,4)</f>
        <v>4</v>
      </c>
    </row>
    <row r="682" spans="1:7" ht="25.5">
      <c r="A682" t="s">
        <v>6659</v>
      </c>
      <c r="B682" s="136" t="s">
        <v>2420</v>
      </c>
      <c r="C682" s="142">
        <v>0.9</v>
      </c>
      <c r="D682" s="143">
        <v>0.85</v>
      </c>
      <c r="E682" s="142">
        <v>0.8</v>
      </c>
      <c r="F682" s="142">
        <v>0.75</v>
      </c>
      <c r="G682">
        <f>IF(getRGB1($C682)="FFFFFF",0,1)+IF(getRGB1($D682)="FFFFFF",0,2)+IF(getRGB1($E682)="FFFFFF",0,3)+IF(getRGB1($F682)="FFFFFF",0,4)</f>
        <v>2</v>
      </c>
    </row>
    <row r="683" spans="1:7" ht="25.5">
      <c r="A683" t="s">
        <v>6659</v>
      </c>
      <c r="B683" s="136" t="s">
        <v>2421</v>
      </c>
      <c r="C683" s="131" t="s">
        <v>2422</v>
      </c>
      <c r="D683" s="102" t="s">
        <v>2423</v>
      </c>
      <c r="E683" s="131" t="s">
        <v>2424</v>
      </c>
      <c r="F683" s="131" t="s">
        <v>2425</v>
      </c>
      <c r="G683">
        <f>IF(getRGB1($C683)="FFFFFF",0,1)+IF(getRGB1($D683)="FFFFFF",0,2)+IF(getRGB1($E683)="FFFFFF",0,3)+IF(getRGB1($F683)="FFFFFF",0,4)</f>
        <v>2</v>
      </c>
    </row>
    <row r="684" spans="1:7" ht="25.5">
      <c r="A684" t="s">
        <v>6659</v>
      </c>
      <c r="B684" s="101" t="s">
        <v>2426</v>
      </c>
      <c r="C684" s="102" t="s">
        <v>2427</v>
      </c>
      <c r="D684" s="98" t="s">
        <v>2428</v>
      </c>
      <c r="E684" s="131" t="s">
        <v>2429</v>
      </c>
      <c r="F684" s="131" t="s">
        <v>2430</v>
      </c>
      <c r="G684">
        <f>IF(getRGB1($C684)="FFFFFF",0,1)+IF(getRGB1($D684)="FFFFFF",0,2)+IF(getRGB1($E684)="FFFFFF",0,3)+IF(getRGB1($F684)="FFFFFF",0,4)</f>
        <v>1</v>
      </c>
    </row>
    <row r="685" spans="1:7" ht="25.5">
      <c r="A685" t="s">
        <v>6659</v>
      </c>
      <c r="B685" s="136" t="s">
        <v>2431</v>
      </c>
      <c r="C685" s="102" t="s">
        <v>2432</v>
      </c>
      <c r="D685" s="131" t="s">
        <v>2433</v>
      </c>
      <c r="E685" s="131" t="s">
        <v>2434</v>
      </c>
      <c r="F685" s="131" t="s">
        <v>2430</v>
      </c>
      <c r="G685">
        <f>IF(getRGB1($C685)="FFFFFF",0,1)+IF(getRGB1($D685)="FFFFFF",0,2)+IF(getRGB1($E685)="FFFFFF",0,3)+IF(getRGB1($F685)="FFFFFF",0,4)</f>
        <v>1</v>
      </c>
    </row>
    <row r="686" spans="1:7" ht="25.5">
      <c r="A686" t="s">
        <v>6659</v>
      </c>
      <c r="B686" s="136" t="s">
        <v>2435</v>
      </c>
      <c r="C686" s="131" t="s">
        <v>2436</v>
      </c>
      <c r="D686" s="102" t="s">
        <v>2437</v>
      </c>
      <c r="E686" s="131" t="s">
        <v>2438</v>
      </c>
      <c r="F686" s="131" t="s">
        <v>2439</v>
      </c>
      <c r="G686">
        <f>IF(getRGB1($C686)="FFFFFF",0,1)+IF(getRGB1($D686)="FFFFFF",0,2)+IF(getRGB1($E686)="FFFFFF",0,3)+IF(getRGB1($F686)="FFFFFF",0,4)</f>
        <v>2</v>
      </c>
    </row>
    <row r="687" spans="1:7">
      <c r="A687" t="s">
        <v>6659</v>
      </c>
      <c r="B687" s="136" t="s">
        <v>2440</v>
      </c>
      <c r="C687" s="131" t="s">
        <v>2441</v>
      </c>
      <c r="D687" s="102" t="s">
        <v>2442</v>
      </c>
      <c r="E687" s="131" t="s">
        <v>2443</v>
      </c>
      <c r="F687" s="131" t="s">
        <v>2444</v>
      </c>
      <c r="G687">
        <f>IF(getRGB1($C687)="FFFFFF",0,1)+IF(getRGB1($D687)="FFFFFF",0,2)+IF(getRGB1($E687)="FFFFFF",0,3)+IF(getRGB1($F687)="FFFFFF",0,4)</f>
        <v>2</v>
      </c>
    </row>
    <row r="688" spans="1:7" ht="38.25">
      <c r="A688" t="s">
        <v>6659</v>
      </c>
      <c r="B688" s="136" t="s">
        <v>2445</v>
      </c>
      <c r="C688" s="134" t="s">
        <v>2446</v>
      </c>
      <c r="D688" s="134" t="s">
        <v>2447</v>
      </c>
      <c r="E688" s="134" t="s">
        <v>2448</v>
      </c>
      <c r="F688" s="102" t="s">
        <v>2449</v>
      </c>
      <c r="G688">
        <f>IF(getRGB1($C688)="FFFFFF",0,1)+IF(getRGB1($D688)="FFFFFF",0,2)+IF(getRGB1($E688)="FFFFFF",0,3)+IF(getRGB1($F688)="FFFFFF",0,4)</f>
        <v>4</v>
      </c>
    </row>
    <row r="689" spans="1:7" ht="25.5">
      <c r="A689" t="s">
        <v>6659</v>
      </c>
      <c r="B689" s="136" t="s">
        <v>2450</v>
      </c>
      <c r="C689" s="131" t="s">
        <v>2451</v>
      </c>
      <c r="D689" s="131" t="s">
        <v>2452</v>
      </c>
      <c r="E689" s="102" t="s">
        <v>2453</v>
      </c>
      <c r="F689" s="131" t="s">
        <v>2454</v>
      </c>
      <c r="G689">
        <f>IF(getRGB1($C689)="FFFFFF",0,1)+IF(getRGB1($D689)="FFFFFF",0,2)+IF(getRGB1($E689)="FFFFFF",0,3)+IF(getRGB1($F689)="FFFFFF",0,4)</f>
        <v>3</v>
      </c>
    </row>
    <row r="690" spans="1:7" ht="30">
      <c r="A690" t="s">
        <v>6659</v>
      </c>
      <c r="B690" s="144" t="s">
        <v>2455</v>
      </c>
      <c r="C690" s="98" t="s">
        <v>2456</v>
      </c>
      <c r="D690" s="115" t="s">
        <v>2457</v>
      </c>
      <c r="E690" s="131" t="s">
        <v>2458</v>
      </c>
      <c r="F690" s="131" t="s">
        <v>2459</v>
      </c>
      <c r="G690">
        <f>IF(getRGB1($C690)="FFFFFF",0,1)+IF(getRGB1($D690)="FFFFFF",0,2)+IF(getRGB1($E690)="FFFFFF",0,3)+IF(getRGB1($F690)="FFFFFF",0,4)</f>
        <v>2</v>
      </c>
    </row>
    <row r="691" spans="1:7">
      <c r="A691" t="s">
        <v>6659</v>
      </c>
      <c r="B691" s="136" t="s">
        <v>2460</v>
      </c>
      <c r="C691" s="131" t="s">
        <v>2461</v>
      </c>
      <c r="D691" s="131" t="s">
        <v>2462</v>
      </c>
      <c r="E691" s="102" t="s">
        <v>2463</v>
      </c>
      <c r="F691" s="131" t="s">
        <v>2464</v>
      </c>
      <c r="G691">
        <f>IF(getRGB1($C691)="FFFFFF",0,1)+IF(getRGB1($D691)="FFFFFF",0,2)+IF(getRGB1($E691)="FFFFFF",0,3)+IF(getRGB1($F691)="FFFFFF",0,4)</f>
        <v>3</v>
      </c>
    </row>
    <row r="692" spans="1:7" ht="25.5">
      <c r="A692" t="s">
        <v>6659</v>
      </c>
      <c r="B692" s="101" t="s">
        <v>2465</v>
      </c>
      <c r="C692" s="131" t="s">
        <v>2466</v>
      </c>
      <c r="D692" s="102" t="s">
        <v>2467</v>
      </c>
      <c r="E692" s="131" t="s">
        <v>2468</v>
      </c>
      <c r="F692" s="131" t="s">
        <v>2469</v>
      </c>
      <c r="G692">
        <f>IF(getRGB1($C692)="FFFFFF",0,1)+IF(getRGB1($D692)="FFFFFF",0,2)+IF(getRGB1($E692)="FFFFFF",0,3)+IF(getRGB1($F692)="FFFFFF",0,4)</f>
        <v>2</v>
      </c>
    </row>
    <row r="693" spans="1:7">
      <c r="A693" t="s">
        <v>6659</v>
      </c>
      <c r="B693" s="136" t="s">
        <v>2470</v>
      </c>
      <c r="C693" s="102" t="s">
        <v>2471</v>
      </c>
      <c r="D693" s="131" t="s">
        <v>2472</v>
      </c>
      <c r="E693" s="131" t="s">
        <v>2473</v>
      </c>
      <c r="F693" s="131" t="s">
        <v>74</v>
      </c>
      <c r="G693">
        <f>IF(getRGB1($C693)="FFFFFF",0,1)+IF(getRGB1($D693)="FFFFFF",0,2)+IF(getRGB1($E693)="FFFFFF",0,3)+IF(getRGB1($F693)="FFFFFF",0,4)</f>
        <v>1</v>
      </c>
    </row>
    <row r="694" spans="1:7" ht="25.5">
      <c r="A694" t="s">
        <v>6659</v>
      </c>
      <c r="B694" s="136" t="s">
        <v>2474</v>
      </c>
      <c r="C694" s="131" t="s">
        <v>2475</v>
      </c>
      <c r="D694" s="102" t="s">
        <v>2476</v>
      </c>
      <c r="E694" s="131" t="s">
        <v>2477</v>
      </c>
      <c r="F694" s="131" t="s">
        <v>2478</v>
      </c>
      <c r="G694">
        <f>IF(getRGB1($C694)="FFFFFF",0,1)+IF(getRGB1($D694)="FFFFFF",0,2)+IF(getRGB1($E694)="FFFFFF",0,3)+IF(getRGB1($F694)="FFFFFF",0,4)</f>
        <v>2</v>
      </c>
    </row>
    <row r="695" spans="1:7">
      <c r="A695" t="s">
        <v>6659</v>
      </c>
      <c r="B695" s="101" t="s">
        <v>2479</v>
      </c>
      <c r="C695" s="131" t="s">
        <v>2120</v>
      </c>
      <c r="D695" s="102" t="s">
        <v>2121</v>
      </c>
      <c r="E695" s="131" t="s">
        <v>2480</v>
      </c>
      <c r="F695" s="131" t="s">
        <v>2481</v>
      </c>
      <c r="G695">
        <f>IF(getRGB1($C695)="FFFFFF",0,1)+IF(getRGB1($D695)="FFFFFF",0,2)+IF(getRGB1($E695)="FFFFFF",0,3)+IF(getRGB1($F695)="FFFFFF",0,4)</f>
        <v>2</v>
      </c>
    </row>
    <row r="696" spans="1:7">
      <c r="A696" t="s">
        <v>6659</v>
      </c>
      <c r="B696" s="101" t="s">
        <v>2482</v>
      </c>
      <c r="C696" s="143">
        <v>0.01</v>
      </c>
      <c r="D696" s="142">
        <v>0.05</v>
      </c>
      <c r="E696" s="141">
        <v>7.4999999999999997E-3</v>
      </c>
      <c r="F696" s="141">
        <v>3.5000000000000003E-2</v>
      </c>
      <c r="G696">
        <f>IF(getRGB1($C696)="FFFFFF",0,1)+IF(getRGB1($D696)="FFFFFF",0,2)+IF(getRGB1($E696)="FFFFFF",0,3)+IF(getRGB1($F696)="FFFFFF",0,4)</f>
        <v>1</v>
      </c>
    </row>
    <row r="697" spans="1:7">
      <c r="A697" t="s">
        <v>6659</v>
      </c>
      <c r="B697" s="101" t="s">
        <v>2483</v>
      </c>
      <c r="C697" s="131" t="s">
        <v>2484</v>
      </c>
      <c r="D697" s="131" t="s">
        <v>2485</v>
      </c>
      <c r="E697" s="102" t="s">
        <v>2486</v>
      </c>
      <c r="F697" s="131" t="s">
        <v>2487</v>
      </c>
      <c r="G697">
        <f>IF(getRGB1($C697)="FFFFFF",0,1)+IF(getRGB1($D697)="FFFFFF",0,2)+IF(getRGB1($E697)="FFFFFF",0,3)+IF(getRGB1($F697)="FFFFFF",0,4)</f>
        <v>3</v>
      </c>
    </row>
    <row r="698" spans="1:7">
      <c r="A698" t="s">
        <v>6659</v>
      </c>
      <c r="B698" s="101" t="s">
        <v>2488</v>
      </c>
      <c r="C698" s="131" t="s">
        <v>2489</v>
      </c>
      <c r="D698" s="102" t="s">
        <v>2490</v>
      </c>
      <c r="E698" s="131" t="s">
        <v>2491</v>
      </c>
      <c r="F698" s="131" t="s">
        <v>2492</v>
      </c>
      <c r="G698">
        <f>IF(getRGB1($C698)="FFFFFF",0,1)+IF(getRGB1($D698)="FFFFFF",0,2)+IF(getRGB1($E698)="FFFFFF",0,3)+IF(getRGB1($F698)="FFFFFF",0,4)</f>
        <v>2</v>
      </c>
    </row>
    <row r="699" spans="1:7" ht="25.5">
      <c r="A699" t="s">
        <v>6659</v>
      </c>
      <c r="B699" s="101" t="s">
        <v>2493</v>
      </c>
      <c r="C699" s="131" t="s">
        <v>1490</v>
      </c>
      <c r="D699" s="102" t="s">
        <v>1136</v>
      </c>
      <c r="E699" s="131" t="s">
        <v>1137</v>
      </c>
      <c r="F699" s="131" t="s">
        <v>2494</v>
      </c>
      <c r="G699">
        <f>IF(getRGB1($C699)="FFFFFF",0,1)+IF(getRGB1($D699)="FFFFFF",0,2)+IF(getRGB1($E699)="FFFFFF",0,3)+IF(getRGB1($F699)="FFFFFF",0,4)</f>
        <v>2</v>
      </c>
    </row>
    <row r="700" spans="1:7">
      <c r="A700" t="s">
        <v>6659</v>
      </c>
      <c r="B700" s="101" t="s">
        <v>2495</v>
      </c>
      <c r="C700" s="131" t="s">
        <v>2496</v>
      </c>
      <c r="D700" s="131" t="s">
        <v>2497</v>
      </c>
      <c r="E700" s="131" t="s">
        <v>2498</v>
      </c>
      <c r="F700" s="102" t="s">
        <v>2499</v>
      </c>
      <c r="G700">
        <f>IF(getRGB1($C700)="FFFFFF",0,1)+IF(getRGB1($D700)="FFFFFF",0,2)+IF(getRGB1($E700)="FFFFFF",0,3)+IF(getRGB1($F700)="FFFFFF",0,4)</f>
        <v>4</v>
      </c>
    </row>
    <row r="701" spans="1:7">
      <c r="A701" t="s">
        <v>6659</v>
      </c>
      <c r="B701" s="101" t="s">
        <v>2500</v>
      </c>
      <c r="C701" s="131" t="s">
        <v>2501</v>
      </c>
      <c r="D701" s="131" t="s">
        <v>2502</v>
      </c>
      <c r="E701" s="131" t="s">
        <v>2503</v>
      </c>
      <c r="F701" s="102" t="s">
        <v>2504</v>
      </c>
      <c r="G701">
        <f>IF(getRGB1($C701)="FFFFFF",0,1)+IF(getRGB1($D701)="FFFFFF",0,2)+IF(getRGB1($E701)="FFFFFF",0,3)+IF(getRGB1($F701)="FFFFFF",0,4)</f>
        <v>4</v>
      </c>
    </row>
    <row r="702" spans="1:7">
      <c r="A702" t="s">
        <v>6659</v>
      </c>
      <c r="B702" s="101" t="s">
        <v>2505</v>
      </c>
      <c r="C702" s="145" t="s">
        <v>1064</v>
      </c>
      <c r="D702" s="146">
        <v>4.2361111111111106E-2</v>
      </c>
      <c r="E702" s="131" t="s">
        <v>2506</v>
      </c>
      <c r="F702" s="131" t="s">
        <v>2507</v>
      </c>
      <c r="G702">
        <f>IF(getRGB1($C702)="FFFFFF",0,1)+IF(getRGB1($D702)="FFFFFF",0,2)+IF(getRGB1($E702)="FFFFFF",0,3)+IF(getRGB1($F702)="FFFFFF",0,4)</f>
        <v>1</v>
      </c>
    </row>
    <row r="703" spans="1:7" ht="25.5">
      <c r="A703" t="s">
        <v>6659</v>
      </c>
      <c r="B703" s="101" t="s">
        <v>2508</v>
      </c>
      <c r="C703" s="131" t="s">
        <v>2509</v>
      </c>
      <c r="D703" s="102" t="s">
        <v>2510</v>
      </c>
      <c r="E703" s="131" t="s">
        <v>2511</v>
      </c>
      <c r="F703" s="131" t="s">
        <v>2512</v>
      </c>
      <c r="G703">
        <f>IF(getRGB1($C703)="FFFFFF",0,1)+IF(getRGB1($D703)="FFFFFF",0,2)+IF(getRGB1($E703)="FFFFFF",0,3)+IF(getRGB1($F703)="FFFFFF",0,4)</f>
        <v>2</v>
      </c>
    </row>
    <row r="704" spans="1:7" ht="30">
      <c r="A704" t="s">
        <v>6659</v>
      </c>
      <c r="B704" s="97" t="s">
        <v>2513</v>
      </c>
      <c r="C704" s="131" t="s">
        <v>2514</v>
      </c>
      <c r="D704" s="131" t="s">
        <v>2515</v>
      </c>
      <c r="E704" s="102" t="s">
        <v>2516</v>
      </c>
      <c r="F704" s="131" t="s">
        <v>2517</v>
      </c>
      <c r="G704">
        <f>IF(getRGB1($C704)="FFFFFF",0,1)+IF(getRGB1($D704)="FFFFFF",0,2)+IF(getRGB1($E704)="FFFFFF",0,3)+IF(getRGB1($F704)="FFFFFF",0,4)</f>
        <v>3</v>
      </c>
    </row>
    <row r="705" spans="1:7">
      <c r="A705" t="s">
        <v>6659</v>
      </c>
      <c r="B705" s="101" t="s">
        <v>2518</v>
      </c>
      <c r="C705" s="131" t="s">
        <v>90</v>
      </c>
      <c r="D705" s="131" t="s">
        <v>46</v>
      </c>
      <c r="E705" s="102" t="s">
        <v>45</v>
      </c>
      <c r="F705" s="131" t="s">
        <v>44</v>
      </c>
      <c r="G705">
        <f>IF(getRGB1($C705)="FFFFFF",0,1)+IF(getRGB1($D705)="FFFFFF",0,2)+IF(getRGB1($E705)="FFFFFF",0,3)+IF(getRGB1($F705)="FFFFFF",0,4)</f>
        <v>3</v>
      </c>
    </row>
    <row r="706" spans="1:7">
      <c r="A706" t="s">
        <v>6659</v>
      </c>
      <c r="B706" s="101" t="s">
        <v>2519</v>
      </c>
      <c r="C706" s="142">
        <v>0</v>
      </c>
      <c r="D706" s="142">
        <v>0.01</v>
      </c>
      <c r="E706" s="142">
        <v>0.05</v>
      </c>
      <c r="F706" s="143">
        <v>0.02</v>
      </c>
      <c r="G706">
        <f>IF(getRGB1($C706)="FFFFFF",0,1)+IF(getRGB1($D706)="FFFFFF",0,2)+IF(getRGB1($E706)="FFFFFF",0,3)+IF(getRGB1($F706)="FFFFFF",0,4)</f>
        <v>4</v>
      </c>
    </row>
    <row r="707" spans="1:7" ht="25.5">
      <c r="A707" t="s">
        <v>6659</v>
      </c>
      <c r="B707" s="101" t="s">
        <v>2520</v>
      </c>
      <c r="C707" s="131" t="s">
        <v>2521</v>
      </c>
      <c r="D707" s="131" t="s">
        <v>2522</v>
      </c>
      <c r="E707" s="102" t="s">
        <v>2523</v>
      </c>
      <c r="F707" s="131" t="s">
        <v>2524</v>
      </c>
      <c r="G707">
        <f>IF(getRGB1($C707)="FFFFFF",0,1)+IF(getRGB1($D707)="FFFFFF",0,2)+IF(getRGB1($E707)="FFFFFF",0,3)+IF(getRGB1($F707)="FFFFFF",0,4)</f>
        <v>3</v>
      </c>
    </row>
    <row r="708" spans="1:7" ht="25.5">
      <c r="A708" t="s">
        <v>6659</v>
      </c>
      <c r="B708" s="101" t="s">
        <v>2525</v>
      </c>
      <c r="C708" s="141">
        <v>0.68500000000000005</v>
      </c>
      <c r="D708" s="142">
        <v>0.75</v>
      </c>
      <c r="E708" s="142">
        <v>0.8</v>
      </c>
      <c r="F708" s="143">
        <v>0.85</v>
      </c>
      <c r="G708">
        <f>IF(getRGB1($C708)="FFFFFF",0,1)+IF(getRGB1($D708)="FFFFFF",0,2)+IF(getRGB1($E708)="FFFFFF",0,3)+IF(getRGB1($F708)="FFFFFF",0,4)</f>
        <v>4</v>
      </c>
    </row>
    <row r="709" spans="1:7" ht="25.5">
      <c r="A709" t="s">
        <v>6659</v>
      </c>
      <c r="B709" s="101" t="s">
        <v>2526</v>
      </c>
      <c r="C709" s="131" t="s">
        <v>2527</v>
      </c>
      <c r="D709" s="115" t="s">
        <v>2528</v>
      </c>
      <c r="E709" s="131" t="s">
        <v>2529</v>
      </c>
      <c r="F709" s="131" t="s">
        <v>2530</v>
      </c>
      <c r="G709">
        <f>IF(getRGB1($C709)="FFFFFF",0,1)+IF(getRGB1($D709)="FFFFFF",0,2)+IF(getRGB1($E709)="FFFFFF",0,3)+IF(getRGB1($F709)="FFFFFF",0,4)</f>
        <v>2</v>
      </c>
    </row>
    <row r="710" spans="1:7">
      <c r="A710" t="s">
        <v>6659</v>
      </c>
      <c r="B710" s="101" t="s">
        <v>2531</v>
      </c>
      <c r="C710" s="131" t="s">
        <v>2532</v>
      </c>
      <c r="D710" s="131" t="s">
        <v>2533</v>
      </c>
      <c r="E710" s="102" t="s">
        <v>2534</v>
      </c>
      <c r="F710" s="131" t="s">
        <v>2535</v>
      </c>
      <c r="G710">
        <f>IF(getRGB1($C710)="FFFFFF",0,1)+IF(getRGB1($D710)="FFFFFF",0,2)+IF(getRGB1($E710)="FFFFFF",0,3)+IF(getRGB1($F710)="FFFFFF",0,4)</f>
        <v>3</v>
      </c>
    </row>
    <row r="711" spans="1:7">
      <c r="A711" t="s">
        <v>6659</v>
      </c>
      <c r="B711" s="101" t="s">
        <v>2536</v>
      </c>
      <c r="C711" s="131" t="s">
        <v>2122</v>
      </c>
      <c r="D711" s="131" t="s">
        <v>2537</v>
      </c>
      <c r="E711" s="131" t="s">
        <v>2120</v>
      </c>
      <c r="F711" s="102" t="s">
        <v>2121</v>
      </c>
      <c r="G711">
        <f>IF(getRGB1($C711)="FFFFFF",0,1)+IF(getRGB1($D711)="FFFFFF",0,2)+IF(getRGB1($E711)="FFFFFF",0,3)+IF(getRGB1($F711)="FFFFFF",0,4)</f>
        <v>4</v>
      </c>
    </row>
    <row r="712" spans="1:7" ht="25.5">
      <c r="A712" t="s">
        <v>6659</v>
      </c>
      <c r="B712" s="101" t="s">
        <v>2538</v>
      </c>
      <c r="C712" s="131" t="s">
        <v>2539</v>
      </c>
      <c r="D712" s="131" t="s">
        <v>2540</v>
      </c>
      <c r="E712" s="102" t="s">
        <v>2541</v>
      </c>
      <c r="F712" s="131" t="s">
        <v>2542</v>
      </c>
      <c r="G712">
        <f>IF(getRGB1($C712)="FFFFFF",0,1)+IF(getRGB1($D712)="FFFFFF",0,2)+IF(getRGB1($E712)="FFFFFF",0,3)+IF(getRGB1($F712)="FFFFFF",0,4)</f>
        <v>3</v>
      </c>
    </row>
    <row r="713" spans="1:7">
      <c r="A713" t="s">
        <v>6659</v>
      </c>
      <c r="B713" s="101" t="s">
        <v>2543</v>
      </c>
      <c r="C713" s="131" t="s">
        <v>2544</v>
      </c>
      <c r="D713" s="102" t="s">
        <v>2545</v>
      </c>
      <c r="E713" s="131" t="s">
        <v>2546</v>
      </c>
      <c r="F713" s="131" t="s">
        <v>2547</v>
      </c>
      <c r="G713">
        <f>IF(getRGB1($C713)="FFFFFF",0,1)+IF(getRGB1($D713)="FFFFFF",0,2)+IF(getRGB1($E713)="FFFFFF",0,3)+IF(getRGB1($F713)="FFFFFF",0,4)</f>
        <v>2</v>
      </c>
    </row>
    <row r="714" spans="1:7">
      <c r="A714" t="s">
        <v>6659</v>
      </c>
      <c r="B714" s="101" t="s">
        <v>2548</v>
      </c>
      <c r="C714" s="131" t="s">
        <v>2549</v>
      </c>
      <c r="D714" s="131" t="s">
        <v>2550</v>
      </c>
      <c r="E714" s="131" t="s">
        <v>2551</v>
      </c>
      <c r="F714" s="102" t="s">
        <v>2552</v>
      </c>
      <c r="G714">
        <f>IF(getRGB1($C714)="FFFFFF",0,1)+IF(getRGB1($D714)="FFFFFF",0,2)+IF(getRGB1($E714)="FFFFFF",0,3)+IF(getRGB1($F714)="FFFFFF",0,4)</f>
        <v>4</v>
      </c>
    </row>
    <row r="715" spans="1:7" ht="25.5">
      <c r="A715" t="s">
        <v>6659</v>
      </c>
      <c r="B715" s="101" t="s">
        <v>2553</v>
      </c>
      <c r="C715" s="131" t="s">
        <v>2514</v>
      </c>
      <c r="D715" s="131" t="s">
        <v>2517</v>
      </c>
      <c r="E715" s="102" t="s">
        <v>2515</v>
      </c>
      <c r="F715" s="131" t="s">
        <v>2554</v>
      </c>
      <c r="G715">
        <f>IF(getRGB1($C715)="FFFFFF",0,1)+IF(getRGB1($D715)="FFFFFF",0,2)+IF(getRGB1($E715)="FFFFFF",0,3)+IF(getRGB1($F715)="FFFFFF",0,4)</f>
        <v>3</v>
      </c>
    </row>
    <row r="716" spans="1:7">
      <c r="A716" t="s">
        <v>6659</v>
      </c>
      <c r="B716" s="97" t="s">
        <v>2555</v>
      </c>
      <c r="C716" s="131">
        <v>2</v>
      </c>
      <c r="D716" s="131">
        <v>6</v>
      </c>
      <c r="E716" s="131">
        <v>3</v>
      </c>
      <c r="F716" s="102">
        <v>5</v>
      </c>
      <c r="G716">
        <f>IF(getRGB1($C716)="FFFFFF",0,1)+IF(getRGB1($D716)="FFFFFF",0,2)+IF(getRGB1($E716)="FFFFFF",0,3)+IF(getRGB1($F716)="FFFFFF",0,4)</f>
        <v>4</v>
      </c>
    </row>
    <row r="717" spans="1:7">
      <c r="A717" t="s">
        <v>6659</v>
      </c>
      <c r="B717" s="101" t="s">
        <v>2556</v>
      </c>
      <c r="C717" s="142">
        <v>0.05</v>
      </c>
      <c r="D717" s="142">
        <v>0.12</v>
      </c>
      <c r="E717" s="142">
        <v>0.14000000000000001</v>
      </c>
      <c r="F717" s="140">
        <v>0.20960000000000001</v>
      </c>
      <c r="G717">
        <f>IF(getRGB1($C717)="FFFFFF",0,1)+IF(getRGB1($D717)="FFFFFF",0,2)+IF(getRGB1($E717)="FFFFFF",0,3)+IF(getRGB1($F717)="FFFFFF",0,4)</f>
        <v>4</v>
      </c>
    </row>
    <row r="718" spans="1:7">
      <c r="A718" t="s">
        <v>6659</v>
      </c>
      <c r="B718" s="97" t="s">
        <v>2557</v>
      </c>
      <c r="C718" s="134" t="s">
        <v>2558</v>
      </c>
      <c r="D718" s="115" t="s">
        <v>2559</v>
      </c>
      <c r="E718" s="134" t="s">
        <v>2560</v>
      </c>
      <c r="F718" s="134" t="s">
        <v>2561</v>
      </c>
      <c r="G718">
        <f>IF(getRGB1($C718)="FFFFFF",0,1)+IF(getRGB1($D718)="FFFFFF",0,2)+IF(getRGB1($E718)="FFFFFF",0,3)+IF(getRGB1($F718)="FFFFFF",0,4)</f>
        <v>2</v>
      </c>
    </row>
    <row r="719" spans="1:7">
      <c r="A719" t="s">
        <v>6659</v>
      </c>
      <c r="B719" s="97" t="s">
        <v>2562</v>
      </c>
      <c r="C719" s="142">
        <v>0.7</v>
      </c>
      <c r="D719" s="143">
        <v>0.9</v>
      </c>
      <c r="E719" s="142">
        <v>0.8</v>
      </c>
      <c r="F719" s="142">
        <v>1</v>
      </c>
      <c r="G719">
        <f>IF(getRGB1($C719)="FFFFFF",0,1)+IF(getRGB1($D719)="FFFFFF",0,2)+IF(getRGB1($E719)="FFFFFF",0,3)+IF(getRGB1($F719)="FFFFFF",0,4)</f>
        <v>2</v>
      </c>
    </row>
    <row r="720" spans="1:7">
      <c r="A720" t="s">
        <v>6659</v>
      </c>
      <c r="B720" s="101" t="s">
        <v>2563</v>
      </c>
      <c r="C720" s="142">
        <v>0.05</v>
      </c>
      <c r="D720" s="140">
        <v>0.04</v>
      </c>
      <c r="E720" s="141">
        <v>2.5000000000000001E-2</v>
      </c>
      <c r="F720" s="141">
        <v>7.4999999999999997E-3</v>
      </c>
      <c r="G720">
        <f>IF(getRGB1($C720)="FFFFFF",0,1)+IF(getRGB1($D720)="FFFFFF",0,2)+IF(getRGB1($E720)="FFFFFF",0,3)+IF(getRGB1($F720)="FFFFFF",0,4)</f>
        <v>2</v>
      </c>
    </row>
    <row r="721" spans="1:7" ht="25.5">
      <c r="A721" t="s">
        <v>6659</v>
      </c>
      <c r="B721" s="101" t="s">
        <v>2564</v>
      </c>
      <c r="C721" s="141">
        <v>0.06</v>
      </c>
      <c r="D721" s="141">
        <v>7.4999999999999997E-2</v>
      </c>
      <c r="E721" s="141">
        <v>6.25E-2</v>
      </c>
      <c r="F721" s="140">
        <v>5.2499999999999998E-2</v>
      </c>
      <c r="G721">
        <f>IF(getRGB1($C721)="FFFFFF",0,1)+IF(getRGB1($D721)="FFFFFF",0,2)+IF(getRGB1($E721)="FFFFFF",0,3)+IF(getRGB1($F721)="FFFFFF",0,4)</f>
        <v>4</v>
      </c>
    </row>
    <row r="722" spans="1:7">
      <c r="A722" t="s">
        <v>6659</v>
      </c>
      <c r="B722" s="101" t="s">
        <v>2565</v>
      </c>
      <c r="C722" s="131" t="s">
        <v>2566</v>
      </c>
      <c r="D722" s="131" t="s">
        <v>2567</v>
      </c>
      <c r="E722" s="102" t="s">
        <v>2568</v>
      </c>
      <c r="F722" s="131" t="s">
        <v>2569</v>
      </c>
      <c r="G722">
        <f>IF(getRGB1($C722)="FFFFFF",0,1)+IF(getRGB1($D722)="FFFFFF",0,2)+IF(getRGB1($E722)="FFFFFF",0,3)+IF(getRGB1($F722)="FFFFFF",0,4)</f>
        <v>3</v>
      </c>
    </row>
    <row r="723" spans="1:7" ht="25.5">
      <c r="A723" t="s">
        <v>6659</v>
      </c>
      <c r="B723" s="101" t="s">
        <v>2570</v>
      </c>
      <c r="C723" s="102" t="s">
        <v>2222</v>
      </c>
      <c r="D723" s="131" t="s">
        <v>2571</v>
      </c>
      <c r="E723" s="131" t="s">
        <v>2572</v>
      </c>
      <c r="F723" s="131" t="s">
        <v>2573</v>
      </c>
      <c r="G723">
        <f>IF(getRGB1($C723)="FFFFFF",0,1)+IF(getRGB1($D723)="FFFFFF",0,2)+IF(getRGB1($E723)="FFFFFF",0,3)+IF(getRGB1($F723)="FFFFFF",0,4)</f>
        <v>1</v>
      </c>
    </row>
    <row r="724" spans="1:7" ht="30">
      <c r="A724" t="s">
        <v>6659</v>
      </c>
      <c r="B724" s="97" t="s">
        <v>2574</v>
      </c>
      <c r="C724" s="134" t="s">
        <v>2575</v>
      </c>
      <c r="D724" s="134" t="s">
        <v>2576</v>
      </c>
      <c r="E724" s="115" t="s">
        <v>2577</v>
      </c>
      <c r="F724" s="134" t="s">
        <v>2578</v>
      </c>
      <c r="G724">
        <f>IF(getRGB1($C724)="FFFFFF",0,1)+IF(getRGB1($D724)="FFFFFF",0,2)+IF(getRGB1($E724)="FFFFFF",0,3)+IF(getRGB1($F724)="FFFFFF",0,4)</f>
        <v>3</v>
      </c>
    </row>
    <row r="725" spans="1:7">
      <c r="A725" t="s">
        <v>6659</v>
      </c>
      <c r="B725" s="97" t="s">
        <v>2579</v>
      </c>
      <c r="C725" s="131" t="s">
        <v>2580</v>
      </c>
      <c r="D725" s="131" t="s">
        <v>2581</v>
      </c>
      <c r="E725" s="102" t="s">
        <v>2582</v>
      </c>
      <c r="F725" s="131" t="s">
        <v>2583</v>
      </c>
      <c r="G725">
        <f>IF(getRGB1($C725)="FFFFFF",0,1)+IF(getRGB1($D725)="FFFFFF",0,2)+IF(getRGB1($E725)="FFFFFF",0,3)+IF(getRGB1($F725)="FFFFFF",0,4)</f>
        <v>3</v>
      </c>
    </row>
    <row r="726" spans="1:7" ht="25.5">
      <c r="A726" t="s">
        <v>6659</v>
      </c>
      <c r="B726" s="101" t="s">
        <v>2584</v>
      </c>
      <c r="C726" s="131" t="s">
        <v>2585</v>
      </c>
      <c r="D726" s="131" t="s">
        <v>2586</v>
      </c>
      <c r="E726" s="102" t="s">
        <v>2587</v>
      </c>
      <c r="F726" s="131" t="s">
        <v>2588</v>
      </c>
      <c r="G726">
        <f>IF(getRGB1($C726)="FFFFFF",0,1)+IF(getRGB1($D726)="FFFFFF",0,2)+IF(getRGB1($E726)="FFFFFF",0,3)+IF(getRGB1($F726)="FFFFFF",0,4)</f>
        <v>3</v>
      </c>
    </row>
    <row r="727" spans="1:7" ht="30">
      <c r="A727" t="s">
        <v>6659</v>
      </c>
      <c r="B727" s="97" t="s">
        <v>2589</v>
      </c>
      <c r="C727" s="134" t="s">
        <v>2590</v>
      </c>
      <c r="D727" s="134" t="s">
        <v>2428</v>
      </c>
      <c r="E727" s="115" t="s">
        <v>2591</v>
      </c>
      <c r="F727" s="113" t="s">
        <v>2592</v>
      </c>
      <c r="G727">
        <f>IF(getRGB1($C727)="FFFFFF",0,1)+IF(getRGB1($D727)="FFFFFF",0,2)+IF(getRGB1($E727)="FFFFFF",0,3)+IF(getRGB1($F727)="FFFFFF",0,4)</f>
        <v>3</v>
      </c>
    </row>
    <row r="728" spans="1:7">
      <c r="A728" t="s">
        <v>6659</v>
      </c>
      <c r="B728" s="101" t="s">
        <v>2593</v>
      </c>
      <c r="C728" s="131" t="s">
        <v>2594</v>
      </c>
      <c r="D728" s="98" t="s">
        <v>2595</v>
      </c>
      <c r="E728" s="102" t="s">
        <v>2596</v>
      </c>
      <c r="F728" s="131" t="s">
        <v>2597</v>
      </c>
      <c r="G728">
        <f>IF(getRGB1($C728)="FFFFFF",0,1)+IF(getRGB1($D728)="FFFFFF",0,2)+IF(getRGB1($E728)="FFFFFF",0,3)+IF(getRGB1($F728)="FFFFFF",0,4)</f>
        <v>3</v>
      </c>
    </row>
    <row r="729" spans="1:7">
      <c r="A729" t="s">
        <v>6659</v>
      </c>
      <c r="B729" s="101" t="s">
        <v>2598</v>
      </c>
      <c r="C729" s="131" t="s">
        <v>2599</v>
      </c>
      <c r="D729" s="102" t="s">
        <v>2600</v>
      </c>
      <c r="E729" s="131" t="s">
        <v>2601</v>
      </c>
      <c r="F729" s="131" t="s">
        <v>2602</v>
      </c>
      <c r="G729">
        <f>IF(getRGB1($C729)="FFFFFF",0,1)+IF(getRGB1($D729)="FFFFFF",0,2)+IF(getRGB1($E729)="FFFFFF",0,3)+IF(getRGB1($F729)="FFFFFF",0,4)</f>
        <v>2</v>
      </c>
    </row>
    <row r="730" spans="1:7">
      <c r="A730" t="s">
        <v>6659</v>
      </c>
      <c r="B730" s="101" t="s">
        <v>2603</v>
      </c>
      <c r="C730" s="142">
        <v>0.95</v>
      </c>
      <c r="D730" s="143">
        <v>0.98</v>
      </c>
      <c r="E730" s="142">
        <v>0.99</v>
      </c>
      <c r="F730" s="142">
        <v>0.92</v>
      </c>
      <c r="G730">
        <f>IF(getRGB1($C730)="FFFFFF",0,1)+IF(getRGB1($D730)="FFFFFF",0,2)+IF(getRGB1($E730)="FFFFFF",0,3)+IF(getRGB1($F730)="FFFFFF",0,4)</f>
        <v>2</v>
      </c>
    </row>
    <row r="731" spans="1:7" ht="25.5">
      <c r="A731" t="s">
        <v>6659</v>
      </c>
      <c r="B731" s="101" t="s">
        <v>2604</v>
      </c>
      <c r="C731" s="131" t="s">
        <v>2605</v>
      </c>
      <c r="D731" s="131" t="s">
        <v>2606</v>
      </c>
      <c r="E731" s="102" t="s">
        <v>2607</v>
      </c>
      <c r="F731" s="131" t="s">
        <v>2608</v>
      </c>
      <c r="G731">
        <f>IF(getRGB1($C731)="FFFFFF",0,1)+IF(getRGB1($D731)="FFFFFF",0,2)+IF(getRGB1($E731)="FFFFFF",0,3)+IF(getRGB1($F731)="FFFFFF",0,4)</f>
        <v>3</v>
      </c>
    </row>
    <row r="732" spans="1:7" ht="25.5">
      <c r="A732" t="s">
        <v>6659</v>
      </c>
      <c r="B732" s="101" t="s">
        <v>2609</v>
      </c>
      <c r="C732" s="131" t="s">
        <v>2610</v>
      </c>
      <c r="D732" s="102" t="s">
        <v>2611</v>
      </c>
      <c r="E732" s="131" t="s">
        <v>2612</v>
      </c>
      <c r="F732" s="131" t="s">
        <v>2561</v>
      </c>
      <c r="G732">
        <f>IF(getRGB1($C732)="FFFFFF",0,1)+IF(getRGB1($D732)="FFFFFF",0,2)+IF(getRGB1($E732)="FFFFFF",0,3)+IF(getRGB1($F732)="FFFFFF",0,4)</f>
        <v>2</v>
      </c>
    </row>
    <row r="733" spans="1:7" ht="89.25">
      <c r="A733" t="s">
        <v>6659</v>
      </c>
      <c r="B733" s="101" t="s">
        <v>2613</v>
      </c>
      <c r="C733" s="102" t="s">
        <v>239</v>
      </c>
      <c r="D733" s="98" t="s">
        <v>2614</v>
      </c>
      <c r="E733" s="98" t="s">
        <v>237</v>
      </c>
      <c r="F733" s="98" t="s">
        <v>2615</v>
      </c>
      <c r="G733">
        <f>IF(getRGB1($C733)="FFFFFF",0,1)+IF(getRGB1($D733)="FFFFFF",0,2)+IF(getRGB1($E733)="FFFFFF",0,3)+IF(getRGB1($F733)="FFFFFF",0,4)</f>
        <v>1</v>
      </c>
    </row>
    <row r="734" spans="1:7" ht="25.5">
      <c r="A734" t="s">
        <v>6659</v>
      </c>
      <c r="B734" s="101" t="s">
        <v>2616</v>
      </c>
      <c r="C734" s="147">
        <v>0.14000000000000001</v>
      </c>
      <c r="D734" s="140">
        <v>0.16500000000000001</v>
      </c>
      <c r="E734" s="148">
        <v>0.14499999999999999</v>
      </c>
      <c r="F734" s="148">
        <v>0.155</v>
      </c>
      <c r="G734">
        <f>IF(getRGB1($C734)="FFFFFF",0,1)+IF(getRGB1($D734)="FFFFFF",0,2)+IF(getRGB1($E734)="FFFFFF",0,3)+IF(getRGB1($F734)="FFFFFF",0,4)</f>
        <v>2</v>
      </c>
    </row>
    <row r="735" spans="1:7">
      <c r="A735" t="s">
        <v>6659</v>
      </c>
      <c r="B735" s="101" t="s">
        <v>2617</v>
      </c>
      <c r="C735" s="102" t="s">
        <v>2120</v>
      </c>
      <c r="D735" s="98" t="s">
        <v>2121</v>
      </c>
      <c r="E735" s="98" t="s">
        <v>2480</v>
      </c>
      <c r="F735" s="98" t="s">
        <v>2618</v>
      </c>
      <c r="G735">
        <f>IF(getRGB1($C735)="FFFFFF",0,1)+IF(getRGB1($D735)="FFFFFF",0,2)+IF(getRGB1($E735)="FFFFFF",0,3)+IF(getRGB1($F735)="FFFFFF",0,4)</f>
        <v>1</v>
      </c>
    </row>
    <row r="736" spans="1:7">
      <c r="A736" t="s">
        <v>6659</v>
      </c>
      <c r="B736" s="149" t="s">
        <v>2619</v>
      </c>
      <c r="C736" s="148">
        <v>2.5000000000000001E-2</v>
      </c>
      <c r="D736" s="148">
        <v>3.5000000000000003E-2</v>
      </c>
      <c r="E736" s="140">
        <v>0.04</v>
      </c>
      <c r="F736" s="148">
        <v>1.4999999999999999E-2</v>
      </c>
      <c r="G736">
        <f>IF(getRGB1($C736)="FFFFFF",0,1)+IF(getRGB1($D736)="FFFFFF",0,2)+IF(getRGB1($E736)="FFFFFF",0,3)+IF(getRGB1($F736)="FFFFFF",0,4)</f>
        <v>3</v>
      </c>
    </row>
    <row r="737" spans="1:7" ht="38.25">
      <c r="A737" t="s">
        <v>6659</v>
      </c>
      <c r="B737" s="101" t="s">
        <v>2620</v>
      </c>
      <c r="C737" s="150" t="s">
        <v>1086</v>
      </c>
      <c r="D737" s="150" t="s">
        <v>1085</v>
      </c>
      <c r="E737" s="150" t="s">
        <v>1084</v>
      </c>
      <c r="F737" s="145" t="s">
        <v>2336</v>
      </c>
      <c r="G737">
        <f>IF(getRGB1($C737)="FFFFFF",0,1)+IF(getRGB1($D737)="FFFFFF",0,2)+IF(getRGB1($E737)="FFFFFF",0,3)+IF(getRGB1($F737)="FFFFFF",0,4)</f>
        <v>4</v>
      </c>
    </row>
    <row r="738" spans="1:7" ht="25.5">
      <c r="A738" t="s">
        <v>6659</v>
      </c>
      <c r="B738" s="101" t="s">
        <v>2621</v>
      </c>
      <c r="C738" s="102" t="s">
        <v>2622</v>
      </c>
      <c r="D738" s="131" t="s">
        <v>2623</v>
      </c>
      <c r="E738" s="131" t="s">
        <v>2624</v>
      </c>
      <c r="F738" s="131" t="s">
        <v>2625</v>
      </c>
      <c r="G738">
        <f>IF(getRGB1($C738)="FFFFFF",0,1)+IF(getRGB1($D738)="FFFFFF",0,2)+IF(getRGB1($E738)="FFFFFF",0,3)+IF(getRGB1($F738)="FFFFFF",0,4)</f>
        <v>1</v>
      </c>
    </row>
    <row r="739" spans="1:7" ht="30">
      <c r="A739" t="s">
        <v>6659</v>
      </c>
      <c r="B739" s="97" t="s">
        <v>2626</v>
      </c>
      <c r="C739" s="115" t="s">
        <v>2627</v>
      </c>
      <c r="D739" s="134" t="s">
        <v>2628</v>
      </c>
      <c r="E739" s="134" t="s">
        <v>2629</v>
      </c>
      <c r="F739" s="134" t="s">
        <v>2630</v>
      </c>
      <c r="G739">
        <f>IF(getRGB1($C739)="FFFFFF",0,1)+IF(getRGB1($D739)="FFFFFF",0,2)+IF(getRGB1($E739)="FFFFFF",0,3)+IF(getRGB1($F739)="FFFFFF",0,4)</f>
        <v>1</v>
      </c>
    </row>
    <row r="740" spans="1:7" ht="30">
      <c r="A740" t="s">
        <v>6659</v>
      </c>
      <c r="B740" s="97" t="s">
        <v>2631</v>
      </c>
      <c r="C740" s="115" t="s">
        <v>2632</v>
      </c>
      <c r="D740" s="134" t="s">
        <v>2633</v>
      </c>
      <c r="E740" s="134" t="s">
        <v>2634</v>
      </c>
      <c r="F740" s="134" t="s">
        <v>2635</v>
      </c>
      <c r="G740">
        <f>IF(getRGB1($C740)="FFFFFF",0,1)+IF(getRGB1($D740)="FFFFFF",0,2)+IF(getRGB1($E740)="FFFFFF",0,3)+IF(getRGB1($F740)="FFFFFF",0,4)</f>
        <v>1</v>
      </c>
    </row>
    <row r="741" spans="1:7" ht="30">
      <c r="A741" t="s">
        <v>6659</v>
      </c>
      <c r="B741" s="97" t="s">
        <v>2636</v>
      </c>
      <c r="C741" s="134" t="s">
        <v>2637</v>
      </c>
      <c r="D741" s="115" t="s">
        <v>2638</v>
      </c>
      <c r="E741" s="134" t="s">
        <v>2639</v>
      </c>
      <c r="F741" s="134" t="s">
        <v>2640</v>
      </c>
      <c r="G741">
        <f>IF(getRGB1($C741)="FFFFFF",0,1)+IF(getRGB1($D741)="FFFFFF",0,2)+IF(getRGB1($E741)="FFFFFF",0,3)+IF(getRGB1($F741)="FFFFFF",0,4)</f>
        <v>2</v>
      </c>
    </row>
    <row r="742" spans="1:7">
      <c r="A742" t="s">
        <v>6659</v>
      </c>
      <c r="B742" s="101" t="s">
        <v>2641</v>
      </c>
      <c r="C742" s="131" t="s">
        <v>2642</v>
      </c>
      <c r="D742" s="131" t="s">
        <v>2643</v>
      </c>
      <c r="E742" s="131" t="s">
        <v>2644</v>
      </c>
      <c r="F742" s="102" t="s">
        <v>2645</v>
      </c>
      <c r="G742">
        <f>IF(getRGB1($C742)="FFFFFF",0,1)+IF(getRGB1($D742)="FFFFFF",0,2)+IF(getRGB1($E742)="FFFFFF",0,3)+IF(getRGB1($F742)="FFFFFF",0,4)</f>
        <v>4</v>
      </c>
    </row>
    <row r="743" spans="1:7" ht="30">
      <c r="A743" t="s">
        <v>6659</v>
      </c>
      <c r="B743" s="101" t="s">
        <v>2646</v>
      </c>
      <c r="C743" s="131" t="s">
        <v>2647</v>
      </c>
      <c r="D743" s="131" t="s">
        <v>2648</v>
      </c>
      <c r="E743" s="115" t="s">
        <v>2649</v>
      </c>
      <c r="F743" s="131" t="s">
        <v>2650</v>
      </c>
      <c r="G743">
        <f>IF(getRGB1($C743)="FFFFFF",0,1)+IF(getRGB1($D743)="FFFFFF",0,2)+IF(getRGB1($E743)="FFFFFF",0,3)+IF(getRGB1($F743)="FFFFFF",0,4)</f>
        <v>3</v>
      </c>
    </row>
    <row r="744" spans="1:7" ht="25.5">
      <c r="A744" t="s">
        <v>6659</v>
      </c>
      <c r="B744" s="101" t="s">
        <v>2651</v>
      </c>
      <c r="C744" s="102" t="s">
        <v>823</v>
      </c>
      <c r="D744" s="131" t="s">
        <v>2517</v>
      </c>
      <c r="E744" s="131" t="s">
        <v>2515</v>
      </c>
      <c r="F744" s="131" t="s">
        <v>2652</v>
      </c>
      <c r="G744">
        <f>IF(getRGB1($C744)="FFFFFF",0,1)+IF(getRGB1($D744)="FFFFFF",0,2)+IF(getRGB1($E744)="FFFFFF",0,3)+IF(getRGB1($F744)="FFFFFF",0,4)</f>
        <v>1</v>
      </c>
    </row>
    <row r="745" spans="1:7">
      <c r="A745" t="s">
        <v>6659</v>
      </c>
      <c r="B745" s="101" t="s">
        <v>2653</v>
      </c>
      <c r="C745" s="131">
        <v>8</v>
      </c>
      <c r="D745" s="131">
        <v>6</v>
      </c>
      <c r="E745" s="131">
        <v>7</v>
      </c>
      <c r="F745" s="102">
        <v>5</v>
      </c>
      <c r="G745">
        <f>IF(getRGB1($C745)="FFFFFF",0,1)+IF(getRGB1($D745)="FFFFFF",0,2)+IF(getRGB1($E745)="FFFFFF",0,3)+IF(getRGB1($F745)="FFFFFF",0,4)</f>
        <v>4</v>
      </c>
    </row>
    <row r="746" spans="1:7">
      <c r="A746" t="s">
        <v>6659</v>
      </c>
      <c r="B746" s="101" t="s">
        <v>2654</v>
      </c>
      <c r="C746" s="131" t="s">
        <v>2655</v>
      </c>
      <c r="D746" s="131" t="s">
        <v>2656</v>
      </c>
      <c r="E746" s="131" t="s">
        <v>2657</v>
      </c>
      <c r="F746" s="131" t="s">
        <v>2658</v>
      </c>
      <c r="G746">
        <f>IF(getRGB1($C746)="FFFFFF",0,1)+IF(getRGB1($D746)="FFFFFF",0,2)+IF(getRGB1($E746)="FFFFFF",0,3)+IF(getRGB1($F746)="FFFFFF",0,4)</f>
        <v>0</v>
      </c>
    </row>
    <row r="747" spans="1:7" ht="25.5">
      <c r="A747" t="s">
        <v>6659</v>
      </c>
      <c r="B747" s="101" t="s">
        <v>2659</v>
      </c>
      <c r="C747" s="140">
        <v>0.19375000000000001</v>
      </c>
      <c r="D747" s="142">
        <v>0.2</v>
      </c>
      <c r="E747" s="142">
        <v>0.18</v>
      </c>
      <c r="F747" s="141">
        <v>0.155</v>
      </c>
      <c r="G747">
        <f>IF(getRGB1($C747)="FFFFFF",0,1)+IF(getRGB1($D747)="FFFFFF",0,2)+IF(getRGB1($E747)="FFFFFF",0,3)+IF(getRGB1($F747)="FFFFFF",0,4)</f>
        <v>1</v>
      </c>
    </row>
    <row r="748" spans="1:7" ht="25.5">
      <c r="A748" t="s">
        <v>6659</v>
      </c>
      <c r="B748" s="101" t="s">
        <v>2660</v>
      </c>
      <c r="C748" s="131" t="s">
        <v>2661</v>
      </c>
      <c r="D748" s="131" t="s">
        <v>2662</v>
      </c>
      <c r="E748" s="115" t="s">
        <v>2663</v>
      </c>
      <c r="F748" s="131" t="s">
        <v>2664</v>
      </c>
      <c r="G748">
        <f>IF(getRGB1($C748)="FFFFFF",0,1)+IF(getRGB1($D748)="FFFFFF",0,2)+IF(getRGB1($E748)="FFFFFF",0,3)+IF(getRGB1($F748)="FFFFFF",0,4)</f>
        <v>3</v>
      </c>
    </row>
    <row r="749" spans="1:7">
      <c r="A749" t="s">
        <v>6659</v>
      </c>
      <c r="B749" s="101" t="s">
        <v>2665</v>
      </c>
      <c r="C749" s="102" t="s">
        <v>2666</v>
      </c>
      <c r="D749" s="131" t="s">
        <v>2667</v>
      </c>
      <c r="E749" s="131" t="s">
        <v>2668</v>
      </c>
      <c r="F749" s="131" t="s">
        <v>2669</v>
      </c>
      <c r="G749">
        <f>IF(getRGB1($C749)="FFFFFF",0,1)+IF(getRGB1($D749)="FFFFFF",0,2)+IF(getRGB1($E749)="FFFFFF",0,3)+IF(getRGB1($F749)="FFFFFF",0,4)</f>
        <v>1</v>
      </c>
    </row>
    <row r="750" spans="1:7" ht="25.5">
      <c r="A750" t="s">
        <v>6659</v>
      </c>
      <c r="B750" s="101" t="s">
        <v>2670</v>
      </c>
      <c r="C750" s="131" t="s">
        <v>2671</v>
      </c>
      <c r="D750" s="131" t="s">
        <v>2672</v>
      </c>
      <c r="E750" s="131" t="s">
        <v>2673</v>
      </c>
      <c r="F750" s="102" t="s">
        <v>2674</v>
      </c>
      <c r="G750">
        <f>IF(getRGB1($C750)="FFFFFF",0,1)+IF(getRGB1($D750)="FFFFFF",0,2)+IF(getRGB1($E750)="FFFFFF",0,3)+IF(getRGB1($F750)="FFFFFF",0,4)</f>
        <v>4</v>
      </c>
    </row>
    <row r="751" spans="1:7" ht="25.5">
      <c r="A751" t="s">
        <v>6659</v>
      </c>
      <c r="B751" s="101" t="s">
        <v>2675</v>
      </c>
      <c r="C751" s="131" t="s">
        <v>2676</v>
      </c>
      <c r="D751" s="131" t="s">
        <v>2677</v>
      </c>
      <c r="E751" s="102" t="s">
        <v>2678</v>
      </c>
      <c r="F751" s="131" t="s">
        <v>2679</v>
      </c>
      <c r="G751">
        <f>IF(getRGB1($C751)="FFFFFF",0,1)+IF(getRGB1($D751)="FFFFFF",0,2)+IF(getRGB1($E751)="FFFFFF",0,3)+IF(getRGB1($F751)="FFFFFF",0,4)</f>
        <v>3</v>
      </c>
    </row>
    <row r="752" spans="1:7">
      <c r="A752" t="s">
        <v>6659</v>
      </c>
      <c r="B752" s="101" t="s">
        <v>2680</v>
      </c>
      <c r="C752" s="131" t="s">
        <v>2681</v>
      </c>
      <c r="D752" s="102" t="s">
        <v>2682</v>
      </c>
      <c r="E752" s="131" t="s">
        <v>2683</v>
      </c>
      <c r="F752" s="131" t="s">
        <v>2684</v>
      </c>
      <c r="G752">
        <f>IF(getRGB1($C752)="FFFFFF",0,1)+IF(getRGB1($D752)="FFFFFF",0,2)+IF(getRGB1($E752)="FFFFFF",0,3)+IF(getRGB1($F752)="FFFFFF",0,4)</f>
        <v>2</v>
      </c>
    </row>
    <row r="753" spans="1:7" ht="25.5">
      <c r="A753" t="s">
        <v>6659</v>
      </c>
      <c r="B753" s="101" t="s">
        <v>2685</v>
      </c>
      <c r="C753" s="141">
        <v>2E-3</v>
      </c>
      <c r="D753" s="141">
        <v>5.0000000000000001E-3</v>
      </c>
      <c r="E753" s="140">
        <v>8.0000000000000002E-3</v>
      </c>
      <c r="F753" s="141">
        <v>3.0000000000000001E-3</v>
      </c>
      <c r="G753">
        <f>IF(getRGB1($C753)="FFFFFF",0,1)+IF(getRGB1($D753)="FFFFFF",0,2)+IF(getRGB1($E753)="FFFFFF",0,3)+IF(getRGB1($F753)="FFFFFF",0,4)</f>
        <v>3</v>
      </c>
    </row>
    <row r="754" spans="1:7">
      <c r="A754" t="s">
        <v>6659</v>
      </c>
      <c r="B754" s="101" t="s">
        <v>2686</v>
      </c>
      <c r="C754" s="131" t="s">
        <v>2687</v>
      </c>
      <c r="D754" s="102" t="s">
        <v>2688</v>
      </c>
      <c r="E754" s="131" t="s">
        <v>2689</v>
      </c>
      <c r="F754" s="131" t="s">
        <v>2690</v>
      </c>
      <c r="G754">
        <f>IF(getRGB1($C754)="FFFFFF",0,1)+IF(getRGB1($D754)="FFFFFF",0,2)+IF(getRGB1($E754)="FFFFFF",0,3)+IF(getRGB1($F754)="FFFFFF",0,4)</f>
        <v>2</v>
      </c>
    </row>
    <row r="755" spans="1:7">
      <c r="A755" t="s">
        <v>6659</v>
      </c>
      <c r="B755" s="101" t="s">
        <v>2691</v>
      </c>
      <c r="C755" s="131" t="s">
        <v>2692</v>
      </c>
      <c r="D755" s="131" t="s">
        <v>2693</v>
      </c>
      <c r="E755" s="131" t="s">
        <v>2694</v>
      </c>
      <c r="F755" s="102" t="s">
        <v>2695</v>
      </c>
      <c r="G755">
        <f>IF(getRGB1($C755)="FFFFFF",0,1)+IF(getRGB1($D755)="FFFFFF",0,2)+IF(getRGB1($E755)="FFFFFF",0,3)+IF(getRGB1($F755)="FFFFFF",0,4)</f>
        <v>4</v>
      </c>
    </row>
    <row r="756" spans="1:7" ht="25.5">
      <c r="A756" t="s">
        <v>6659</v>
      </c>
      <c r="B756" s="101" t="s">
        <v>2696</v>
      </c>
      <c r="C756" s="131" t="s">
        <v>2697</v>
      </c>
      <c r="D756" s="131" t="s">
        <v>2698</v>
      </c>
      <c r="E756" s="102" t="s">
        <v>2699</v>
      </c>
      <c r="F756" s="131" t="s">
        <v>2700</v>
      </c>
      <c r="G756">
        <f>IF(getRGB1($C756)="FFFFFF",0,1)+IF(getRGB1($D756)="FFFFFF",0,2)+IF(getRGB1($E756)="FFFFFF",0,3)+IF(getRGB1($F756)="FFFFFF",0,4)</f>
        <v>3</v>
      </c>
    </row>
    <row r="757" spans="1:7" ht="25.5">
      <c r="A757" t="s">
        <v>6659</v>
      </c>
      <c r="B757" s="101" t="s">
        <v>2701</v>
      </c>
      <c r="C757" s="142">
        <v>0.06</v>
      </c>
      <c r="D757" s="140">
        <v>8.5000000000000006E-2</v>
      </c>
      <c r="E757" s="131" t="s">
        <v>2702</v>
      </c>
      <c r="F757" s="142">
        <v>0.09</v>
      </c>
      <c r="G757">
        <f>IF(getRGB1($C757)="FFFFFF",0,1)+IF(getRGB1($D757)="FFFFFF",0,2)+IF(getRGB1($E757)="FFFFFF",0,3)+IF(getRGB1($F757)="FFFFFF",0,4)</f>
        <v>2</v>
      </c>
    </row>
    <row r="758" spans="1:7">
      <c r="A758" t="s">
        <v>6659</v>
      </c>
      <c r="B758" s="151" t="s">
        <v>2703</v>
      </c>
      <c r="C758" s="152">
        <v>2225</v>
      </c>
      <c r="D758" s="153">
        <v>2250</v>
      </c>
      <c r="E758" s="152">
        <v>2350</v>
      </c>
      <c r="F758" s="152">
        <v>2175</v>
      </c>
      <c r="G758">
        <f>IF(getRGB1($C758)="FFFFFF",0,1)+IF(getRGB1($D758)="FFFFFF",0,2)+IF(getRGB1($E758)="FFFFFF",0,3)+IF(getRGB1($F758)="FFFFFF",0,4)</f>
        <v>2</v>
      </c>
    </row>
    <row r="759" spans="1:7">
      <c r="A759" t="s">
        <v>6659</v>
      </c>
      <c r="B759" s="151" t="s">
        <v>2704</v>
      </c>
      <c r="C759" s="152" t="s">
        <v>179</v>
      </c>
      <c r="D759" s="152" t="s">
        <v>2472</v>
      </c>
      <c r="E759" s="153" t="s">
        <v>2705</v>
      </c>
      <c r="F759" s="152" t="s">
        <v>174</v>
      </c>
      <c r="G759">
        <f>IF(getRGB1($C759)="FFFFFF",0,1)+IF(getRGB1($D759)="FFFFFF",0,2)+IF(getRGB1($E759)="FFFFFF",0,3)+IF(getRGB1($F759)="FFFFFF",0,4)</f>
        <v>3</v>
      </c>
    </row>
    <row r="760" spans="1:7">
      <c r="A760" t="s">
        <v>6659</v>
      </c>
      <c r="B760" s="151" t="s">
        <v>2706</v>
      </c>
      <c r="C760" s="153" t="s">
        <v>179</v>
      </c>
      <c r="D760" s="152" t="s">
        <v>2472</v>
      </c>
      <c r="E760" s="151" t="s">
        <v>2705</v>
      </c>
      <c r="F760" s="152" t="s">
        <v>174</v>
      </c>
      <c r="G760">
        <f>IF(getRGB1($C760)="FFFFFF",0,1)+IF(getRGB1($D760)="FFFFFF",0,2)+IF(getRGB1($E760)="FFFFFF",0,3)+IF(getRGB1($F760)="FFFFFF",0,4)</f>
        <v>1</v>
      </c>
    </row>
    <row r="761" spans="1:7">
      <c r="A761" t="s">
        <v>6659</v>
      </c>
      <c r="B761" s="151" t="s">
        <v>2707</v>
      </c>
      <c r="C761" s="152" t="s">
        <v>179</v>
      </c>
      <c r="D761" s="153" t="s">
        <v>2472</v>
      </c>
      <c r="E761" s="151" t="s">
        <v>2705</v>
      </c>
      <c r="F761" s="152" t="s">
        <v>174</v>
      </c>
      <c r="G761">
        <f>IF(getRGB1($C761)="FFFFFF",0,1)+IF(getRGB1($D761)="FFFFFF",0,2)+IF(getRGB1($E761)="FFFFFF",0,3)+IF(getRGB1($F761)="FFFFFF",0,4)</f>
        <v>2</v>
      </c>
    </row>
    <row r="762" spans="1:7">
      <c r="A762" t="s">
        <v>6659</v>
      </c>
      <c r="B762" s="151" t="s">
        <v>2708</v>
      </c>
      <c r="C762" s="153" t="s">
        <v>2709</v>
      </c>
      <c r="D762" s="152" t="s">
        <v>2710</v>
      </c>
      <c r="E762" s="152" t="s">
        <v>2711</v>
      </c>
      <c r="F762" s="152" t="s">
        <v>468</v>
      </c>
      <c r="G762">
        <f>IF(getRGB1($C762)="FFFFFF",0,1)+IF(getRGB1($D762)="FFFFFF",0,2)+IF(getRGB1($E762)="FFFFFF",0,3)+IF(getRGB1($F762)="FFFFFF",0,4)</f>
        <v>1</v>
      </c>
    </row>
    <row r="763" spans="1:7">
      <c r="A763" t="s">
        <v>6659</v>
      </c>
      <c r="B763" s="151" t="s">
        <v>2712</v>
      </c>
      <c r="C763" s="154">
        <v>3.3399999999999999E-2</v>
      </c>
      <c r="D763" s="155">
        <v>5.3800000000000001E-2</v>
      </c>
      <c r="E763" s="154">
        <v>6.3299999999999995E-2</v>
      </c>
      <c r="F763" s="154">
        <v>9.5000000000000001E-2</v>
      </c>
      <c r="G763">
        <f>IF(getRGB1($C763)="FFFFFF",0,1)+IF(getRGB1($D763)="FFFFFF",0,2)+IF(getRGB1($E763)="FFFFFF",0,3)+IF(getRGB1($F763)="FFFFFF",0,4)</f>
        <v>2</v>
      </c>
    </row>
    <row r="764" spans="1:7">
      <c r="A764" t="s">
        <v>6659</v>
      </c>
      <c r="B764" s="151" t="s">
        <v>2713</v>
      </c>
      <c r="C764" s="152" t="s">
        <v>2714</v>
      </c>
      <c r="D764" s="152" t="s">
        <v>2715</v>
      </c>
      <c r="E764" s="153" t="s">
        <v>2716</v>
      </c>
      <c r="F764" s="152" t="s">
        <v>2717</v>
      </c>
      <c r="G764">
        <f>IF(getRGB1($C764)="FFFFFF",0,1)+IF(getRGB1($D764)="FFFFFF",0,2)+IF(getRGB1($E764)="FFFFFF",0,3)+IF(getRGB1($F764)="FFFFFF",0,4)</f>
        <v>3</v>
      </c>
    </row>
    <row r="765" spans="1:7">
      <c r="A765" t="s">
        <v>6659</v>
      </c>
      <c r="B765" s="151" t="s">
        <v>2718</v>
      </c>
      <c r="C765" s="152" t="s">
        <v>2719</v>
      </c>
      <c r="D765" s="152" t="s">
        <v>2720</v>
      </c>
      <c r="E765" s="152" t="s">
        <v>2717</v>
      </c>
      <c r="F765" s="152" t="s">
        <v>2721</v>
      </c>
      <c r="G765">
        <f>IF(getRGB1($C765)="FFFFFF",0,1)+IF(getRGB1($D765)="FFFFFF",0,2)+IF(getRGB1($E765)="FFFFFF",0,3)+IF(getRGB1($F765)="FFFFFF",0,4)</f>
        <v>0</v>
      </c>
    </row>
    <row r="766" spans="1:7">
      <c r="A766" t="s">
        <v>6659</v>
      </c>
      <c r="B766" s="151" t="s">
        <v>2722</v>
      </c>
      <c r="C766" s="152" t="s">
        <v>2723</v>
      </c>
      <c r="D766" s="152" t="s">
        <v>2724</v>
      </c>
      <c r="E766" s="153" t="s">
        <v>2725</v>
      </c>
      <c r="F766" s="152" t="s">
        <v>2726</v>
      </c>
      <c r="G766">
        <f>IF(getRGB1($C766)="FFFFFF",0,1)+IF(getRGB1($D766)="FFFFFF",0,2)+IF(getRGB1($E766)="FFFFFF",0,3)+IF(getRGB1($F766)="FFFFFF",0,4)</f>
        <v>3</v>
      </c>
    </row>
    <row r="767" spans="1:7">
      <c r="A767" t="s">
        <v>6659</v>
      </c>
      <c r="B767" s="151" t="s">
        <v>2727</v>
      </c>
      <c r="C767" s="152" t="s">
        <v>2728</v>
      </c>
      <c r="D767" s="153" t="s">
        <v>2729</v>
      </c>
      <c r="E767" s="152" t="s">
        <v>2730</v>
      </c>
      <c r="F767" s="152" t="s">
        <v>2731</v>
      </c>
      <c r="G767">
        <f>IF(getRGB1($C767)="FFFFFF",0,1)+IF(getRGB1($D767)="FFFFFF",0,2)+IF(getRGB1($E767)="FFFFFF",0,3)+IF(getRGB1($F767)="FFFFFF",0,4)</f>
        <v>2</v>
      </c>
    </row>
    <row r="768" spans="1:7" ht="30">
      <c r="A768" t="s">
        <v>6659</v>
      </c>
      <c r="B768" s="151" t="s">
        <v>2732</v>
      </c>
      <c r="C768" s="152">
        <v>1.5</v>
      </c>
      <c r="D768" s="152" t="s">
        <v>2733</v>
      </c>
      <c r="E768" s="153">
        <v>2</v>
      </c>
      <c r="F768" s="152">
        <v>3</v>
      </c>
      <c r="G768">
        <f>IF(getRGB1($C768)="FFFFFF",0,1)+IF(getRGB1($D768)="FFFFFF",0,2)+IF(getRGB1($E768)="FFFFFF",0,3)+IF(getRGB1($F768)="FFFFFF",0,4)</f>
        <v>3</v>
      </c>
    </row>
    <row r="769" spans="1:7">
      <c r="A769" t="s">
        <v>6659</v>
      </c>
      <c r="B769" s="151" t="s">
        <v>2734</v>
      </c>
      <c r="C769" s="153" t="s">
        <v>2735</v>
      </c>
      <c r="D769" s="152" t="s">
        <v>2736</v>
      </c>
      <c r="E769" s="152" t="s">
        <v>2737</v>
      </c>
      <c r="F769" s="152" t="s">
        <v>66</v>
      </c>
      <c r="G769">
        <f>IF(getRGB1($C769)="FFFFFF",0,1)+IF(getRGB1($D769)="FFFFFF",0,2)+IF(getRGB1($E769)="FFFFFF",0,3)+IF(getRGB1($F769)="FFFFFF",0,4)</f>
        <v>1</v>
      </c>
    </row>
    <row r="770" spans="1:7">
      <c r="A770" t="s">
        <v>6659</v>
      </c>
      <c r="B770" s="151" t="s">
        <v>2738</v>
      </c>
      <c r="C770" s="154">
        <v>2E-3</v>
      </c>
      <c r="D770" s="155">
        <v>3.0000000000000001E-3</v>
      </c>
      <c r="E770" s="156">
        <v>0.01</v>
      </c>
      <c r="F770" s="154">
        <v>5.0000000000000001E-3</v>
      </c>
      <c r="G770">
        <f>IF(getRGB1($C770)="FFFFFF",0,1)+IF(getRGB1($D770)="FFFFFF",0,2)+IF(getRGB1($E770)="FFFFFF",0,3)+IF(getRGB1($F770)="FFFFFF",0,4)</f>
        <v>2</v>
      </c>
    </row>
    <row r="771" spans="1:7">
      <c r="A771" t="s">
        <v>6659</v>
      </c>
      <c r="B771" s="151" t="s">
        <v>2739</v>
      </c>
      <c r="C771" s="154">
        <v>8.5000000000000006E-2</v>
      </c>
      <c r="D771" s="154">
        <v>5.2499999999999998E-2</v>
      </c>
      <c r="E771" s="154">
        <v>7.7499999999999999E-2</v>
      </c>
      <c r="F771" s="157">
        <v>0.1</v>
      </c>
      <c r="G771">
        <f>IF(getRGB1($C771)="FFFFFF",0,1)+IF(getRGB1($D771)="FFFFFF",0,2)+IF(getRGB1($E771)="FFFFFF",0,3)+IF(getRGB1($F771)="FFFFFF",0,4)</f>
        <v>4</v>
      </c>
    </row>
    <row r="772" spans="1:7">
      <c r="A772" t="s">
        <v>6659</v>
      </c>
      <c r="B772" s="151" t="s">
        <v>2740</v>
      </c>
      <c r="C772" s="152" t="s">
        <v>2741</v>
      </c>
      <c r="D772" s="153" t="s">
        <v>2742</v>
      </c>
      <c r="E772" s="152" t="s">
        <v>2743</v>
      </c>
      <c r="F772" s="152" t="s">
        <v>2744</v>
      </c>
      <c r="G772">
        <f>IF(getRGB1($C772)="FFFFFF",0,1)+IF(getRGB1($D772)="FFFFFF",0,2)+IF(getRGB1($E772)="FFFFFF",0,3)+IF(getRGB1($F772)="FFFFFF",0,4)</f>
        <v>2</v>
      </c>
    </row>
    <row r="773" spans="1:7">
      <c r="A773" t="s">
        <v>6659</v>
      </c>
      <c r="B773" s="151" t="s">
        <v>2745</v>
      </c>
      <c r="C773" s="152" t="s">
        <v>2746</v>
      </c>
      <c r="D773" s="152" t="s">
        <v>2747</v>
      </c>
      <c r="E773" s="153" t="s">
        <v>2748</v>
      </c>
      <c r="F773" s="152" t="s">
        <v>66</v>
      </c>
      <c r="G773">
        <f>IF(getRGB1($C773)="FFFFFF",0,1)+IF(getRGB1($D773)="FFFFFF",0,2)+IF(getRGB1($E773)="FFFFFF",0,3)+IF(getRGB1($F773)="FFFFFF",0,4)</f>
        <v>3</v>
      </c>
    </row>
    <row r="774" spans="1:7" ht="30">
      <c r="A774" t="s">
        <v>6659</v>
      </c>
      <c r="B774" s="151" t="s">
        <v>2749</v>
      </c>
      <c r="C774" s="152" t="s">
        <v>2750</v>
      </c>
      <c r="D774" s="152" t="s">
        <v>2751</v>
      </c>
      <c r="E774" s="153" t="s">
        <v>2752</v>
      </c>
      <c r="F774" s="152" t="s">
        <v>2753</v>
      </c>
      <c r="G774">
        <f>IF(getRGB1($C774)="FFFFFF",0,1)+IF(getRGB1($D774)="FFFFFF",0,2)+IF(getRGB1($E774)="FFFFFF",0,3)+IF(getRGB1($F774)="FFFFFF",0,4)</f>
        <v>3</v>
      </c>
    </row>
    <row r="775" spans="1:7">
      <c r="A775" t="s">
        <v>6659</v>
      </c>
      <c r="B775" s="151" t="s">
        <v>2754</v>
      </c>
      <c r="C775" s="152" t="s">
        <v>2755</v>
      </c>
      <c r="D775" s="153" t="s">
        <v>2756</v>
      </c>
      <c r="E775" s="152" t="s">
        <v>2757</v>
      </c>
      <c r="F775" s="152" t="s">
        <v>2753</v>
      </c>
      <c r="G775">
        <f>IF(getRGB1($C775)="FFFFFF",0,1)+IF(getRGB1($D775)="FFFFFF",0,2)+IF(getRGB1($E775)="FFFFFF",0,3)+IF(getRGB1($F775)="FFFFFF",0,4)</f>
        <v>2</v>
      </c>
    </row>
    <row r="776" spans="1:7" ht="30">
      <c r="A776" t="s">
        <v>6659</v>
      </c>
      <c r="B776" s="151" t="s">
        <v>2758</v>
      </c>
      <c r="C776" s="152" t="s">
        <v>2759</v>
      </c>
      <c r="D776" s="152" t="s">
        <v>2760</v>
      </c>
      <c r="E776" s="153" t="s">
        <v>2761</v>
      </c>
      <c r="F776" s="152" t="s">
        <v>2762</v>
      </c>
      <c r="G776">
        <f>IF(getRGB1($C776)="FFFFFF",0,1)+IF(getRGB1($D776)="FFFFFF",0,2)+IF(getRGB1($E776)="FFFFFF",0,3)+IF(getRGB1($F776)="FFFFFF",0,4)</f>
        <v>3</v>
      </c>
    </row>
    <row r="777" spans="1:7">
      <c r="A777" t="s">
        <v>6659</v>
      </c>
      <c r="B777" s="151" t="s">
        <v>2763</v>
      </c>
      <c r="C777" s="152" t="s">
        <v>2764</v>
      </c>
      <c r="D777" s="153" t="s">
        <v>2765</v>
      </c>
      <c r="E777" s="152" t="s">
        <v>2694</v>
      </c>
      <c r="F777" s="152" t="s">
        <v>2766</v>
      </c>
      <c r="G777">
        <f>IF(getRGB1($C777)="FFFFFF",0,1)+IF(getRGB1($D777)="FFFFFF",0,2)+IF(getRGB1($E777)="FFFFFF",0,3)+IF(getRGB1($F777)="FFFFFF",0,4)</f>
        <v>2</v>
      </c>
    </row>
    <row r="778" spans="1:7">
      <c r="A778" t="s">
        <v>6659</v>
      </c>
      <c r="B778" s="151" t="s">
        <v>2767</v>
      </c>
      <c r="C778" s="152" t="b">
        <v>1</v>
      </c>
      <c r="D778" s="153" t="b">
        <v>0</v>
      </c>
      <c r="E778" s="152" t="s">
        <v>2768</v>
      </c>
      <c r="F778" s="152"/>
      <c r="G778">
        <f>IF(getRGB1($C778)="FFFFFF",0,1)+IF(getRGB1($D778)="FFFFFF",0,2)+IF(getRGB1($E778)="FFFFFF",0,3)+IF(getRGB1($F778)="FFFFFF",0,4)</f>
        <v>2</v>
      </c>
    </row>
    <row r="779" spans="1:7" ht="45">
      <c r="A779" t="s">
        <v>6659</v>
      </c>
      <c r="B779" s="151" t="s">
        <v>2769</v>
      </c>
      <c r="C779" s="153" t="s">
        <v>2770</v>
      </c>
      <c r="D779" s="152" t="s">
        <v>2771</v>
      </c>
      <c r="E779" s="152" t="s">
        <v>2772</v>
      </c>
      <c r="F779" s="152" t="s">
        <v>2773</v>
      </c>
      <c r="G779">
        <f>IF(getRGB1($C779)="FFFFFF",0,1)+IF(getRGB1($D779)="FFFFFF",0,2)+IF(getRGB1($E779)="FFFFFF",0,3)+IF(getRGB1($F779)="FFFFFF",0,4)</f>
        <v>1</v>
      </c>
    </row>
    <row r="780" spans="1:7">
      <c r="A780" t="s">
        <v>6659</v>
      </c>
      <c r="B780" s="151" t="s">
        <v>2774</v>
      </c>
      <c r="C780" s="152" t="s">
        <v>2775</v>
      </c>
      <c r="D780" s="152" t="s">
        <v>2776</v>
      </c>
      <c r="E780" s="153" t="s">
        <v>2777</v>
      </c>
      <c r="F780" s="152" t="s">
        <v>2778</v>
      </c>
      <c r="G780">
        <f>IF(getRGB1($C780)="FFFFFF",0,1)+IF(getRGB1($D780)="FFFFFF",0,2)+IF(getRGB1($E780)="FFFFFF",0,3)+IF(getRGB1($F780)="FFFFFF",0,4)</f>
        <v>3</v>
      </c>
    </row>
    <row r="781" spans="1:7" ht="30">
      <c r="A781" t="s">
        <v>6659</v>
      </c>
      <c r="B781" s="151" t="s">
        <v>2779</v>
      </c>
      <c r="C781" s="154">
        <v>5.0000000000000001E-3</v>
      </c>
      <c r="D781" s="154">
        <v>1.4999999999999999E-2</v>
      </c>
      <c r="E781" s="154">
        <v>1.7500000000000002E-2</v>
      </c>
      <c r="F781" s="157">
        <v>0.02</v>
      </c>
      <c r="G781">
        <f>IF(getRGB1($C781)="FFFFFF",0,1)+IF(getRGB1($D781)="FFFFFF",0,2)+IF(getRGB1($E781)="FFFFFF",0,3)+IF(getRGB1($F781)="FFFFFF",0,4)</f>
        <v>4</v>
      </c>
    </row>
    <row r="782" spans="1:7" ht="45">
      <c r="A782" t="s">
        <v>6659</v>
      </c>
      <c r="B782" s="151" t="s">
        <v>2780</v>
      </c>
      <c r="C782" s="152" t="s">
        <v>2781</v>
      </c>
      <c r="D782" s="152" t="s">
        <v>2782</v>
      </c>
      <c r="E782" s="153" t="s">
        <v>2783</v>
      </c>
      <c r="F782" s="152" t="s">
        <v>2784</v>
      </c>
      <c r="G782">
        <f>IF(getRGB1($C782)="FFFFFF",0,1)+IF(getRGB1($D782)="FFFFFF",0,2)+IF(getRGB1($E782)="FFFFFF",0,3)+IF(getRGB1($F782)="FFFFFF",0,4)</f>
        <v>3</v>
      </c>
    </row>
    <row r="783" spans="1:7" ht="30">
      <c r="A783" t="s">
        <v>6659</v>
      </c>
      <c r="B783" s="151" t="s">
        <v>2785</v>
      </c>
      <c r="C783" s="153" t="s">
        <v>2786</v>
      </c>
      <c r="D783" s="152" t="s">
        <v>2787</v>
      </c>
      <c r="E783" s="152" t="s">
        <v>2788</v>
      </c>
      <c r="F783" s="152" t="s">
        <v>328</v>
      </c>
      <c r="G783">
        <f>IF(getRGB1($C783)="FFFFFF",0,1)+IF(getRGB1($D783)="FFFFFF",0,2)+IF(getRGB1($E783)="FFFFFF",0,3)+IF(getRGB1($F783)="FFFFFF",0,4)</f>
        <v>1</v>
      </c>
    </row>
    <row r="784" spans="1:7" ht="30">
      <c r="A784" t="s">
        <v>6659</v>
      </c>
      <c r="B784" s="151" t="s">
        <v>2789</v>
      </c>
      <c r="C784" s="153" t="s">
        <v>2790</v>
      </c>
      <c r="D784" s="152" t="s">
        <v>2791</v>
      </c>
      <c r="E784" s="152" t="s">
        <v>2792</v>
      </c>
      <c r="F784" s="152" t="s">
        <v>2793</v>
      </c>
      <c r="G784">
        <f>IF(getRGB1($C784)="FFFFFF",0,1)+IF(getRGB1($D784)="FFFFFF",0,2)+IF(getRGB1($E784)="FFFFFF",0,3)+IF(getRGB1($F784)="FFFFFF",0,4)</f>
        <v>1</v>
      </c>
    </row>
    <row r="785" spans="1:7">
      <c r="A785" t="s">
        <v>6659</v>
      </c>
      <c r="B785" s="151" t="s">
        <v>2794</v>
      </c>
      <c r="C785" s="153" t="s">
        <v>2795</v>
      </c>
      <c r="D785" s="152" t="s">
        <v>2796</v>
      </c>
      <c r="E785" s="152"/>
      <c r="F785" s="152"/>
      <c r="G785">
        <f>IF(getRGB1($C785)="FFFFFF",0,1)+IF(getRGB1($D785)="FFFFFF",0,2)+IF(getRGB1($E785)="FFFFFF",0,3)+IF(getRGB1($F785)="FFFFFF",0,4)</f>
        <v>1</v>
      </c>
    </row>
    <row r="786" spans="1:7" ht="30">
      <c r="A786" t="s">
        <v>6659</v>
      </c>
      <c r="B786" s="151" t="s">
        <v>2797</v>
      </c>
      <c r="C786" s="153" t="s">
        <v>2798</v>
      </c>
      <c r="D786" s="152" t="s">
        <v>2799</v>
      </c>
      <c r="E786" s="152" t="s">
        <v>2800</v>
      </c>
      <c r="F786" s="152" t="s">
        <v>2801</v>
      </c>
      <c r="G786">
        <f>IF(getRGB1($C786)="FFFFFF",0,1)+IF(getRGB1($D786)="FFFFFF",0,2)+IF(getRGB1($E786)="FFFFFF",0,3)+IF(getRGB1($F786)="FFFFFF",0,4)</f>
        <v>1</v>
      </c>
    </row>
    <row r="787" spans="1:7" ht="30">
      <c r="A787" t="s">
        <v>6659</v>
      </c>
      <c r="B787" s="151" t="s">
        <v>2802</v>
      </c>
      <c r="C787" s="152" t="s">
        <v>2803</v>
      </c>
      <c r="D787" s="152" t="s">
        <v>2804</v>
      </c>
      <c r="E787" s="153" t="s">
        <v>2783</v>
      </c>
      <c r="F787" s="152" t="s">
        <v>328</v>
      </c>
      <c r="G787">
        <f>IF(getRGB1($C787)="FFFFFF",0,1)+IF(getRGB1($D787)="FFFFFF",0,2)+IF(getRGB1($E787)="FFFFFF",0,3)+IF(getRGB1($F787)="FFFFFF",0,4)</f>
        <v>3</v>
      </c>
    </row>
    <row r="788" spans="1:7" ht="30">
      <c r="A788" t="s">
        <v>6659</v>
      </c>
      <c r="B788" s="151" t="s">
        <v>2805</v>
      </c>
      <c r="C788" s="152" t="s">
        <v>2806</v>
      </c>
      <c r="D788" s="152" t="s">
        <v>1031</v>
      </c>
      <c r="E788" s="152" t="s">
        <v>2807</v>
      </c>
      <c r="F788" s="153" t="s">
        <v>2808</v>
      </c>
      <c r="G788">
        <f>IF(getRGB1($C788)="FFFFFF",0,1)+IF(getRGB1($D788)="FFFFFF",0,2)+IF(getRGB1($E788)="FFFFFF",0,3)+IF(getRGB1($F788)="FFFFFF",0,4)</f>
        <v>4</v>
      </c>
    </row>
    <row r="789" spans="1:7">
      <c r="A789" t="s">
        <v>6659</v>
      </c>
      <c r="B789" s="151" t="s">
        <v>2809</v>
      </c>
      <c r="C789" s="152" t="s">
        <v>2810</v>
      </c>
      <c r="D789" s="152" t="s">
        <v>2811</v>
      </c>
      <c r="E789" s="153" t="s">
        <v>2812</v>
      </c>
      <c r="F789" s="152" t="s">
        <v>328</v>
      </c>
      <c r="G789">
        <f>IF(getRGB1($C789)="FFFFFF",0,1)+IF(getRGB1($D789)="FFFFFF",0,2)+IF(getRGB1($E789)="FFFFFF",0,3)+IF(getRGB1($F789)="FFFFFF",0,4)</f>
        <v>3</v>
      </c>
    </row>
    <row r="790" spans="1:7" ht="60">
      <c r="A790" t="s">
        <v>6659</v>
      </c>
      <c r="B790" s="151" t="s">
        <v>1029</v>
      </c>
      <c r="C790" s="152" t="s">
        <v>2813</v>
      </c>
      <c r="D790" s="152" t="s">
        <v>2814</v>
      </c>
      <c r="E790" s="153" t="s">
        <v>2812</v>
      </c>
      <c r="F790" s="152" t="s">
        <v>328</v>
      </c>
      <c r="G790">
        <f>IF(getRGB1($C790)="FFFFFF",0,1)+IF(getRGB1($D790)="FFFFFF",0,2)+IF(getRGB1($E790)="FFFFFF",0,3)+IF(getRGB1($F790)="FFFFFF",0,4)</f>
        <v>3</v>
      </c>
    </row>
    <row r="791" spans="1:7" ht="45">
      <c r="A791" t="s">
        <v>6659</v>
      </c>
      <c r="B791" s="151" t="s">
        <v>2815</v>
      </c>
      <c r="C791" s="152" t="s">
        <v>2816</v>
      </c>
      <c r="D791" s="152" t="s">
        <v>2817</v>
      </c>
      <c r="E791" s="152" t="s">
        <v>2818</v>
      </c>
      <c r="F791" s="153" t="s">
        <v>2808</v>
      </c>
      <c r="G791">
        <f>IF(getRGB1($C791)="FFFFFF",0,1)+IF(getRGB1($D791)="FFFFFF",0,2)+IF(getRGB1($E791)="FFFFFF",0,3)+IF(getRGB1($F791)="FFFFFF",0,4)</f>
        <v>4</v>
      </c>
    </row>
    <row r="792" spans="1:7" ht="45">
      <c r="A792" t="s">
        <v>6659</v>
      </c>
      <c r="B792" s="151" t="s">
        <v>2819</v>
      </c>
      <c r="C792" s="153" t="s">
        <v>2820</v>
      </c>
      <c r="D792" s="152" t="s">
        <v>2821</v>
      </c>
      <c r="E792" s="152" t="s">
        <v>2822</v>
      </c>
      <c r="F792" s="152" t="s">
        <v>2823</v>
      </c>
      <c r="G792">
        <f>IF(getRGB1($C792)="FFFFFF",0,1)+IF(getRGB1($D792)="FFFFFF",0,2)+IF(getRGB1($E792)="FFFFFF",0,3)+IF(getRGB1($F792)="FFFFFF",0,4)</f>
        <v>1</v>
      </c>
    </row>
    <row r="793" spans="1:7" ht="30">
      <c r="A793" t="s">
        <v>6659</v>
      </c>
      <c r="B793" s="151" t="s">
        <v>2824</v>
      </c>
      <c r="C793" s="141">
        <v>0.06</v>
      </c>
      <c r="D793" s="140">
        <v>7.7499999999999999E-2</v>
      </c>
      <c r="E793" s="141">
        <v>6.25E-2</v>
      </c>
      <c r="F793" s="148">
        <v>5.2499999999999998E-2</v>
      </c>
      <c r="G793">
        <f>IF(getRGB1($C793)="FFFFFF",0,1)+IF(getRGB1($D793)="FFFFFF",0,2)+IF(getRGB1($E793)="FFFFFF",0,3)+IF(getRGB1($F793)="FFFFFF",0,4)</f>
        <v>2</v>
      </c>
    </row>
    <row r="794" spans="1:7" ht="30">
      <c r="A794" t="s">
        <v>6659</v>
      </c>
      <c r="B794" s="151" t="s">
        <v>2825</v>
      </c>
      <c r="C794" s="153" t="s">
        <v>2826</v>
      </c>
      <c r="D794" s="152" t="s">
        <v>2827</v>
      </c>
      <c r="E794" s="152" t="s">
        <v>2828</v>
      </c>
      <c r="F794" s="152" t="s">
        <v>2829</v>
      </c>
      <c r="G794">
        <f>IF(getRGB1($C794)="FFFFFF",0,1)+IF(getRGB1($D794)="FFFFFF",0,2)+IF(getRGB1($E794)="FFFFFF",0,3)+IF(getRGB1($F794)="FFFFFF",0,4)</f>
        <v>1</v>
      </c>
    </row>
    <row r="795" spans="1:7" ht="45">
      <c r="A795" t="s">
        <v>6659</v>
      </c>
      <c r="B795" s="151" t="s">
        <v>2830</v>
      </c>
      <c r="C795" s="157">
        <v>0.01</v>
      </c>
      <c r="D795" s="156">
        <v>0.02</v>
      </c>
      <c r="E795" s="154">
        <v>2.5000000000000001E-2</v>
      </c>
      <c r="F795" s="154">
        <v>1.4999999999999999E-2</v>
      </c>
      <c r="G795">
        <f>IF(getRGB1($C795)="FFFFFF",0,1)+IF(getRGB1($D795)="FFFFFF",0,2)+IF(getRGB1($E795)="FFFFFF",0,3)+IF(getRGB1($F795)="FFFFFF",0,4)</f>
        <v>1</v>
      </c>
    </row>
    <row r="796" spans="1:7" ht="30">
      <c r="A796" t="s">
        <v>6659</v>
      </c>
      <c r="B796" s="151" t="s">
        <v>2831</v>
      </c>
      <c r="C796" s="158">
        <v>0.01</v>
      </c>
      <c r="D796" s="158">
        <v>0.02</v>
      </c>
      <c r="E796" s="159">
        <v>2.5000000000000001E-2</v>
      </c>
      <c r="F796" s="155">
        <v>1.4999999999999999E-2</v>
      </c>
      <c r="G796">
        <f>IF(getRGB1($C796)="FFFFFF",0,1)+IF(getRGB1($D796)="FFFFFF",0,2)+IF(getRGB1($E796)="FFFFFF",0,3)+IF(getRGB1($F796)="FFFFFF",0,4)</f>
        <v>4</v>
      </c>
    </row>
    <row r="797" spans="1:7" ht="30">
      <c r="A797" t="s">
        <v>6659</v>
      </c>
      <c r="B797" s="151" t="s">
        <v>2832</v>
      </c>
      <c r="C797" s="160">
        <v>43799</v>
      </c>
      <c r="D797" s="161">
        <v>43830</v>
      </c>
      <c r="E797" s="161">
        <v>43496</v>
      </c>
      <c r="F797" s="161">
        <v>43555</v>
      </c>
      <c r="G797">
        <f>IF(getRGB1($C797)="FFFFFF",0,1)+IF(getRGB1($D797)="FFFFFF",0,2)+IF(getRGB1($E797)="FFFFFF",0,3)+IF(getRGB1($F797)="FFFFFF",0,4)</f>
        <v>1</v>
      </c>
    </row>
    <row r="798" spans="1:7" ht="30">
      <c r="A798" t="s">
        <v>6659</v>
      </c>
      <c r="B798" s="151" t="s">
        <v>2833</v>
      </c>
      <c r="C798" s="152" t="s">
        <v>2834</v>
      </c>
      <c r="D798" s="152" t="s">
        <v>2835</v>
      </c>
      <c r="E798" s="152" t="s">
        <v>2836</v>
      </c>
      <c r="F798" s="162" t="s">
        <v>1000</v>
      </c>
      <c r="G798">
        <f>IF(getRGB1($C798)="FFFFFF",0,1)+IF(getRGB1($D798)="FFFFFF",0,2)+IF(getRGB1($E798)="FFFFFF",0,3)+IF(getRGB1($F798)="FFFFFF",0,4)</f>
        <v>4</v>
      </c>
    </row>
    <row r="799" spans="1:7">
      <c r="A799" t="s">
        <v>6660</v>
      </c>
      <c r="B799" s="163" t="s">
        <v>2837</v>
      </c>
      <c r="C799" s="164" t="s">
        <v>2838</v>
      </c>
      <c r="D799" s="163" t="s">
        <v>2839</v>
      </c>
      <c r="E799" s="163" t="s">
        <v>2840</v>
      </c>
      <c r="F799" s="163" t="s">
        <v>209</v>
      </c>
      <c r="G799">
        <f>IF(getRGB1($C799)="FFFFFF",0,1)+IF(getRGB1($D799)="FFFFFF",0,2)+IF(getRGB1($E799)="FFFFFF",0,3)+IF(getRGB1($F799)="FFFFFF",0,4)</f>
        <v>1</v>
      </c>
    </row>
    <row r="800" spans="1:7">
      <c r="A800" t="s">
        <v>6660</v>
      </c>
      <c r="B800" s="163" t="s">
        <v>2841</v>
      </c>
      <c r="C800" s="163" t="s">
        <v>2842</v>
      </c>
      <c r="D800" s="164" t="s">
        <v>2843</v>
      </c>
      <c r="E800" s="163" t="s">
        <v>2844</v>
      </c>
      <c r="F800" s="163" t="s">
        <v>2845</v>
      </c>
      <c r="G800">
        <f>IF(getRGB1($C800)="FFFFFF",0,1)+IF(getRGB1($D800)="FFFFFF",0,2)+IF(getRGB1($E800)="FFFFFF",0,3)+IF(getRGB1($F800)="FFFFFF",0,4)</f>
        <v>2</v>
      </c>
    </row>
    <row r="801" spans="1:7">
      <c r="A801" t="s">
        <v>6660</v>
      </c>
      <c r="B801" s="163" t="s">
        <v>2846</v>
      </c>
      <c r="C801" s="163" t="s">
        <v>2847</v>
      </c>
      <c r="D801" s="164" t="s">
        <v>2848</v>
      </c>
      <c r="E801" s="163" t="s">
        <v>2849</v>
      </c>
      <c r="F801" s="163" t="s">
        <v>2850</v>
      </c>
      <c r="G801">
        <f>IF(getRGB1($C801)="FFFFFF",0,1)+IF(getRGB1($D801)="FFFFFF",0,2)+IF(getRGB1($E801)="FFFFFF",0,3)+IF(getRGB1($F801)="FFFFFF",0,4)</f>
        <v>2</v>
      </c>
    </row>
    <row r="802" spans="1:7">
      <c r="A802" t="s">
        <v>6660</v>
      </c>
      <c r="B802" s="163" t="s">
        <v>2851</v>
      </c>
      <c r="C802" s="163" t="s">
        <v>2852</v>
      </c>
      <c r="D802" s="165" t="s">
        <v>2853</v>
      </c>
      <c r="E802" s="164" t="s">
        <v>2854</v>
      </c>
      <c r="F802" s="163" t="s">
        <v>209</v>
      </c>
      <c r="G802">
        <f>IF(getRGB1($C802)="FFFFFF",0,1)+IF(getRGB1($D802)="FFFFFF",0,2)+IF(getRGB1($E802)="FFFFFF",0,3)+IF(getRGB1($F802)="FFFFFF",0,4)</f>
        <v>3</v>
      </c>
    </row>
    <row r="803" spans="1:7">
      <c r="A803" t="s">
        <v>6660</v>
      </c>
      <c r="B803" s="163" t="s">
        <v>2855</v>
      </c>
      <c r="C803" s="164" t="s">
        <v>2856</v>
      </c>
      <c r="D803" s="163" t="s">
        <v>2857</v>
      </c>
      <c r="E803" s="163" t="s">
        <v>2858</v>
      </c>
      <c r="F803" s="163" t="s">
        <v>2859</v>
      </c>
      <c r="G803">
        <f>IF(getRGB1($C803)="FFFFFF",0,1)+IF(getRGB1($D803)="FFFFFF",0,2)+IF(getRGB1($E803)="FFFFFF",0,3)+IF(getRGB1($F803)="FFFFFF",0,4)</f>
        <v>1</v>
      </c>
    </row>
    <row r="804" spans="1:7">
      <c r="A804" t="s">
        <v>6660</v>
      </c>
      <c r="B804" s="163" t="s">
        <v>2860</v>
      </c>
      <c r="C804" s="163" t="s">
        <v>2861</v>
      </c>
      <c r="D804" s="163" t="s">
        <v>2862</v>
      </c>
      <c r="E804" s="164" t="s">
        <v>2863</v>
      </c>
      <c r="F804" s="163" t="s">
        <v>2864</v>
      </c>
      <c r="G804">
        <f>IF(getRGB1($C804)="FFFFFF",0,1)+IF(getRGB1($D804)="FFFFFF",0,2)+IF(getRGB1($E804)="FFFFFF",0,3)+IF(getRGB1($F804)="FFFFFF",0,4)</f>
        <v>3</v>
      </c>
    </row>
    <row r="805" spans="1:7" ht="22.5">
      <c r="A805" t="s">
        <v>6660</v>
      </c>
      <c r="B805" s="163" t="s">
        <v>2865</v>
      </c>
      <c r="C805" s="163" t="s">
        <v>2866</v>
      </c>
      <c r="D805" s="164" t="s">
        <v>2867</v>
      </c>
      <c r="E805" s="163" t="s">
        <v>2868</v>
      </c>
      <c r="F805" s="163" t="s">
        <v>2869</v>
      </c>
      <c r="G805">
        <f>IF(getRGB1($C805)="FFFFFF",0,1)+IF(getRGB1($D805)="FFFFFF",0,2)+IF(getRGB1($E805)="FFFFFF",0,3)+IF(getRGB1($F805)="FFFFFF",0,4)</f>
        <v>2</v>
      </c>
    </row>
    <row r="806" spans="1:7" ht="22.5">
      <c r="A806" t="s">
        <v>6660</v>
      </c>
      <c r="B806" s="163" t="s">
        <v>2870</v>
      </c>
      <c r="C806" s="163" t="s">
        <v>2871</v>
      </c>
      <c r="D806" s="163" t="s">
        <v>2872</v>
      </c>
      <c r="E806" s="164" t="s">
        <v>2873</v>
      </c>
      <c r="F806" s="163" t="s">
        <v>61</v>
      </c>
      <c r="G806">
        <f>IF(getRGB1($C806)="FFFFFF",0,1)+IF(getRGB1($D806)="FFFFFF",0,2)+IF(getRGB1($E806)="FFFFFF",0,3)+IF(getRGB1($F806)="FFFFFF",0,4)</f>
        <v>3</v>
      </c>
    </row>
    <row r="807" spans="1:7">
      <c r="A807" t="s">
        <v>6660</v>
      </c>
      <c r="B807" s="163" t="s">
        <v>2874</v>
      </c>
      <c r="C807" s="164" t="s">
        <v>2875</v>
      </c>
      <c r="D807" s="163" t="s">
        <v>2876</v>
      </c>
      <c r="E807" s="163" t="s">
        <v>2877</v>
      </c>
      <c r="F807" s="163" t="s">
        <v>2878</v>
      </c>
      <c r="G807">
        <f>IF(getRGB1($C807)="FFFFFF",0,1)+IF(getRGB1($D807)="FFFFFF",0,2)+IF(getRGB1($E807)="FFFFFF",0,3)+IF(getRGB1($F807)="FFFFFF",0,4)</f>
        <v>1</v>
      </c>
    </row>
    <row r="808" spans="1:7">
      <c r="A808" t="s">
        <v>6660</v>
      </c>
      <c r="B808" s="163" t="s">
        <v>2879</v>
      </c>
      <c r="C808" s="163" t="s">
        <v>179</v>
      </c>
      <c r="D808" s="163" t="s">
        <v>2880</v>
      </c>
      <c r="E808" s="164" t="s">
        <v>73</v>
      </c>
      <c r="F808" s="163" t="s">
        <v>137</v>
      </c>
      <c r="G808">
        <f>IF(getRGB1($C808)="FFFFFF",0,1)+IF(getRGB1($D808)="FFFFFF",0,2)+IF(getRGB1($E808)="FFFFFF",0,3)+IF(getRGB1($F808)="FFFFFF",0,4)</f>
        <v>3</v>
      </c>
    </row>
    <row r="809" spans="1:7">
      <c r="A809" t="s">
        <v>6660</v>
      </c>
      <c r="B809" s="163" t="s">
        <v>2881</v>
      </c>
      <c r="C809" s="164" t="s">
        <v>570</v>
      </c>
      <c r="D809" s="163" t="s">
        <v>2882</v>
      </c>
      <c r="E809" s="163" t="s">
        <v>451</v>
      </c>
      <c r="F809" s="163" t="s">
        <v>1490</v>
      </c>
      <c r="G809">
        <f>IF(getRGB1($C809)="FFFFFF",0,1)+IF(getRGB1($D809)="FFFFFF",0,2)+IF(getRGB1($E809)="FFFFFF",0,3)+IF(getRGB1($F809)="FFFFFF",0,4)</f>
        <v>1</v>
      </c>
    </row>
    <row r="810" spans="1:7">
      <c r="A810" t="s">
        <v>6660</v>
      </c>
      <c r="B810" s="163" t="s">
        <v>2883</v>
      </c>
      <c r="C810" s="163" t="s">
        <v>2884</v>
      </c>
      <c r="D810" s="163" t="s">
        <v>2885</v>
      </c>
      <c r="E810" s="164" t="s">
        <v>2886</v>
      </c>
      <c r="F810" s="163" t="s">
        <v>2887</v>
      </c>
      <c r="G810">
        <f>IF(getRGB1($C810)="FFFFFF",0,1)+IF(getRGB1($D810)="FFFFFF",0,2)+IF(getRGB1($E810)="FFFFFF",0,3)+IF(getRGB1($F810)="FFFFFF",0,4)</f>
        <v>3</v>
      </c>
    </row>
    <row r="811" spans="1:7">
      <c r="A811" t="s">
        <v>6660</v>
      </c>
      <c r="B811" s="163" t="s">
        <v>2888</v>
      </c>
      <c r="C811" s="163" t="s">
        <v>2889</v>
      </c>
      <c r="D811" s="163" t="s">
        <v>2890</v>
      </c>
      <c r="E811" s="164" t="s">
        <v>2891</v>
      </c>
      <c r="F811" s="163" t="s">
        <v>2892</v>
      </c>
      <c r="G811">
        <f>IF(getRGB1($C811)="FFFFFF",0,1)+IF(getRGB1($D811)="FFFFFF",0,2)+IF(getRGB1($E811)="FFFFFF",0,3)+IF(getRGB1($F811)="FFFFFF",0,4)</f>
        <v>3</v>
      </c>
    </row>
    <row r="812" spans="1:7">
      <c r="A812" t="s">
        <v>6660</v>
      </c>
      <c r="B812" s="163" t="s">
        <v>2893</v>
      </c>
      <c r="C812" s="165" t="s">
        <v>2894</v>
      </c>
      <c r="D812" s="164" t="s">
        <v>2895</v>
      </c>
      <c r="E812" s="163" t="s">
        <v>2844</v>
      </c>
      <c r="F812" s="163" t="s">
        <v>2896</v>
      </c>
      <c r="G812">
        <f>IF(getRGB1($C812)="FFFFFF",0,1)+IF(getRGB1($D812)="FFFFFF",0,2)+IF(getRGB1($E812)="FFFFFF",0,3)+IF(getRGB1($F812)="FFFFFF",0,4)</f>
        <v>2</v>
      </c>
    </row>
    <row r="813" spans="1:7">
      <c r="A813" t="s">
        <v>6660</v>
      </c>
      <c r="B813" s="163" t="s">
        <v>2897</v>
      </c>
      <c r="C813" s="164" t="s">
        <v>2898</v>
      </c>
      <c r="D813" s="163" t="s">
        <v>2899</v>
      </c>
      <c r="E813" s="163" t="s">
        <v>2900</v>
      </c>
      <c r="F813" s="163" t="s">
        <v>2901</v>
      </c>
      <c r="G813">
        <f>IF(getRGB1($C813)="FFFFFF",0,1)+IF(getRGB1($D813)="FFFFFF",0,2)+IF(getRGB1($E813)="FFFFFF",0,3)+IF(getRGB1($F813)="FFFFFF",0,4)</f>
        <v>1</v>
      </c>
    </row>
    <row r="814" spans="1:7">
      <c r="A814" t="s">
        <v>6660</v>
      </c>
      <c r="B814" s="163" t="s">
        <v>2902</v>
      </c>
      <c r="C814" s="164" t="s">
        <v>2903</v>
      </c>
      <c r="D814" s="163" t="s">
        <v>2904</v>
      </c>
      <c r="E814" s="163" t="s">
        <v>2905</v>
      </c>
      <c r="F814" s="163" t="s">
        <v>2906</v>
      </c>
      <c r="G814">
        <f>IF(getRGB1($C814)="FFFFFF",0,1)+IF(getRGB1($D814)="FFFFFF",0,2)+IF(getRGB1($E814)="FFFFFF",0,3)+IF(getRGB1($F814)="FFFFFF",0,4)</f>
        <v>1</v>
      </c>
    </row>
    <row r="815" spans="1:7">
      <c r="A815" t="s">
        <v>6660</v>
      </c>
      <c r="B815" s="163" t="s">
        <v>2907</v>
      </c>
      <c r="C815" s="164" t="s">
        <v>2908</v>
      </c>
      <c r="D815" s="165" t="s">
        <v>2909</v>
      </c>
      <c r="E815" s="165" t="s">
        <v>2910</v>
      </c>
      <c r="F815" s="163" t="s">
        <v>61</v>
      </c>
      <c r="G815">
        <f>IF(getRGB1($C815)="FFFFFF",0,1)+IF(getRGB1($D815)="FFFFFF",0,2)+IF(getRGB1($E815)="FFFFFF",0,3)+IF(getRGB1($F815)="FFFFFF",0,4)</f>
        <v>1</v>
      </c>
    </row>
    <row r="816" spans="1:7" ht="22.5">
      <c r="A816" t="s">
        <v>6660</v>
      </c>
      <c r="B816" s="163" t="s">
        <v>2911</v>
      </c>
      <c r="C816" s="164" t="s">
        <v>2912</v>
      </c>
      <c r="D816" s="163" t="s">
        <v>2913</v>
      </c>
      <c r="E816" s="163" t="s">
        <v>2914</v>
      </c>
      <c r="F816" s="163" t="s">
        <v>2915</v>
      </c>
      <c r="G816">
        <f>IF(getRGB1($C816)="FFFFFF",0,1)+IF(getRGB1($D816)="FFFFFF",0,2)+IF(getRGB1($E816)="FFFFFF",0,3)+IF(getRGB1($F816)="FFFFFF",0,4)</f>
        <v>1</v>
      </c>
    </row>
    <row r="817" spans="1:7">
      <c r="A817" t="s">
        <v>6660</v>
      </c>
      <c r="B817" s="163" t="s">
        <v>2916</v>
      </c>
      <c r="C817" s="164" t="s">
        <v>2917</v>
      </c>
      <c r="D817" s="163" t="s">
        <v>2918</v>
      </c>
      <c r="E817" s="163" t="s">
        <v>2919</v>
      </c>
      <c r="F817" s="163" t="s">
        <v>61</v>
      </c>
      <c r="G817">
        <f>IF(getRGB1($C817)="FFFFFF",0,1)+IF(getRGB1($D817)="FFFFFF",0,2)+IF(getRGB1($E817)="FFFFFF",0,3)+IF(getRGB1($F817)="FFFFFF",0,4)</f>
        <v>1</v>
      </c>
    </row>
    <row r="818" spans="1:7">
      <c r="A818" t="s">
        <v>6660</v>
      </c>
      <c r="B818" s="163" t="s">
        <v>2920</v>
      </c>
      <c r="C818" s="164" t="s">
        <v>2921</v>
      </c>
      <c r="D818" s="163" t="s">
        <v>2922</v>
      </c>
      <c r="E818" s="163" t="s">
        <v>2923</v>
      </c>
      <c r="F818" s="163" t="s">
        <v>2924</v>
      </c>
      <c r="G818">
        <f>IF(getRGB1($C818)="FFFFFF",0,1)+IF(getRGB1($D818)="FFFFFF",0,2)+IF(getRGB1($E818)="FFFFFF",0,3)+IF(getRGB1($F818)="FFFFFF",0,4)</f>
        <v>1</v>
      </c>
    </row>
    <row r="819" spans="1:7" ht="22.5">
      <c r="A819" t="s">
        <v>6660</v>
      </c>
      <c r="B819" s="163" t="s">
        <v>2925</v>
      </c>
      <c r="C819" s="163" t="s">
        <v>2926</v>
      </c>
      <c r="D819" s="163" t="s">
        <v>2927</v>
      </c>
      <c r="E819" s="164" t="s">
        <v>2928</v>
      </c>
      <c r="F819" s="163" t="s">
        <v>2929</v>
      </c>
      <c r="G819">
        <f>IF(getRGB1($C819)="FFFFFF",0,1)+IF(getRGB1($D819)="FFFFFF",0,2)+IF(getRGB1($E819)="FFFFFF",0,3)+IF(getRGB1($F819)="FFFFFF",0,4)</f>
        <v>3</v>
      </c>
    </row>
    <row r="820" spans="1:7">
      <c r="A820" t="s">
        <v>6660</v>
      </c>
      <c r="B820" s="163" t="s">
        <v>2930</v>
      </c>
      <c r="C820" s="164" t="s">
        <v>2931</v>
      </c>
      <c r="D820" s="163" t="s">
        <v>2932</v>
      </c>
      <c r="E820" s="163" t="s">
        <v>2933</v>
      </c>
      <c r="F820" s="163" t="s">
        <v>2934</v>
      </c>
      <c r="G820">
        <f>IF(getRGB1($C820)="FFFFFF",0,1)+IF(getRGB1($D820)="FFFFFF",0,2)+IF(getRGB1($E820)="FFFFFF",0,3)+IF(getRGB1($F820)="FFFFFF",0,4)</f>
        <v>1</v>
      </c>
    </row>
    <row r="821" spans="1:7">
      <c r="A821" t="s">
        <v>6660</v>
      </c>
      <c r="B821" s="163" t="s">
        <v>2935</v>
      </c>
      <c r="C821" s="164" t="s">
        <v>2936</v>
      </c>
      <c r="D821" s="163" t="s">
        <v>2937</v>
      </c>
      <c r="E821" s="163" t="s">
        <v>2938</v>
      </c>
      <c r="F821" s="163" t="s">
        <v>2939</v>
      </c>
      <c r="G821">
        <f>IF(getRGB1($C821)="FFFFFF",0,1)+IF(getRGB1($D821)="FFFFFF",0,2)+IF(getRGB1($E821)="FFFFFF",0,3)+IF(getRGB1($F821)="FFFFFF",0,4)</f>
        <v>1</v>
      </c>
    </row>
    <row r="822" spans="1:7" ht="22.5">
      <c r="A822" t="s">
        <v>6660</v>
      </c>
      <c r="B822" s="163" t="s">
        <v>2940</v>
      </c>
      <c r="C822" s="163" t="s">
        <v>2941</v>
      </c>
      <c r="D822" s="164" t="s">
        <v>2942</v>
      </c>
      <c r="E822" s="163" t="s">
        <v>2943</v>
      </c>
      <c r="F822" s="163" t="s">
        <v>2944</v>
      </c>
      <c r="G822">
        <f>IF(getRGB1($C822)="FFFFFF",0,1)+IF(getRGB1($D822)="FFFFFF",0,2)+IF(getRGB1($E822)="FFFFFF",0,3)+IF(getRGB1($F822)="FFFFFF",0,4)</f>
        <v>2</v>
      </c>
    </row>
    <row r="823" spans="1:7">
      <c r="A823" t="s">
        <v>6660</v>
      </c>
      <c r="B823" s="163" t="s">
        <v>2945</v>
      </c>
      <c r="C823" s="163" t="s">
        <v>2946</v>
      </c>
      <c r="D823" s="163" t="s">
        <v>2947</v>
      </c>
      <c r="E823" s="164" t="s">
        <v>2948</v>
      </c>
      <c r="F823" s="163" t="s">
        <v>209</v>
      </c>
      <c r="G823">
        <f>IF(getRGB1($C823)="FFFFFF",0,1)+IF(getRGB1($D823)="FFFFFF",0,2)+IF(getRGB1($E823)="FFFFFF",0,3)+IF(getRGB1($F823)="FFFFFF",0,4)</f>
        <v>3</v>
      </c>
    </row>
    <row r="824" spans="1:7">
      <c r="A824" t="s">
        <v>6660</v>
      </c>
      <c r="B824" s="163" t="s">
        <v>2949</v>
      </c>
      <c r="C824" s="164" t="s">
        <v>2950</v>
      </c>
      <c r="D824" s="163" t="s">
        <v>2951</v>
      </c>
      <c r="E824" s="163" t="s">
        <v>1915</v>
      </c>
      <c r="F824" s="165" t="s">
        <v>2952</v>
      </c>
      <c r="G824">
        <f>IF(getRGB1($C824)="FFFFFF",0,1)+IF(getRGB1($D824)="FFFFFF",0,2)+IF(getRGB1($E824)="FFFFFF",0,3)+IF(getRGB1($F824)="FFFFFF",0,4)</f>
        <v>1</v>
      </c>
    </row>
    <row r="825" spans="1:7">
      <c r="A825" t="s">
        <v>6660</v>
      </c>
      <c r="B825" s="163" t="s">
        <v>2953</v>
      </c>
      <c r="C825" s="163" t="s">
        <v>2954</v>
      </c>
      <c r="D825" s="163" t="s">
        <v>2955</v>
      </c>
      <c r="E825" s="163" t="s">
        <v>2956</v>
      </c>
      <c r="F825" s="164" t="s">
        <v>1744</v>
      </c>
      <c r="G825">
        <f>IF(getRGB1($C825)="FFFFFF",0,1)+IF(getRGB1($D825)="FFFFFF",0,2)+IF(getRGB1($E825)="FFFFFF",0,3)+IF(getRGB1($F825)="FFFFFF",0,4)</f>
        <v>4</v>
      </c>
    </row>
    <row r="826" spans="1:7">
      <c r="A826" t="s">
        <v>6660</v>
      </c>
      <c r="B826" s="166" t="s">
        <v>2957</v>
      </c>
      <c r="C826" s="167" t="s">
        <v>2958</v>
      </c>
      <c r="D826" s="168" t="s">
        <v>2959</v>
      </c>
      <c r="E826" s="168" t="s">
        <v>328</v>
      </c>
      <c r="F826" s="168" t="s">
        <v>2960</v>
      </c>
      <c r="G826">
        <f>IF(getRGB1($C826)="FFFFFF",0,1)+IF(getRGB1($D826)="FFFFFF",0,2)+IF(getRGB1($E826)="FFFFFF",0,3)+IF(getRGB1($F826)="FFFFFF",0,4)</f>
        <v>1</v>
      </c>
    </row>
    <row r="827" spans="1:7">
      <c r="A827" t="s">
        <v>6660</v>
      </c>
      <c r="B827" s="169" t="s">
        <v>2961</v>
      </c>
      <c r="C827" s="170" t="s">
        <v>1805</v>
      </c>
      <c r="D827" s="170" t="s">
        <v>993</v>
      </c>
      <c r="E827" s="171" t="s">
        <v>995</v>
      </c>
      <c r="F827" s="170" t="s">
        <v>2279</v>
      </c>
      <c r="G827">
        <f>IF(getRGB1($C827)="FFFFFF",0,1)+IF(getRGB1($D827)="FFFFFF",0,2)+IF(getRGB1($E827)="FFFFFF",0,3)+IF(getRGB1($F827)="FFFFFF",0,4)</f>
        <v>3</v>
      </c>
    </row>
    <row r="828" spans="1:7">
      <c r="A828" t="s">
        <v>6660</v>
      </c>
      <c r="B828" s="169" t="s">
        <v>2962</v>
      </c>
      <c r="C828" s="171" t="s">
        <v>2963</v>
      </c>
      <c r="D828" s="170" t="s">
        <v>2964</v>
      </c>
      <c r="E828" s="170" t="s">
        <v>2965</v>
      </c>
      <c r="F828" s="170" t="s">
        <v>2966</v>
      </c>
      <c r="G828">
        <f>IF(getRGB1($C828)="FFFFFF",0,1)+IF(getRGB1($D828)="FFFFFF",0,2)+IF(getRGB1($E828)="FFFFFF",0,3)+IF(getRGB1($F828)="FFFFFF",0,4)</f>
        <v>1</v>
      </c>
    </row>
    <row r="829" spans="1:7">
      <c r="A829" t="s">
        <v>6660</v>
      </c>
      <c r="B829" s="169" t="s">
        <v>2967</v>
      </c>
      <c r="C829" s="169" t="s">
        <v>2968</v>
      </c>
      <c r="D829" s="169" t="s">
        <v>2969</v>
      </c>
      <c r="E829" s="172" t="s">
        <v>2970</v>
      </c>
      <c r="F829" s="169" t="s">
        <v>2971</v>
      </c>
      <c r="G829">
        <f>IF(getRGB1($C829)="FFFFFF",0,1)+IF(getRGB1($D829)="FFFFFF",0,2)+IF(getRGB1($E829)="FFFFFF",0,3)+IF(getRGB1($F829)="FFFFFF",0,4)</f>
        <v>3</v>
      </c>
    </row>
    <row r="830" spans="1:7">
      <c r="A830" t="s">
        <v>6660</v>
      </c>
      <c r="B830" s="169" t="s">
        <v>2972</v>
      </c>
      <c r="C830" s="173">
        <v>1E-3</v>
      </c>
      <c r="D830" s="173">
        <v>2E-3</v>
      </c>
      <c r="E830" s="174">
        <v>5.0000000000000001E-3</v>
      </c>
      <c r="F830" s="173">
        <v>0.01</v>
      </c>
      <c r="G830">
        <f>IF(getRGB1($C830)="FFFFFF",0,1)+IF(getRGB1($D830)="FFFFFF",0,2)+IF(getRGB1($E830)="FFFFFF",0,3)+IF(getRGB1($F830)="FFFFFF",0,4)</f>
        <v>3</v>
      </c>
    </row>
    <row r="831" spans="1:7" ht="24.75">
      <c r="A831" t="s">
        <v>6660</v>
      </c>
      <c r="B831" s="169" t="s">
        <v>2973</v>
      </c>
      <c r="C831" s="170" t="s">
        <v>452</v>
      </c>
      <c r="D831" s="171" t="s">
        <v>451</v>
      </c>
      <c r="E831" s="170" t="s">
        <v>2974</v>
      </c>
      <c r="F831" s="170" t="s">
        <v>205</v>
      </c>
      <c r="G831">
        <f>IF(getRGB1($C831)="FFFFFF",0,1)+IF(getRGB1($D831)="FFFFFF",0,2)+IF(getRGB1($E831)="FFFFFF",0,3)+IF(getRGB1($F831)="FFFFFF",0,4)</f>
        <v>2</v>
      </c>
    </row>
    <row r="832" spans="1:7" ht="24.75">
      <c r="A832" t="s">
        <v>6660</v>
      </c>
      <c r="B832" s="169" t="s">
        <v>2975</v>
      </c>
      <c r="C832" s="170" t="s">
        <v>2976</v>
      </c>
      <c r="D832" s="171" t="s">
        <v>2977</v>
      </c>
      <c r="E832" s="170" t="s">
        <v>2978</v>
      </c>
      <c r="F832" s="170" t="s">
        <v>2979</v>
      </c>
      <c r="G832">
        <f>IF(getRGB1($C832)="FFFFFF",0,1)+IF(getRGB1($D832)="FFFFFF",0,2)+IF(getRGB1($E832)="FFFFFF",0,3)+IF(getRGB1($F832)="FFFFFF",0,4)</f>
        <v>2</v>
      </c>
    </row>
    <row r="833" spans="1:7" ht="36.75">
      <c r="A833" t="s">
        <v>6660</v>
      </c>
      <c r="B833" s="169" t="s">
        <v>2980</v>
      </c>
      <c r="C833" s="170" t="s">
        <v>2981</v>
      </c>
      <c r="D833" s="171" t="s">
        <v>2982</v>
      </c>
      <c r="E833" s="170" t="s">
        <v>2983</v>
      </c>
      <c r="F833" s="170" t="s">
        <v>2984</v>
      </c>
      <c r="G833">
        <f>IF(getRGB1($C833)="FFFFFF",0,1)+IF(getRGB1($D833)="FFFFFF",0,2)+IF(getRGB1($E833)="FFFFFF",0,3)+IF(getRGB1($F833)="FFFFFF",0,4)</f>
        <v>2</v>
      </c>
    </row>
    <row r="834" spans="1:7" ht="24.75">
      <c r="A834" t="s">
        <v>6660</v>
      </c>
      <c r="B834" s="169" t="s">
        <v>2985</v>
      </c>
      <c r="C834" s="169" t="s">
        <v>2986</v>
      </c>
      <c r="D834" s="169" t="s">
        <v>2987</v>
      </c>
      <c r="E834" s="169" t="s">
        <v>2988</v>
      </c>
      <c r="F834" s="172" t="s">
        <v>2989</v>
      </c>
      <c r="G834">
        <f>IF(getRGB1($C834)="FFFFFF",0,1)+IF(getRGB1($D834)="FFFFFF",0,2)+IF(getRGB1($E834)="FFFFFF",0,3)+IF(getRGB1($F834)="FFFFFF",0,4)</f>
        <v>4</v>
      </c>
    </row>
    <row r="835" spans="1:7" ht="25.5">
      <c r="A835" t="s">
        <v>6661</v>
      </c>
      <c r="B835" s="175" t="s">
        <v>2991</v>
      </c>
      <c r="C835" s="176" t="s">
        <v>2992</v>
      </c>
      <c r="D835" s="177" t="s">
        <v>2993</v>
      </c>
      <c r="E835" s="177" t="s">
        <v>2994</v>
      </c>
      <c r="F835" s="177" t="s">
        <v>2995</v>
      </c>
      <c r="G835">
        <f>IF(getRGB1($C835)="FFFFFF",0,1)+IF(getRGB1($D835)="FFFFFF",0,2)+IF(getRGB1($E835)="FFFFFF",0,3)+IF(getRGB1($F835)="FFFFFF",0,4)</f>
        <v>1</v>
      </c>
    </row>
    <row r="836" spans="1:7" ht="76.5">
      <c r="A836" t="s">
        <v>6661</v>
      </c>
      <c r="B836" s="175" t="s">
        <v>2996</v>
      </c>
      <c r="C836" s="175" t="s">
        <v>2997</v>
      </c>
      <c r="D836" s="175" t="s">
        <v>2998</v>
      </c>
      <c r="E836" s="175" t="s">
        <v>2999</v>
      </c>
      <c r="F836" s="176" t="s">
        <v>3000</v>
      </c>
      <c r="G836">
        <f>IF(getRGB1($C836)="FFFFFF",0,1)+IF(getRGB1($D836)="FFFFFF",0,2)+IF(getRGB1($E836)="FFFFFF",0,3)+IF(getRGB1($F836)="FFFFFF",0,4)</f>
        <v>4</v>
      </c>
    </row>
    <row r="837" spans="1:7" ht="38.25">
      <c r="A837" t="s">
        <v>6661</v>
      </c>
      <c r="B837" s="175" t="s">
        <v>3001</v>
      </c>
      <c r="C837" s="178" t="s">
        <v>3002</v>
      </c>
      <c r="D837" s="176" t="s">
        <v>3003</v>
      </c>
      <c r="E837" s="178" t="s">
        <v>3004</v>
      </c>
      <c r="F837" s="178" t="s">
        <v>3005</v>
      </c>
      <c r="G837">
        <f>IF(getRGB1($C837)="FFFFFF",0,1)+IF(getRGB1($D837)="FFFFFF",0,2)+IF(getRGB1($E837)="FFFFFF",0,3)+IF(getRGB1($F837)="FFFFFF",0,4)</f>
        <v>2</v>
      </c>
    </row>
    <row r="838" spans="1:7" ht="25.5">
      <c r="A838" t="s">
        <v>6661</v>
      </c>
      <c r="B838" s="175" t="s">
        <v>3006</v>
      </c>
      <c r="C838" s="175" t="s">
        <v>1206</v>
      </c>
      <c r="D838" s="176" t="s">
        <v>3007</v>
      </c>
      <c r="E838" s="175" t="s">
        <v>3008</v>
      </c>
      <c r="F838" s="175" t="s">
        <v>3009</v>
      </c>
      <c r="G838">
        <f>IF(getRGB1($C838)="FFFFFF",0,1)+IF(getRGB1($D838)="FFFFFF",0,2)+IF(getRGB1($E838)="FFFFFF",0,3)+IF(getRGB1($F838)="FFFFFF",0,4)</f>
        <v>2</v>
      </c>
    </row>
    <row r="839" spans="1:7">
      <c r="A839" t="s">
        <v>6661</v>
      </c>
      <c r="B839" s="175" t="s">
        <v>3010</v>
      </c>
      <c r="C839" s="176" t="s">
        <v>1206</v>
      </c>
      <c r="D839" s="175" t="s">
        <v>3011</v>
      </c>
      <c r="E839" s="175" t="s">
        <v>3012</v>
      </c>
      <c r="F839" s="175" t="s">
        <v>3013</v>
      </c>
      <c r="G839">
        <f>IF(getRGB1($C839)="FFFFFF",0,1)+IF(getRGB1($D839)="FFFFFF",0,2)+IF(getRGB1($E839)="FFFFFF",0,3)+IF(getRGB1($F839)="FFFFFF",0,4)</f>
        <v>1</v>
      </c>
    </row>
    <row r="840" spans="1:7" ht="25.5">
      <c r="A840" t="s">
        <v>6661</v>
      </c>
      <c r="B840" s="175" t="s">
        <v>3014</v>
      </c>
      <c r="C840" s="176" t="s">
        <v>1206</v>
      </c>
      <c r="D840" s="175" t="s">
        <v>3015</v>
      </c>
      <c r="E840" s="175" t="s">
        <v>3008</v>
      </c>
      <c r="F840" s="175" t="s">
        <v>3009</v>
      </c>
      <c r="G840">
        <f>IF(getRGB1($C840)="FFFFFF",0,1)+IF(getRGB1($D840)="FFFFFF",0,2)+IF(getRGB1($E840)="FFFFFF",0,3)+IF(getRGB1($F840)="FFFFFF",0,4)</f>
        <v>1</v>
      </c>
    </row>
    <row r="841" spans="1:7">
      <c r="A841" t="s">
        <v>6661</v>
      </c>
      <c r="B841" s="175" t="s">
        <v>3016</v>
      </c>
      <c r="C841" s="175" t="s">
        <v>1059</v>
      </c>
      <c r="D841" s="176" t="s">
        <v>3017</v>
      </c>
      <c r="E841" s="175" t="s">
        <v>74</v>
      </c>
      <c r="F841" s="175" t="s">
        <v>1206</v>
      </c>
      <c r="G841">
        <f>IF(getRGB1($C841)="FFFFFF",0,1)+IF(getRGB1($D841)="FFFFFF",0,2)+IF(getRGB1($E841)="FFFFFF",0,3)+IF(getRGB1($F841)="FFFFFF",0,4)</f>
        <v>2</v>
      </c>
    </row>
    <row r="842" spans="1:7">
      <c r="A842" t="s">
        <v>6661</v>
      </c>
      <c r="B842" s="175" t="s">
        <v>3018</v>
      </c>
      <c r="C842" s="179" t="s">
        <v>3019</v>
      </c>
      <c r="D842" s="106" t="s">
        <v>3020</v>
      </c>
      <c r="E842" s="176" t="s">
        <v>1230</v>
      </c>
      <c r="F842" s="175" t="s">
        <v>3013</v>
      </c>
      <c r="G842">
        <f>IF(getRGB1($C842)="FFFFFF",0,1)+IF(getRGB1($D842)="FFFFFF",0,2)+IF(getRGB1($E842)="FFFFFF",0,3)+IF(getRGB1($F842)="FFFFFF",0,4)</f>
        <v>3</v>
      </c>
    </row>
    <row r="843" spans="1:7">
      <c r="A843" t="s">
        <v>6661</v>
      </c>
      <c r="B843" s="175" t="s">
        <v>3021</v>
      </c>
      <c r="C843" s="175" t="s">
        <v>1059</v>
      </c>
      <c r="D843" s="176" t="s">
        <v>3017</v>
      </c>
      <c r="E843" s="175" t="s">
        <v>74</v>
      </c>
      <c r="F843" s="175" t="s">
        <v>1206</v>
      </c>
      <c r="G843">
        <f>IF(getRGB1($C843)="FFFFFF",0,1)+IF(getRGB1($D843)="FFFFFF",0,2)+IF(getRGB1($E843)="FFFFFF",0,3)+IF(getRGB1($F843)="FFFFFF",0,4)</f>
        <v>2</v>
      </c>
    </row>
    <row r="844" spans="1:7" ht="25.5">
      <c r="A844" t="s">
        <v>6661</v>
      </c>
      <c r="B844" s="175" t="s">
        <v>3022</v>
      </c>
      <c r="C844" s="180" t="s">
        <v>3023</v>
      </c>
      <c r="D844" s="179" t="s">
        <v>3019</v>
      </c>
      <c r="E844" s="106" t="s">
        <v>3020</v>
      </c>
      <c r="F844" s="175" t="s">
        <v>3013</v>
      </c>
      <c r="G844">
        <f>IF(getRGB1($C844)="FFFFFF",0,1)+IF(getRGB1($D844)="FFFFFF",0,2)+IF(getRGB1($E844)="FFFFFF",0,3)+IF(getRGB1($F844)="FFFFFF",0,4)</f>
        <v>1</v>
      </c>
    </row>
    <row r="845" spans="1:7">
      <c r="A845" t="s">
        <v>6661</v>
      </c>
      <c r="B845" s="175" t="s">
        <v>3024</v>
      </c>
      <c r="C845" s="181" t="s">
        <v>44</v>
      </c>
      <c r="D845" s="181" t="s">
        <v>3025</v>
      </c>
      <c r="E845" s="99" t="s">
        <v>45</v>
      </c>
      <c r="F845" s="100" t="s">
        <v>46</v>
      </c>
      <c r="G845">
        <f>IF(getRGB1($C845)="FFFFFF",0,1)+IF(getRGB1($D845)="FFFFFF",0,2)+IF(getRGB1($E845)="FFFFFF",0,3)+IF(getRGB1($F845)="FFFFFF",0,4)</f>
        <v>3</v>
      </c>
    </row>
    <row r="846" spans="1:7">
      <c r="A846" t="s">
        <v>6661</v>
      </c>
      <c r="B846" s="175" t="s">
        <v>3026</v>
      </c>
      <c r="C846" s="108" t="s">
        <v>3027</v>
      </c>
      <c r="D846" s="108" t="s">
        <v>3028</v>
      </c>
      <c r="E846" s="111" t="s">
        <v>3029</v>
      </c>
      <c r="F846" s="108" t="s">
        <v>61</v>
      </c>
      <c r="G846">
        <f>IF(getRGB1($C846)="FFFFFF",0,1)+IF(getRGB1($D846)="FFFFFF",0,2)+IF(getRGB1($E846)="FFFFFF",0,3)+IF(getRGB1($F846)="FFFFFF",0,4)</f>
        <v>3</v>
      </c>
    </row>
    <row r="847" spans="1:7" ht="30">
      <c r="A847" t="s">
        <v>6661</v>
      </c>
      <c r="B847" s="175" t="s">
        <v>3030</v>
      </c>
      <c r="C847" s="109" t="s">
        <v>3031</v>
      </c>
      <c r="D847" s="106" t="s">
        <v>3032</v>
      </c>
      <c r="E847" s="106" t="s">
        <v>3033</v>
      </c>
      <c r="F847" s="180" t="s">
        <v>1000</v>
      </c>
      <c r="G847">
        <f>IF(getRGB1($C847)="FFFFFF",0,1)+IF(getRGB1($D847)="FFFFFF",0,2)+IF(getRGB1($E847)="FFFFFF",0,3)+IF(getRGB1($F847)="FFFFFF",0,4)</f>
        <v>4</v>
      </c>
    </row>
    <row r="848" spans="1:7">
      <c r="A848" t="s">
        <v>6661</v>
      </c>
      <c r="B848" s="175" t="s">
        <v>3034</v>
      </c>
      <c r="C848" s="108" t="b">
        <v>1</v>
      </c>
      <c r="D848" s="111" t="b">
        <v>0</v>
      </c>
      <c r="E848" s="108"/>
      <c r="F848" s="108"/>
      <c r="G848">
        <f>IF(getRGB1($C848)="FFFFFF",0,1)+IF(getRGB1($D848)="FFFFFF",0,2)+IF(getRGB1($E848)="FFFFFF",0,3)+IF(getRGB1($F848)="FFFFFF",0,4)</f>
        <v>2</v>
      </c>
    </row>
    <row r="849" spans="1:7">
      <c r="A849" t="s">
        <v>6661</v>
      </c>
      <c r="B849" s="175" t="s">
        <v>3035</v>
      </c>
      <c r="C849" s="108" t="s">
        <v>3036</v>
      </c>
      <c r="D849" s="111" t="s">
        <v>3037</v>
      </c>
      <c r="E849" s="108" t="s">
        <v>3038</v>
      </c>
      <c r="F849" s="108" t="s">
        <v>3039</v>
      </c>
      <c r="G849">
        <f>IF(getRGB1($C849)="FFFFFF",0,1)+IF(getRGB1($D849)="FFFFFF",0,2)+IF(getRGB1($E849)="FFFFFF",0,3)+IF(getRGB1($F849)="FFFFFF",0,4)</f>
        <v>2</v>
      </c>
    </row>
    <row r="850" spans="1:7">
      <c r="A850" t="s">
        <v>6661</v>
      </c>
      <c r="B850" s="175" t="s">
        <v>3040</v>
      </c>
      <c r="C850" s="108" t="s">
        <v>3036</v>
      </c>
      <c r="D850" s="108" t="s">
        <v>3037</v>
      </c>
      <c r="E850" s="108" t="s">
        <v>3038</v>
      </c>
      <c r="F850" s="111" t="s">
        <v>3039</v>
      </c>
      <c r="G850">
        <f>IF(getRGB1($C850)="FFFFFF",0,1)+IF(getRGB1($D850)="FFFFFF",0,2)+IF(getRGB1($E850)="FFFFFF",0,3)+IF(getRGB1($F850)="FFFFFF",0,4)</f>
        <v>4</v>
      </c>
    </row>
    <row r="851" spans="1:7">
      <c r="A851" t="s">
        <v>6661</v>
      </c>
      <c r="B851" s="175" t="s">
        <v>3041</v>
      </c>
      <c r="C851" s="111" t="s">
        <v>3036</v>
      </c>
      <c r="D851" s="108" t="s">
        <v>3037</v>
      </c>
      <c r="E851" s="108" t="s">
        <v>3038</v>
      </c>
      <c r="F851" s="108" t="s">
        <v>3039</v>
      </c>
      <c r="G851">
        <f>IF(getRGB1($C851)="FFFFFF",0,1)+IF(getRGB1($D851)="FFFFFF",0,2)+IF(getRGB1($E851)="FFFFFF",0,3)+IF(getRGB1($F851)="FFFFFF",0,4)</f>
        <v>1</v>
      </c>
    </row>
    <row r="852" spans="1:7" ht="30">
      <c r="A852" t="s">
        <v>6661</v>
      </c>
      <c r="B852" s="175" t="s">
        <v>3042</v>
      </c>
      <c r="C852" s="107" t="s">
        <v>3043</v>
      </c>
      <c r="D852" s="108" t="s">
        <v>3044</v>
      </c>
      <c r="E852" s="108" t="s">
        <v>3045</v>
      </c>
      <c r="F852" s="108" t="s">
        <v>3046</v>
      </c>
      <c r="G852">
        <f>IF(getRGB1($C852)="FFFFFF",0,1)+IF(getRGB1($D852)="FFFFFF",0,2)+IF(getRGB1($E852)="FFFFFF",0,3)+IF(getRGB1($F852)="FFFFFF",0,4)</f>
        <v>1</v>
      </c>
    </row>
    <row r="853" spans="1:7">
      <c r="A853" t="s">
        <v>6661</v>
      </c>
      <c r="B853" s="175" t="s">
        <v>3047</v>
      </c>
      <c r="C853" s="106" t="s">
        <v>3048</v>
      </c>
      <c r="D853" s="106" t="s">
        <v>3049</v>
      </c>
      <c r="E853" s="108" t="s">
        <v>3050</v>
      </c>
      <c r="F853" s="111" t="s">
        <v>1000</v>
      </c>
      <c r="G853">
        <f>IF(getRGB1($C853)="FFFFFF",0,1)+IF(getRGB1($D853)="FFFFFF",0,2)+IF(getRGB1($E853)="FFFFFF",0,3)+IF(getRGB1($F853)="FFFFFF",0,4)</f>
        <v>4</v>
      </c>
    </row>
    <row r="854" spans="1:7" ht="25.5">
      <c r="A854" t="s">
        <v>6661</v>
      </c>
      <c r="B854" s="175" t="s">
        <v>3051</v>
      </c>
      <c r="C854" s="106" t="s">
        <v>3052</v>
      </c>
      <c r="D854" s="111" t="s">
        <v>3053</v>
      </c>
      <c r="E854" s="108" t="s">
        <v>3054</v>
      </c>
      <c r="F854" s="108" t="s">
        <v>3055</v>
      </c>
      <c r="G854">
        <f>IF(getRGB1($C854)="FFFFFF",0,1)+IF(getRGB1($D854)="FFFFFF",0,2)+IF(getRGB1($E854)="FFFFFF",0,3)+IF(getRGB1($F854)="FFFFFF",0,4)</f>
        <v>2</v>
      </c>
    </row>
    <row r="855" spans="1:7">
      <c r="A855" t="s">
        <v>6661</v>
      </c>
      <c r="B855" s="175" t="s">
        <v>3056</v>
      </c>
      <c r="C855" s="107" t="s">
        <v>3057</v>
      </c>
      <c r="D855" s="108" t="s">
        <v>174</v>
      </c>
      <c r="E855" s="108" t="s">
        <v>74</v>
      </c>
      <c r="F855" s="108" t="s">
        <v>76</v>
      </c>
      <c r="G855">
        <f>IF(getRGB1($C855)="FFFFFF",0,1)+IF(getRGB1($D855)="FFFFFF",0,2)+IF(getRGB1($E855)="FFFFFF",0,3)+IF(getRGB1($F855)="FFFFFF",0,4)</f>
        <v>1</v>
      </c>
    </row>
    <row r="856" spans="1:7">
      <c r="A856" t="s">
        <v>6661</v>
      </c>
      <c r="B856" s="175" t="s">
        <v>3058</v>
      </c>
      <c r="C856" s="107" t="s">
        <v>76</v>
      </c>
      <c r="D856" s="182" t="s">
        <v>557</v>
      </c>
      <c r="E856" s="182" t="s">
        <v>3059</v>
      </c>
      <c r="F856" s="182" t="s">
        <v>179</v>
      </c>
      <c r="G856">
        <f>IF(getRGB1($C856)="FFFFFF",0,1)+IF(getRGB1($D856)="FFFFFF",0,2)+IF(getRGB1($E856)="FFFFFF",0,3)+IF(getRGB1($F856)="FFFFFF",0,4)</f>
        <v>1</v>
      </c>
    </row>
    <row r="857" spans="1:7" ht="25.5">
      <c r="A857" t="s">
        <v>6661</v>
      </c>
      <c r="B857" s="183" t="s">
        <v>3060</v>
      </c>
      <c r="C857" s="181" t="s">
        <v>930</v>
      </c>
      <c r="D857" s="184" t="s">
        <v>931</v>
      </c>
      <c r="E857" s="181"/>
      <c r="F857" s="181"/>
      <c r="G857">
        <f>IF(getRGB1($C857)="FFFFFF",0,1)+IF(getRGB1($D857)="FFFFFF",0,2)+IF(getRGB1($E857)="FFFFFF",0,3)+IF(getRGB1($F857)="FFFFFF",0,4)</f>
        <v>2</v>
      </c>
    </row>
    <row r="858" spans="1:7" ht="30">
      <c r="A858" t="s">
        <v>6661</v>
      </c>
      <c r="B858" s="106" t="s">
        <v>3061</v>
      </c>
      <c r="C858" s="111" t="s">
        <v>3062</v>
      </c>
      <c r="D858" s="108" t="s">
        <v>3063</v>
      </c>
      <c r="E858" s="108" t="s">
        <v>174</v>
      </c>
      <c r="F858" s="108" t="s">
        <v>1773</v>
      </c>
      <c r="G858">
        <f>IF(getRGB1($C858)="FFFFFF",0,1)+IF(getRGB1($D858)="FFFFFF",0,2)+IF(getRGB1($E858)="FFFFFF",0,3)+IF(getRGB1($F858)="FFFFFF",0,4)</f>
        <v>1</v>
      </c>
    </row>
    <row r="859" spans="1:7">
      <c r="A859" t="s">
        <v>6661</v>
      </c>
      <c r="B859" s="108" t="s">
        <v>3064</v>
      </c>
      <c r="C859" s="108" t="s">
        <v>174</v>
      </c>
      <c r="D859" s="108" t="s">
        <v>179</v>
      </c>
      <c r="E859" s="111" t="s">
        <v>76</v>
      </c>
      <c r="F859" s="108" t="s">
        <v>557</v>
      </c>
      <c r="G859">
        <f>IF(getRGB1($C859)="FFFFFF",0,1)+IF(getRGB1($D859)="FFFFFF",0,2)+IF(getRGB1($E859)="FFFFFF",0,3)+IF(getRGB1($F859)="FFFFFF",0,4)</f>
        <v>3</v>
      </c>
    </row>
    <row r="860" spans="1:7">
      <c r="A860" t="s">
        <v>6661</v>
      </c>
      <c r="B860" s="106" t="s">
        <v>3065</v>
      </c>
      <c r="C860" s="107" t="s">
        <v>3066</v>
      </c>
      <c r="D860" s="106" t="s">
        <v>3067</v>
      </c>
      <c r="E860" s="106" t="s">
        <v>3068</v>
      </c>
      <c r="F860" s="106" t="s">
        <v>1773</v>
      </c>
      <c r="G860">
        <f>IF(getRGB1($C860)="FFFFFF",0,1)+IF(getRGB1($D860)="FFFFFF",0,2)+IF(getRGB1($E860)="FFFFFF",0,3)+IF(getRGB1($F860)="FFFFFF",0,4)</f>
        <v>1</v>
      </c>
    </row>
    <row r="861" spans="1:7">
      <c r="A861" t="s">
        <v>6662</v>
      </c>
      <c r="B861" s="106" t="s">
        <v>3069</v>
      </c>
      <c r="C861" s="106" t="s">
        <v>3070</v>
      </c>
      <c r="D861" s="107" t="s">
        <v>3071</v>
      </c>
      <c r="E861" s="106" t="s">
        <v>3072</v>
      </c>
      <c r="F861" s="106" t="s">
        <v>3073</v>
      </c>
      <c r="G861">
        <f>IF(getRGB1($C861)="FFFFFF",0,1)+IF(getRGB1($D861)="FFFFFF",0,2)+IF(getRGB1($E861)="FFFFFF",0,3)+IF(getRGB1($F861)="FFFFFF",0,4)</f>
        <v>2</v>
      </c>
    </row>
    <row r="862" spans="1:7">
      <c r="A862" t="s">
        <v>6662</v>
      </c>
      <c r="B862" s="106" t="s">
        <v>3074</v>
      </c>
      <c r="C862" s="106" t="s">
        <v>3070</v>
      </c>
      <c r="D862" s="106" t="s">
        <v>3073</v>
      </c>
      <c r="E862" s="107" t="s">
        <v>3075</v>
      </c>
      <c r="F862" s="106" t="s">
        <v>3076</v>
      </c>
      <c r="G862">
        <f>IF(getRGB1($C862)="FFFFFF",0,1)+IF(getRGB1($D862)="FFFFFF",0,2)+IF(getRGB1($E862)="FFFFFF",0,3)+IF(getRGB1($F862)="FFFFFF",0,4)</f>
        <v>3</v>
      </c>
    </row>
    <row r="863" spans="1:7">
      <c r="A863" t="s">
        <v>6662</v>
      </c>
      <c r="B863" s="106" t="s">
        <v>3077</v>
      </c>
      <c r="C863" s="106" t="s">
        <v>3078</v>
      </c>
      <c r="D863" s="107" t="s">
        <v>3079</v>
      </c>
      <c r="E863" s="106" t="s">
        <v>3080</v>
      </c>
      <c r="F863" s="106" t="s">
        <v>3081</v>
      </c>
      <c r="G863">
        <f>IF(getRGB1($C863)="FFFFFF",0,1)+IF(getRGB1($D863)="FFFFFF",0,2)+IF(getRGB1($E863)="FFFFFF",0,3)+IF(getRGB1($F863)="FFFFFF",0,4)</f>
        <v>2</v>
      </c>
    </row>
    <row r="864" spans="1:7">
      <c r="A864" t="s">
        <v>6662</v>
      </c>
      <c r="B864" s="106" t="s">
        <v>3082</v>
      </c>
      <c r="C864" s="107" t="s">
        <v>3083</v>
      </c>
      <c r="D864" s="106" t="s">
        <v>3084</v>
      </c>
      <c r="E864" s="106" t="s">
        <v>3085</v>
      </c>
      <c r="F864" s="106" t="s">
        <v>3076</v>
      </c>
      <c r="G864">
        <f>IF(getRGB1($C864)="FFFFFF",0,1)+IF(getRGB1($D864)="FFFFFF",0,2)+IF(getRGB1($E864)="FFFFFF",0,3)+IF(getRGB1($F864)="FFFFFF",0,4)</f>
        <v>1</v>
      </c>
    </row>
    <row r="865" spans="1:7" ht="30">
      <c r="A865" t="s">
        <v>6662</v>
      </c>
      <c r="B865" s="106" t="s">
        <v>3086</v>
      </c>
      <c r="C865" s="106">
        <v>2</v>
      </c>
      <c r="D865" s="106">
        <v>5</v>
      </c>
      <c r="E865" s="106">
        <v>3</v>
      </c>
      <c r="F865" s="107">
        <v>7</v>
      </c>
      <c r="G865">
        <f>IF(getRGB1($C865)="FFFFFF",0,1)+IF(getRGB1($D865)="FFFFFF",0,2)+IF(getRGB1($E865)="FFFFFF",0,3)+IF(getRGB1($F865)="FFFFFF",0,4)</f>
        <v>4</v>
      </c>
    </row>
    <row r="866" spans="1:7">
      <c r="A866" t="s">
        <v>6662</v>
      </c>
      <c r="B866" s="106" t="s">
        <v>3087</v>
      </c>
      <c r="C866" s="185" t="s">
        <v>3088</v>
      </c>
      <c r="D866" s="186" t="s">
        <v>3080</v>
      </c>
      <c r="E866" s="185" t="s">
        <v>3079</v>
      </c>
      <c r="F866" s="185" t="s">
        <v>3081</v>
      </c>
      <c r="G866">
        <f>IF(getRGB1($C866)="FFFFFF",0,1)+IF(getRGB1($D866)="FFFFFF",0,2)+IF(getRGB1($E866)="FFFFFF",0,3)+IF(getRGB1($F866)="FFFFFF",0,4)</f>
        <v>2</v>
      </c>
    </row>
    <row r="867" spans="1:7" ht="30">
      <c r="A867" t="s">
        <v>6662</v>
      </c>
      <c r="B867" s="106" t="s">
        <v>3089</v>
      </c>
      <c r="C867" s="185" t="s">
        <v>3079</v>
      </c>
      <c r="D867" s="185" t="s">
        <v>3081</v>
      </c>
      <c r="E867" s="186" t="s">
        <v>3080</v>
      </c>
      <c r="F867" s="185" t="s">
        <v>3088</v>
      </c>
      <c r="G867">
        <f>IF(getRGB1($C867)="FFFFFF",0,1)+IF(getRGB1($D867)="FFFFFF",0,2)+IF(getRGB1($E867)="FFFFFF",0,3)+IF(getRGB1($F867)="FFFFFF",0,4)</f>
        <v>3</v>
      </c>
    </row>
    <row r="868" spans="1:7">
      <c r="A868" t="s">
        <v>6662</v>
      </c>
      <c r="B868" s="106" t="s">
        <v>3090</v>
      </c>
      <c r="C868" s="106" t="s">
        <v>3091</v>
      </c>
      <c r="D868" s="106" t="s">
        <v>3092</v>
      </c>
      <c r="E868" s="186" t="s">
        <v>3093</v>
      </c>
      <c r="F868" s="106" t="s">
        <v>3094</v>
      </c>
      <c r="G868">
        <f>IF(getRGB1($C868)="FFFFFF",0,1)+IF(getRGB1($D868)="FFFFFF",0,2)+IF(getRGB1($E868)="FFFFFF",0,3)+IF(getRGB1($F868)="FFFFFF",0,4)</f>
        <v>3</v>
      </c>
    </row>
    <row r="869" spans="1:7" ht="30">
      <c r="A869" t="s">
        <v>6662</v>
      </c>
      <c r="B869" s="187" t="s">
        <v>3095</v>
      </c>
      <c r="C869" s="188" t="s">
        <v>3079</v>
      </c>
      <c r="D869" s="189" t="s">
        <v>3081</v>
      </c>
      <c r="E869" s="189" t="s">
        <v>3080</v>
      </c>
      <c r="F869" s="189" t="s">
        <v>3088</v>
      </c>
      <c r="G869">
        <f>IF(getRGB1($C869)="FFFFFF",0,1)+IF(getRGB1($D869)="FFFFFF",0,2)+IF(getRGB1($E869)="FFFFFF",0,3)+IF(getRGB1($F869)="FFFFFF",0,4)</f>
        <v>1</v>
      </c>
    </row>
    <row r="870" spans="1:7">
      <c r="A870" t="s">
        <v>6662</v>
      </c>
      <c r="B870" s="101" t="s">
        <v>3096</v>
      </c>
      <c r="C870" s="101" t="s">
        <v>3097</v>
      </c>
      <c r="D870" s="101" t="s">
        <v>3098</v>
      </c>
      <c r="E870" s="135" t="s">
        <v>3099</v>
      </c>
      <c r="F870" s="101" t="s">
        <v>3099</v>
      </c>
      <c r="G870">
        <f>IF(getRGB1($C870)="FFFFFF",0,1)+IF(getRGB1($D870)="FFFFFF",0,2)+IF(getRGB1($E870)="FFFFFF",0,3)+IF(getRGB1($F870)="FFFFFF",0,4)</f>
        <v>3</v>
      </c>
    </row>
    <row r="871" spans="1:7" ht="25.5">
      <c r="A871" t="s">
        <v>6662</v>
      </c>
      <c r="B871" s="101" t="s">
        <v>3100</v>
      </c>
      <c r="C871" s="101" t="s">
        <v>3079</v>
      </c>
      <c r="D871" s="101" t="s">
        <v>3101</v>
      </c>
      <c r="E871" s="135" t="s">
        <v>3102</v>
      </c>
      <c r="F871" s="101" t="s">
        <v>3088</v>
      </c>
      <c r="G871">
        <f>IF(getRGB1($C871)="FFFFFF",0,1)+IF(getRGB1($D871)="FFFFFF",0,2)+IF(getRGB1($E871)="FFFFFF",0,3)+IF(getRGB1($F871)="FFFFFF",0,4)</f>
        <v>3</v>
      </c>
    </row>
    <row r="872" spans="1:7">
      <c r="A872" t="s">
        <v>6663</v>
      </c>
      <c r="B872" s="57" t="s">
        <v>6664</v>
      </c>
      <c r="C872" s="61" t="s">
        <v>6665</v>
      </c>
      <c r="D872" s="61" t="s">
        <v>6666</v>
      </c>
      <c r="E872" s="61" t="s">
        <v>6667</v>
      </c>
      <c r="F872" s="61" t="s">
        <v>6668</v>
      </c>
      <c r="G872">
        <f>IF(getRGB1($C872)="FFFFFF",0,1)+IF(getRGB1($D872)="FFFFFF",0,2)+IF(getRGB1($E872)="FFFFFF",0,3)+IF(getRGB1($F872)="FFFFFF",0,4)</f>
        <v>0</v>
      </c>
    </row>
    <row r="873" spans="1:7">
      <c r="A873" t="s">
        <v>6663</v>
      </c>
      <c r="B873" s="190" t="s">
        <v>3103</v>
      </c>
      <c r="C873" s="191" t="s">
        <v>3104</v>
      </c>
      <c r="D873" s="191" t="s">
        <v>3105</v>
      </c>
      <c r="E873" s="192" t="s">
        <v>3106</v>
      </c>
      <c r="F873" s="191" t="s">
        <v>3107</v>
      </c>
      <c r="G873">
        <f>IF(getRGB1($C873)="FFFFFF",0,1)+IF(getRGB1($D873)="FFFFFF",0,2)+IF(getRGB1($E873)="FFFFFF",0,3)+IF(getRGB1($F873)="FFFFFF",0,4)</f>
        <v>3</v>
      </c>
    </row>
    <row r="874" spans="1:7">
      <c r="A874" t="s">
        <v>6663</v>
      </c>
      <c r="B874" s="190" t="s">
        <v>3108</v>
      </c>
      <c r="C874" s="191" t="s">
        <v>3109</v>
      </c>
      <c r="D874" s="191" t="s">
        <v>3110</v>
      </c>
      <c r="E874" s="191" t="s">
        <v>3111</v>
      </c>
      <c r="F874" s="192" t="s">
        <v>3112</v>
      </c>
      <c r="G874">
        <f>IF(getRGB1($C874)="FFFFFF",0,1)+IF(getRGB1($D874)="FFFFFF",0,2)+IF(getRGB1($E874)="FFFFFF",0,3)+IF(getRGB1($F874)="FFFFFF",0,4)</f>
        <v>4</v>
      </c>
    </row>
    <row r="875" spans="1:7" ht="25.5">
      <c r="A875" t="s">
        <v>6663</v>
      </c>
      <c r="B875" s="190" t="s">
        <v>3113</v>
      </c>
      <c r="C875" s="191" t="s">
        <v>3114</v>
      </c>
      <c r="D875" s="191" t="s">
        <v>3115</v>
      </c>
      <c r="E875" s="192" t="s">
        <v>3116</v>
      </c>
      <c r="F875" s="191" t="s">
        <v>3117</v>
      </c>
      <c r="G875">
        <f>IF(getRGB1($C875)="FFFFFF",0,1)+IF(getRGB1($D875)="FFFFFF",0,2)+IF(getRGB1($E875)="FFFFFF",0,3)+IF(getRGB1($F875)="FFFFFF",0,4)</f>
        <v>3</v>
      </c>
    </row>
    <row r="876" spans="1:7">
      <c r="A876" t="s">
        <v>6663</v>
      </c>
      <c r="B876" s="190" t="s">
        <v>3118</v>
      </c>
      <c r="C876" s="191" t="s">
        <v>3119</v>
      </c>
      <c r="D876" s="191" t="s">
        <v>3120</v>
      </c>
      <c r="E876" s="191" t="s">
        <v>3121</v>
      </c>
      <c r="F876" s="192" t="s">
        <v>3122</v>
      </c>
      <c r="G876">
        <f>IF(getRGB1($C876)="FFFFFF",0,1)+IF(getRGB1($D876)="FFFFFF",0,2)+IF(getRGB1($E876)="FFFFFF",0,3)+IF(getRGB1($F876)="FFFFFF",0,4)</f>
        <v>4</v>
      </c>
    </row>
    <row r="877" spans="1:7" ht="25.5">
      <c r="A877" t="s">
        <v>6663</v>
      </c>
      <c r="B877" s="190" t="s">
        <v>3123</v>
      </c>
      <c r="C877" s="193" t="s">
        <v>3124</v>
      </c>
      <c r="D877" s="193" t="s">
        <v>994</v>
      </c>
      <c r="E877" s="192" t="s">
        <v>993</v>
      </c>
      <c r="F877" s="193" t="s">
        <v>995</v>
      </c>
      <c r="G877">
        <f>IF(getRGB1($C877)="FFFFFF",0,1)+IF(getRGB1($D877)="FFFFFF",0,2)+IF(getRGB1($E877)="FFFFFF",0,3)+IF(getRGB1($F877)="FFFFFF",0,4)</f>
        <v>3</v>
      </c>
    </row>
    <row r="878" spans="1:7">
      <c r="A878" t="s">
        <v>6663</v>
      </c>
      <c r="B878" s="190" t="s">
        <v>3125</v>
      </c>
      <c r="C878" s="191" t="s">
        <v>3126</v>
      </c>
      <c r="D878" s="192" t="s">
        <v>3127</v>
      </c>
      <c r="E878" s="191" t="s">
        <v>3128</v>
      </c>
      <c r="F878" s="191" t="s">
        <v>3129</v>
      </c>
      <c r="G878">
        <f>IF(getRGB1($C878)="FFFFFF",0,1)+IF(getRGB1($D878)="FFFFFF",0,2)+IF(getRGB1($E878)="FFFFFF",0,3)+IF(getRGB1($F878)="FFFFFF",0,4)</f>
        <v>2</v>
      </c>
    </row>
    <row r="879" spans="1:7" ht="25.5">
      <c r="A879" t="s">
        <v>6663</v>
      </c>
      <c r="B879" s="190" t="s">
        <v>3130</v>
      </c>
      <c r="C879" s="191" t="s">
        <v>3131</v>
      </c>
      <c r="D879" s="191" t="s">
        <v>3132</v>
      </c>
      <c r="E879" s="192" t="s">
        <v>3133</v>
      </c>
      <c r="F879" s="191" t="s">
        <v>3134</v>
      </c>
      <c r="G879">
        <f>IF(getRGB1($C879)="FFFFFF",0,1)+IF(getRGB1($D879)="FFFFFF",0,2)+IF(getRGB1($E879)="FFFFFF",0,3)+IF(getRGB1($F879)="FFFFFF",0,4)</f>
        <v>3</v>
      </c>
    </row>
    <row r="880" spans="1:7">
      <c r="A880" t="s">
        <v>6663</v>
      </c>
      <c r="B880" s="190" t="s">
        <v>3135</v>
      </c>
      <c r="C880" s="194" t="s">
        <v>3136</v>
      </c>
      <c r="D880" s="191" t="s">
        <v>3137</v>
      </c>
      <c r="E880" s="191" t="s">
        <v>3138</v>
      </c>
      <c r="F880" s="192" t="s">
        <v>3139</v>
      </c>
      <c r="G880">
        <f>IF(getRGB1($C880)="FFFFFF",0,1)+IF(getRGB1($D880)="FFFFFF",0,2)+IF(getRGB1($E880)="FFFFFF",0,3)+IF(getRGB1($F880)="FFFFFF",0,4)</f>
        <v>4</v>
      </c>
    </row>
    <row r="881" spans="1:7" ht="25.5">
      <c r="A881" t="s">
        <v>6663</v>
      </c>
      <c r="B881" s="190" t="s">
        <v>3140</v>
      </c>
      <c r="C881" s="191" t="s">
        <v>3141</v>
      </c>
      <c r="D881" s="191" t="s">
        <v>3142</v>
      </c>
      <c r="E881" s="191" t="s">
        <v>3143</v>
      </c>
      <c r="F881" s="192" t="s">
        <v>3144</v>
      </c>
      <c r="G881">
        <f>IF(getRGB1($C881)="FFFFFF",0,1)+IF(getRGB1($D881)="FFFFFF",0,2)+IF(getRGB1($E881)="FFFFFF",0,3)+IF(getRGB1($F881)="FFFFFF",0,4)</f>
        <v>4</v>
      </c>
    </row>
    <row r="882" spans="1:7" ht="25.5">
      <c r="A882" t="s">
        <v>6663</v>
      </c>
      <c r="B882" s="190" t="s">
        <v>3145</v>
      </c>
      <c r="C882" s="191" t="s">
        <v>1422</v>
      </c>
      <c r="D882" s="191" t="s">
        <v>3146</v>
      </c>
      <c r="E882" s="191" t="s">
        <v>3147</v>
      </c>
      <c r="F882" s="192" t="s">
        <v>3148</v>
      </c>
      <c r="G882">
        <f>IF(getRGB1($C882)="FFFFFF",0,1)+IF(getRGB1($D882)="FFFFFF",0,2)+IF(getRGB1($E882)="FFFFFF",0,3)+IF(getRGB1($F882)="FFFFFF",0,4)</f>
        <v>4</v>
      </c>
    </row>
    <row r="883" spans="1:7">
      <c r="A883" t="s">
        <v>6663</v>
      </c>
      <c r="B883" s="190" t="s">
        <v>3149</v>
      </c>
      <c r="C883" s="191" t="s">
        <v>3150</v>
      </c>
      <c r="D883" s="192" t="s">
        <v>3151</v>
      </c>
      <c r="E883" s="191" t="s">
        <v>3152</v>
      </c>
      <c r="F883" s="191" t="s">
        <v>3153</v>
      </c>
      <c r="G883">
        <f>IF(getRGB1($C883)="FFFFFF",0,1)+IF(getRGB1($D883)="FFFFFF",0,2)+IF(getRGB1($E883)="FFFFFF",0,3)+IF(getRGB1($F883)="FFFFFF",0,4)</f>
        <v>2</v>
      </c>
    </row>
    <row r="884" spans="1:7" ht="25.5">
      <c r="A884" t="s">
        <v>6663</v>
      </c>
      <c r="B884" s="190" t="s">
        <v>3154</v>
      </c>
      <c r="C884" s="61" t="s">
        <v>3155</v>
      </c>
      <c r="D884" s="61" t="s">
        <v>3156</v>
      </c>
      <c r="E884" s="61" t="s">
        <v>3157</v>
      </c>
      <c r="F884" s="43" t="s">
        <v>3158</v>
      </c>
      <c r="G884">
        <f>IF(getRGB1($C884)="FFFFFF",0,1)+IF(getRGB1($D884)="FFFFFF",0,2)+IF(getRGB1($E884)="FFFFFF",0,3)+IF(getRGB1($F884)="FFFFFF",0,4)</f>
        <v>4</v>
      </c>
    </row>
    <row r="885" spans="1:7">
      <c r="A885" t="s">
        <v>6663</v>
      </c>
      <c r="B885" s="190" t="s">
        <v>3159</v>
      </c>
      <c r="C885" s="191" t="s">
        <v>3160</v>
      </c>
      <c r="D885" s="194" t="s">
        <v>3161</v>
      </c>
      <c r="E885" s="192" t="s">
        <v>3162</v>
      </c>
      <c r="F885" s="191" t="s">
        <v>3163</v>
      </c>
      <c r="G885">
        <f>IF(getRGB1($C885)="FFFFFF",0,1)+IF(getRGB1($D885)="FFFFFF",0,2)+IF(getRGB1($E885)="FFFFFF",0,3)+IF(getRGB1($F885)="FFFFFF",0,4)</f>
        <v>3</v>
      </c>
    </row>
    <row r="886" spans="1:7">
      <c r="A886" t="s">
        <v>6663</v>
      </c>
      <c r="B886" s="190" t="s">
        <v>3164</v>
      </c>
      <c r="C886" s="191" t="s">
        <v>3165</v>
      </c>
      <c r="D886" s="194" t="s">
        <v>3166</v>
      </c>
      <c r="E886" s="191" t="s">
        <v>3167</v>
      </c>
      <c r="F886" s="192" t="s">
        <v>3168</v>
      </c>
      <c r="G886">
        <f>IF(getRGB1($C886)="FFFFFF",0,1)+IF(getRGB1($D886)="FFFFFF",0,2)+IF(getRGB1($E886)="FFFFFF",0,3)+IF(getRGB1($F886)="FFFFFF",0,4)</f>
        <v>4</v>
      </c>
    </row>
    <row r="887" spans="1:7" ht="38.25">
      <c r="A887" t="s">
        <v>6663</v>
      </c>
      <c r="B887" s="190" t="s">
        <v>3169</v>
      </c>
      <c r="C887" s="191">
        <v>1500</v>
      </c>
      <c r="D887" s="191">
        <v>1500000</v>
      </c>
      <c r="E887" s="191">
        <v>15</v>
      </c>
      <c r="F887" s="192" t="s">
        <v>1422</v>
      </c>
      <c r="G887">
        <f>IF(getRGB1($C887)="FFFFFF",0,1)+IF(getRGB1($D887)="FFFFFF",0,2)+IF(getRGB1($E887)="FFFFFF",0,3)+IF(getRGB1($F887)="FFFFFF",0,4)</f>
        <v>4</v>
      </c>
    </row>
    <row r="888" spans="1:7" ht="25.5">
      <c r="A888" t="s">
        <v>6663</v>
      </c>
      <c r="B888" s="190" t="s">
        <v>3170</v>
      </c>
      <c r="C888" s="191" t="s">
        <v>3171</v>
      </c>
      <c r="D888" s="192" t="s">
        <v>3172</v>
      </c>
      <c r="E888" s="191" t="s">
        <v>3173</v>
      </c>
      <c r="F888" s="191" t="s">
        <v>3174</v>
      </c>
      <c r="G888">
        <f>IF(getRGB1($C888)="FFFFFF",0,1)+IF(getRGB1($D888)="FFFFFF",0,2)+IF(getRGB1($E888)="FFFFFF",0,3)+IF(getRGB1($F888)="FFFFFF",0,4)</f>
        <v>2</v>
      </c>
    </row>
    <row r="889" spans="1:7" ht="45">
      <c r="A889" t="s">
        <v>6663</v>
      </c>
      <c r="B889" s="190" t="s">
        <v>3175</v>
      </c>
      <c r="C889" s="191" t="s">
        <v>3176</v>
      </c>
      <c r="D889" s="191" t="s">
        <v>3177</v>
      </c>
      <c r="E889" s="191" t="s">
        <v>3178</v>
      </c>
      <c r="F889" s="195" t="s">
        <v>3179</v>
      </c>
      <c r="G889">
        <f>IF(getRGB1($C889)="FFFFFF",0,1)+IF(getRGB1($D889)="FFFFFF",0,2)+IF(getRGB1($E889)="FFFFFF",0,3)+IF(getRGB1($F889)="FFFFFF",0,4)</f>
        <v>4</v>
      </c>
    </row>
    <row r="890" spans="1:7">
      <c r="A890" t="s">
        <v>6663</v>
      </c>
      <c r="B890" s="190" t="s">
        <v>3180</v>
      </c>
      <c r="C890" s="191" t="s">
        <v>173</v>
      </c>
      <c r="D890" s="192" t="s">
        <v>3181</v>
      </c>
      <c r="E890" s="191" t="s">
        <v>3182</v>
      </c>
      <c r="F890" s="191" t="s">
        <v>76</v>
      </c>
      <c r="G890">
        <f>IF(getRGB1($C890)="FFFFFF",0,1)+IF(getRGB1($D890)="FFFFFF",0,2)+IF(getRGB1($E890)="FFFFFF",0,3)+IF(getRGB1($F890)="FFFFFF",0,4)</f>
        <v>2</v>
      </c>
    </row>
    <row r="891" spans="1:7" ht="30">
      <c r="A891" t="s">
        <v>6663</v>
      </c>
      <c r="B891" s="196" t="s">
        <v>3183</v>
      </c>
      <c r="C891" s="191" t="s">
        <v>3184</v>
      </c>
      <c r="D891" s="191" t="s">
        <v>3185</v>
      </c>
      <c r="E891" s="192" t="s">
        <v>3186</v>
      </c>
      <c r="F891" s="191" t="s">
        <v>3187</v>
      </c>
      <c r="G891">
        <f>IF(getRGB1($C891)="FFFFFF",0,1)+IF(getRGB1($D891)="FFFFFF",0,2)+IF(getRGB1($E891)="FFFFFF",0,3)+IF(getRGB1($F891)="FFFFFF",0,4)</f>
        <v>3</v>
      </c>
    </row>
    <row r="892" spans="1:7">
      <c r="A892" t="s">
        <v>6663</v>
      </c>
      <c r="B892" s="190" t="s">
        <v>3188</v>
      </c>
      <c r="C892" s="192" t="s">
        <v>3189</v>
      </c>
      <c r="D892" s="191" t="s">
        <v>3190</v>
      </c>
      <c r="E892" s="191" t="s">
        <v>3191</v>
      </c>
      <c r="F892" s="191" t="s">
        <v>3192</v>
      </c>
      <c r="G892">
        <f>IF(getRGB1($C892)="FFFFFF",0,1)+IF(getRGB1($D892)="FFFFFF",0,2)+IF(getRGB1($E892)="FFFFFF",0,3)+IF(getRGB1($F892)="FFFFFF",0,4)</f>
        <v>1</v>
      </c>
    </row>
    <row r="893" spans="1:7">
      <c r="A893" t="s">
        <v>6663</v>
      </c>
      <c r="B893" s="190" t="s">
        <v>3193</v>
      </c>
      <c r="C893" s="191" t="s">
        <v>3194</v>
      </c>
      <c r="D893" s="191" t="s">
        <v>3195</v>
      </c>
      <c r="E893" s="192" t="s">
        <v>3196</v>
      </c>
      <c r="F893" s="191" t="s">
        <v>3197</v>
      </c>
      <c r="G893">
        <f>IF(getRGB1($C893)="FFFFFF",0,1)+IF(getRGB1($D893)="FFFFFF",0,2)+IF(getRGB1($E893)="FFFFFF",0,3)+IF(getRGB1($F893)="FFFFFF",0,4)</f>
        <v>3</v>
      </c>
    </row>
    <row r="894" spans="1:7">
      <c r="A894" t="s">
        <v>6663</v>
      </c>
      <c r="B894" s="190" t="s">
        <v>3198</v>
      </c>
      <c r="C894" s="192" t="s">
        <v>3136</v>
      </c>
      <c r="D894" s="191" t="s">
        <v>3137</v>
      </c>
      <c r="E894" s="191" t="s">
        <v>3138</v>
      </c>
      <c r="F894" s="191" t="s">
        <v>3139</v>
      </c>
      <c r="G894">
        <f>IF(getRGB1($C894)="FFFFFF",0,1)+IF(getRGB1($D894)="FFFFFF",0,2)+IF(getRGB1($E894)="FFFFFF",0,3)+IF(getRGB1($F894)="FFFFFF",0,4)</f>
        <v>1</v>
      </c>
    </row>
    <row r="895" spans="1:7">
      <c r="A895" t="s">
        <v>6663</v>
      </c>
      <c r="B895" s="197" t="s">
        <v>3199</v>
      </c>
      <c r="C895" s="192" t="s">
        <v>1976</v>
      </c>
      <c r="D895" s="191" t="s">
        <v>3200</v>
      </c>
      <c r="E895" s="191" t="s">
        <v>3201</v>
      </c>
      <c r="F895" s="191" t="s">
        <v>3202</v>
      </c>
      <c r="G895">
        <f>IF(getRGB1($C895)="FFFFFF",0,1)+IF(getRGB1($D895)="FFFFFF",0,2)+IF(getRGB1($E895)="FFFFFF",0,3)+IF(getRGB1($F895)="FFFFFF",0,4)</f>
        <v>1</v>
      </c>
    </row>
    <row r="896" spans="1:7">
      <c r="A896" t="s">
        <v>6663</v>
      </c>
      <c r="B896" s="197" t="s">
        <v>3203</v>
      </c>
      <c r="C896" s="191" t="s">
        <v>166</v>
      </c>
      <c r="D896" s="191" t="s">
        <v>3204</v>
      </c>
      <c r="E896" s="192" t="s">
        <v>3205</v>
      </c>
      <c r="F896" s="191" t="s">
        <v>3206</v>
      </c>
      <c r="G896">
        <f>IF(getRGB1($C896)="FFFFFF",0,1)+IF(getRGB1($D896)="FFFFFF",0,2)+IF(getRGB1($E896)="FFFFFF",0,3)+IF(getRGB1($F896)="FFFFFF",0,4)</f>
        <v>3</v>
      </c>
    </row>
    <row r="897" spans="1:7" ht="25.5">
      <c r="A897" t="s">
        <v>6663</v>
      </c>
      <c r="B897" s="197" t="s">
        <v>3207</v>
      </c>
      <c r="C897" s="191" t="s">
        <v>3208</v>
      </c>
      <c r="D897" s="191" t="s">
        <v>3209</v>
      </c>
      <c r="E897" s="191" t="s">
        <v>3210</v>
      </c>
      <c r="F897" s="192" t="s">
        <v>3211</v>
      </c>
      <c r="G897">
        <f>IF(getRGB1($C897)="FFFFFF",0,1)+IF(getRGB1($D897)="FFFFFF",0,2)+IF(getRGB1($E897)="FFFFFF",0,3)+IF(getRGB1($F897)="FFFFFF",0,4)</f>
        <v>4</v>
      </c>
    </row>
    <row r="898" spans="1:7">
      <c r="A898" t="s">
        <v>6663</v>
      </c>
      <c r="B898" s="197" t="s">
        <v>3212</v>
      </c>
      <c r="C898" s="191" t="s">
        <v>3213</v>
      </c>
      <c r="D898" s="191" t="s">
        <v>3214</v>
      </c>
      <c r="E898" s="191" t="s">
        <v>3215</v>
      </c>
      <c r="F898" s="192" t="s">
        <v>2812</v>
      </c>
      <c r="G898">
        <f>IF(getRGB1($C898)="FFFFFF",0,1)+IF(getRGB1($D898)="FFFFFF",0,2)+IF(getRGB1($E898)="FFFFFF",0,3)+IF(getRGB1($F898)="FFFFFF",0,4)</f>
        <v>4</v>
      </c>
    </row>
    <row r="899" spans="1:7">
      <c r="A899" t="s">
        <v>6663</v>
      </c>
      <c r="B899" s="197" t="s">
        <v>3216</v>
      </c>
      <c r="C899" s="192" t="s">
        <v>76</v>
      </c>
      <c r="D899" s="191" t="s">
        <v>179</v>
      </c>
      <c r="E899" s="191" t="s">
        <v>557</v>
      </c>
      <c r="F899" s="191" t="s">
        <v>174</v>
      </c>
      <c r="G899">
        <f>IF(getRGB1($C899)="FFFFFF",0,1)+IF(getRGB1($D899)="FFFFFF",0,2)+IF(getRGB1($E899)="FFFFFF",0,3)+IF(getRGB1($F899)="FFFFFF",0,4)</f>
        <v>1</v>
      </c>
    </row>
    <row r="900" spans="1:7">
      <c r="A900" t="s">
        <v>6663</v>
      </c>
      <c r="B900" s="197" t="s">
        <v>3217</v>
      </c>
      <c r="C900" s="191" t="s">
        <v>994</v>
      </c>
      <c r="D900" s="191" t="s">
        <v>995</v>
      </c>
      <c r="E900" s="192" t="s">
        <v>993</v>
      </c>
      <c r="F900" s="191" t="s">
        <v>3218</v>
      </c>
      <c r="G900">
        <f>IF(getRGB1($C900)="FFFFFF",0,1)+IF(getRGB1($D900)="FFFFFF",0,2)+IF(getRGB1($E900)="FFFFFF",0,3)+IF(getRGB1($F900)="FFFFFF",0,4)</f>
        <v>3</v>
      </c>
    </row>
    <row r="901" spans="1:7" ht="25.5">
      <c r="A901" t="s">
        <v>6663</v>
      </c>
      <c r="B901" s="197" t="s">
        <v>3219</v>
      </c>
      <c r="C901" s="192" t="s">
        <v>3220</v>
      </c>
      <c r="D901" s="191" t="s">
        <v>3221</v>
      </c>
      <c r="E901" s="191"/>
      <c r="F901" s="191"/>
      <c r="G901">
        <f>IF(getRGB1($C901)="FFFFFF",0,1)+IF(getRGB1($D901)="FFFFFF",0,2)+IF(getRGB1($E901)="FFFFFF",0,3)+IF(getRGB1($F901)="FFFFFF",0,4)</f>
        <v>1</v>
      </c>
    </row>
    <row r="902" spans="1:7">
      <c r="A902" t="s">
        <v>6663</v>
      </c>
      <c r="B902" s="197" t="s">
        <v>3222</v>
      </c>
      <c r="C902" s="192" t="s">
        <v>1122</v>
      </c>
      <c r="D902" s="191" t="s">
        <v>76</v>
      </c>
      <c r="E902" s="191" t="s">
        <v>3223</v>
      </c>
      <c r="F902" s="191" t="s">
        <v>174</v>
      </c>
      <c r="G902">
        <f>IF(getRGB1($C902)="FFFFFF",0,1)+IF(getRGB1($D902)="FFFFFF",0,2)+IF(getRGB1($E902)="FFFFFF",0,3)+IF(getRGB1($F902)="FFFFFF",0,4)</f>
        <v>1</v>
      </c>
    </row>
    <row r="903" spans="1:7">
      <c r="A903" t="s">
        <v>6663</v>
      </c>
      <c r="B903" s="197" t="s">
        <v>3224</v>
      </c>
      <c r="C903" s="191" t="s">
        <v>3225</v>
      </c>
      <c r="D903" s="192" t="s">
        <v>3226</v>
      </c>
      <c r="E903" s="191" t="s">
        <v>3227</v>
      </c>
      <c r="F903" s="191" t="s">
        <v>3228</v>
      </c>
      <c r="G903">
        <f>IF(getRGB1($C903)="FFFFFF",0,1)+IF(getRGB1($D903)="FFFFFF",0,2)+IF(getRGB1($E903)="FFFFFF",0,3)+IF(getRGB1($F903)="FFFFFF",0,4)</f>
        <v>2</v>
      </c>
    </row>
    <row r="904" spans="1:7">
      <c r="A904" t="s">
        <v>6663</v>
      </c>
      <c r="B904" s="197" t="s">
        <v>3229</v>
      </c>
      <c r="C904" s="191" t="s">
        <v>174</v>
      </c>
      <c r="D904" s="192" t="s">
        <v>3230</v>
      </c>
      <c r="E904" s="191" t="s">
        <v>76</v>
      </c>
      <c r="F904" s="191" t="s">
        <v>3231</v>
      </c>
      <c r="G904">
        <f>IF(getRGB1($C904)="FFFFFF",0,1)+IF(getRGB1($D904)="FFFFFF",0,2)+IF(getRGB1($E904)="FFFFFF",0,3)+IF(getRGB1($F904)="FFFFFF",0,4)</f>
        <v>2</v>
      </c>
    </row>
    <row r="905" spans="1:7">
      <c r="A905" t="s">
        <v>6663</v>
      </c>
      <c r="B905" s="197" t="s">
        <v>3232</v>
      </c>
      <c r="C905" s="191" t="s">
        <v>557</v>
      </c>
      <c r="D905" s="191" t="s">
        <v>173</v>
      </c>
      <c r="E905" s="192" t="s">
        <v>76</v>
      </c>
      <c r="F905" s="191" t="s">
        <v>3231</v>
      </c>
      <c r="G905">
        <f>IF(getRGB1($C905)="FFFFFF",0,1)+IF(getRGB1($D905)="FFFFFF",0,2)+IF(getRGB1($E905)="FFFFFF",0,3)+IF(getRGB1($F905)="FFFFFF",0,4)</f>
        <v>3</v>
      </c>
    </row>
    <row r="906" spans="1:7" ht="38.25">
      <c r="A906" t="s">
        <v>6663</v>
      </c>
      <c r="B906" s="197" t="s">
        <v>3233</v>
      </c>
      <c r="C906" s="192" t="s">
        <v>3234</v>
      </c>
      <c r="D906" s="191" t="s">
        <v>3235</v>
      </c>
      <c r="E906" s="191" t="s">
        <v>3236</v>
      </c>
      <c r="F906" s="191" t="s">
        <v>3237</v>
      </c>
      <c r="G906">
        <f>IF(getRGB1($C906)="FFFFFF",0,1)+IF(getRGB1($D906)="FFFFFF",0,2)+IF(getRGB1($E906)="FFFFFF",0,3)+IF(getRGB1($F906)="FFFFFF",0,4)</f>
        <v>1</v>
      </c>
    </row>
    <row r="907" spans="1:7">
      <c r="A907" t="s">
        <v>6663</v>
      </c>
      <c r="B907" s="197" t="s">
        <v>3238</v>
      </c>
      <c r="C907" s="191" t="s">
        <v>3239</v>
      </c>
      <c r="D907" s="191" t="s">
        <v>3240</v>
      </c>
      <c r="E907" s="192" t="s">
        <v>3241</v>
      </c>
      <c r="F907" s="191" t="s">
        <v>3242</v>
      </c>
      <c r="G907">
        <f>IF(getRGB1($C907)="FFFFFF",0,1)+IF(getRGB1($D907)="FFFFFF",0,2)+IF(getRGB1($E907)="FFFFFF",0,3)+IF(getRGB1($F907)="FFFFFF",0,4)</f>
        <v>3</v>
      </c>
    </row>
    <row r="908" spans="1:7">
      <c r="A908" t="s">
        <v>6663</v>
      </c>
      <c r="B908" s="197" t="s">
        <v>3243</v>
      </c>
      <c r="C908" s="192" t="s">
        <v>557</v>
      </c>
      <c r="D908" s="191" t="s">
        <v>177</v>
      </c>
      <c r="E908" s="191" t="s">
        <v>173</v>
      </c>
      <c r="F908" s="191" t="s">
        <v>3244</v>
      </c>
      <c r="G908">
        <f>IF(getRGB1($C908)="FFFFFF",0,1)+IF(getRGB1($D908)="FFFFFF",0,2)+IF(getRGB1($E908)="FFFFFF",0,3)+IF(getRGB1($F908)="FFFFFF",0,4)</f>
        <v>1</v>
      </c>
    </row>
    <row r="909" spans="1:7">
      <c r="A909" t="s">
        <v>6663</v>
      </c>
      <c r="B909" s="197" t="s">
        <v>3245</v>
      </c>
      <c r="C909" s="192" t="s">
        <v>3246</v>
      </c>
      <c r="D909" s="191" t="s">
        <v>3247</v>
      </c>
      <c r="E909" s="191" t="s">
        <v>3248</v>
      </c>
      <c r="F909" s="191" t="s">
        <v>3249</v>
      </c>
      <c r="G909">
        <f>IF(getRGB1($C909)="FFFFFF",0,1)+IF(getRGB1($D909)="FFFFFF",0,2)+IF(getRGB1($E909)="FFFFFF",0,3)+IF(getRGB1($F909)="FFFFFF",0,4)</f>
        <v>1</v>
      </c>
    </row>
    <row r="910" spans="1:7" ht="25.5">
      <c r="A910" t="s">
        <v>6663</v>
      </c>
      <c r="B910" s="197" t="s">
        <v>3250</v>
      </c>
      <c r="C910" s="191" t="s">
        <v>3251</v>
      </c>
      <c r="D910" s="192" t="s">
        <v>3240</v>
      </c>
      <c r="E910" s="191" t="s">
        <v>3252</v>
      </c>
      <c r="F910" s="191" t="s">
        <v>3253</v>
      </c>
      <c r="G910">
        <f>IF(getRGB1($C910)="FFFFFF",0,1)+IF(getRGB1($D910)="FFFFFF",0,2)+IF(getRGB1($E910)="FFFFFF",0,3)+IF(getRGB1($F910)="FFFFFF",0,4)</f>
        <v>2</v>
      </c>
    </row>
    <row r="911" spans="1:7" ht="25.5">
      <c r="A911" t="s">
        <v>6663</v>
      </c>
      <c r="B911" s="197" t="s">
        <v>3254</v>
      </c>
      <c r="C911" s="192" t="s">
        <v>3251</v>
      </c>
      <c r="D911" s="191" t="s">
        <v>3240</v>
      </c>
      <c r="E911" s="191" t="s">
        <v>3252</v>
      </c>
      <c r="F911" s="191" t="s">
        <v>3253</v>
      </c>
      <c r="G911">
        <f>IF(getRGB1($C911)="FFFFFF",0,1)+IF(getRGB1($D911)="FFFFFF",0,2)+IF(getRGB1($E911)="FFFFFF",0,3)+IF(getRGB1($F911)="FFFFFF",0,4)</f>
        <v>1</v>
      </c>
    </row>
    <row r="912" spans="1:7" ht="25.5">
      <c r="A912" t="s">
        <v>6663</v>
      </c>
      <c r="B912" s="197" t="s">
        <v>3255</v>
      </c>
      <c r="C912" s="192" t="s">
        <v>3256</v>
      </c>
      <c r="D912" s="191" t="s">
        <v>3257</v>
      </c>
      <c r="E912" s="191" t="s">
        <v>3258</v>
      </c>
      <c r="F912" s="191" t="s">
        <v>3259</v>
      </c>
      <c r="G912">
        <f>IF(getRGB1($C912)="FFFFFF",0,1)+IF(getRGB1($D912)="FFFFFF",0,2)+IF(getRGB1($E912)="FFFFFF",0,3)+IF(getRGB1($F912)="FFFFFF",0,4)</f>
        <v>1</v>
      </c>
    </row>
    <row r="913" spans="1:7" ht="25.5">
      <c r="A913" t="s">
        <v>6663</v>
      </c>
      <c r="B913" s="197" t="s">
        <v>3260</v>
      </c>
      <c r="C913" s="191" t="s">
        <v>3261</v>
      </c>
      <c r="D913" s="191" t="s">
        <v>3262</v>
      </c>
      <c r="E913" s="191" t="s">
        <v>3263</v>
      </c>
      <c r="F913" s="192" t="s">
        <v>3264</v>
      </c>
      <c r="G913">
        <f>IF(getRGB1($C913)="FFFFFF",0,1)+IF(getRGB1($D913)="FFFFFF",0,2)+IF(getRGB1($E913)="FFFFFF",0,3)+IF(getRGB1($F913)="FFFFFF",0,4)</f>
        <v>4</v>
      </c>
    </row>
    <row r="914" spans="1:7" ht="25.5">
      <c r="A914" t="s">
        <v>6663</v>
      </c>
      <c r="B914" s="197" t="s">
        <v>3265</v>
      </c>
      <c r="C914" s="192" t="s">
        <v>3266</v>
      </c>
      <c r="D914" s="191" t="s">
        <v>3262</v>
      </c>
      <c r="E914" s="191" t="s">
        <v>3263</v>
      </c>
      <c r="F914" s="191" t="s">
        <v>3267</v>
      </c>
      <c r="G914">
        <f>IF(getRGB1($C914)="FFFFFF",0,1)+IF(getRGB1($D914)="FFFFFF",0,2)+IF(getRGB1($E914)="FFFFFF",0,3)+IF(getRGB1($F914)="FFFFFF",0,4)</f>
        <v>1</v>
      </c>
    </row>
    <row r="915" spans="1:7">
      <c r="A915" t="s">
        <v>6663</v>
      </c>
      <c r="B915" s="197" t="s">
        <v>3268</v>
      </c>
      <c r="C915" s="191" t="s">
        <v>3269</v>
      </c>
      <c r="D915" s="191" t="s">
        <v>3270</v>
      </c>
      <c r="E915" s="192" t="s">
        <v>3271</v>
      </c>
      <c r="F915" s="191" t="s">
        <v>3272</v>
      </c>
      <c r="G915">
        <f>IF(getRGB1($C915)="FFFFFF",0,1)+IF(getRGB1($D915)="FFFFFF",0,2)+IF(getRGB1($E915)="FFFFFF",0,3)+IF(getRGB1($F915)="FFFFFF",0,4)</f>
        <v>3</v>
      </c>
    </row>
    <row r="916" spans="1:7">
      <c r="A916" t="s">
        <v>6663</v>
      </c>
      <c r="B916" s="197" t="s">
        <v>3273</v>
      </c>
      <c r="C916" s="191" t="s">
        <v>3274</v>
      </c>
      <c r="D916" s="192" t="s">
        <v>3275</v>
      </c>
      <c r="E916" s="191" t="s">
        <v>3276</v>
      </c>
      <c r="F916" s="191" t="s">
        <v>3277</v>
      </c>
      <c r="G916">
        <f>IF(getRGB1($C916)="FFFFFF",0,1)+IF(getRGB1($D916)="FFFFFF",0,2)+IF(getRGB1($E916)="FFFFFF",0,3)+IF(getRGB1($F916)="FFFFFF",0,4)</f>
        <v>2</v>
      </c>
    </row>
    <row r="917" spans="1:7">
      <c r="A917" t="s">
        <v>6663</v>
      </c>
      <c r="B917" s="197" t="s">
        <v>3278</v>
      </c>
      <c r="C917" s="192" t="s">
        <v>76</v>
      </c>
      <c r="D917" s="191" t="s">
        <v>174</v>
      </c>
      <c r="E917" s="191" t="s">
        <v>3181</v>
      </c>
      <c r="F917" s="191" t="s">
        <v>557</v>
      </c>
      <c r="G917">
        <f>IF(getRGB1($C917)="FFFFFF",0,1)+IF(getRGB1($D917)="FFFFFF",0,2)+IF(getRGB1($E917)="FFFFFF",0,3)+IF(getRGB1($F917)="FFFFFF",0,4)</f>
        <v>1</v>
      </c>
    </row>
    <row r="918" spans="1:7" ht="25.5">
      <c r="A918" t="s">
        <v>6663</v>
      </c>
      <c r="B918" s="197" t="s">
        <v>3279</v>
      </c>
      <c r="C918" s="192" t="s">
        <v>451</v>
      </c>
      <c r="D918" s="191" t="s">
        <v>3280</v>
      </c>
      <c r="E918" s="191" t="s">
        <v>205</v>
      </c>
      <c r="F918" s="191" t="s">
        <v>452</v>
      </c>
      <c r="G918">
        <f>IF(getRGB1($C918)="FFFFFF",0,1)+IF(getRGB1($D918)="FFFFFF",0,2)+IF(getRGB1($E918)="FFFFFF",0,3)+IF(getRGB1($F918)="FFFFFF",0,4)</f>
        <v>1</v>
      </c>
    </row>
    <row r="919" spans="1:7">
      <c r="A919" t="s">
        <v>6663</v>
      </c>
      <c r="B919" s="197" t="s">
        <v>3281</v>
      </c>
      <c r="C919" s="191" t="s">
        <v>3282</v>
      </c>
      <c r="D919" s="191" t="s">
        <v>3283</v>
      </c>
      <c r="E919" s="192" t="s">
        <v>3284</v>
      </c>
      <c r="F919" s="191" t="s">
        <v>3285</v>
      </c>
      <c r="G919">
        <f>IF(getRGB1($C919)="FFFFFF",0,1)+IF(getRGB1($D919)="FFFFFF",0,2)+IF(getRGB1($E919)="FFFFFF",0,3)+IF(getRGB1($F919)="FFFFFF",0,4)</f>
        <v>3</v>
      </c>
    </row>
    <row r="920" spans="1:7">
      <c r="A920" t="s">
        <v>6663</v>
      </c>
      <c r="B920" s="197" t="s">
        <v>3286</v>
      </c>
      <c r="C920" s="191" t="s">
        <v>3287</v>
      </c>
      <c r="D920" s="192" t="s">
        <v>3282</v>
      </c>
      <c r="E920" s="191" t="s">
        <v>3288</v>
      </c>
      <c r="F920" s="191" t="s">
        <v>3289</v>
      </c>
      <c r="G920">
        <f>IF(getRGB1($C920)="FFFFFF",0,1)+IF(getRGB1($D920)="FFFFFF",0,2)+IF(getRGB1($E920)="FFFFFF",0,3)+IF(getRGB1($F920)="FFFFFF",0,4)</f>
        <v>2</v>
      </c>
    </row>
    <row r="921" spans="1:7" ht="38.25">
      <c r="A921" t="s">
        <v>6663</v>
      </c>
      <c r="B921" s="197" t="s">
        <v>3290</v>
      </c>
      <c r="C921" s="192" t="s">
        <v>3291</v>
      </c>
      <c r="D921" s="191" t="s">
        <v>3292</v>
      </c>
      <c r="E921" s="191" t="s">
        <v>3293</v>
      </c>
      <c r="F921" s="191" t="s">
        <v>3294</v>
      </c>
      <c r="G921">
        <f>IF(getRGB1($C921)="FFFFFF",0,1)+IF(getRGB1($D921)="FFFFFF",0,2)+IF(getRGB1($E921)="FFFFFF",0,3)+IF(getRGB1($F921)="FFFFFF",0,4)</f>
        <v>1</v>
      </c>
    </row>
    <row r="922" spans="1:7" ht="25.5">
      <c r="A922" t="s">
        <v>6663</v>
      </c>
      <c r="B922" s="190" t="s">
        <v>3295</v>
      </c>
      <c r="C922" s="191" t="s">
        <v>3296</v>
      </c>
      <c r="D922" s="192" t="s">
        <v>3297</v>
      </c>
      <c r="E922" s="191" t="s">
        <v>3298</v>
      </c>
      <c r="F922" s="191" t="s">
        <v>3299</v>
      </c>
      <c r="G922">
        <f>IF(getRGB1($C922)="FFFFFF",0,1)+IF(getRGB1($D922)="FFFFFF",0,2)+IF(getRGB1($E922)="FFFFFF",0,3)+IF(getRGB1($F922)="FFFFFF",0,4)</f>
        <v>2</v>
      </c>
    </row>
    <row r="923" spans="1:7" ht="25.5">
      <c r="A923" t="s">
        <v>6663</v>
      </c>
      <c r="B923" s="190" t="s">
        <v>3300</v>
      </c>
      <c r="C923" s="191" t="s">
        <v>174</v>
      </c>
      <c r="D923" s="192" t="s">
        <v>3301</v>
      </c>
      <c r="E923" s="191" t="s">
        <v>74</v>
      </c>
      <c r="F923" s="191" t="s">
        <v>173</v>
      </c>
      <c r="G923">
        <f>IF(getRGB1($C923)="FFFFFF",0,1)+IF(getRGB1($D923)="FFFFFF",0,2)+IF(getRGB1($E923)="FFFFFF",0,3)+IF(getRGB1($F923)="FFFFFF",0,4)</f>
        <v>2</v>
      </c>
    </row>
    <row r="924" spans="1:7">
      <c r="A924" t="s">
        <v>6663</v>
      </c>
      <c r="B924" s="198" t="s">
        <v>3302</v>
      </c>
      <c r="C924" s="199" t="s">
        <v>3303</v>
      </c>
      <c r="D924" s="199" t="s">
        <v>3304</v>
      </c>
      <c r="E924" s="199" t="s">
        <v>3305</v>
      </c>
      <c r="F924" s="200" t="s">
        <v>2812</v>
      </c>
      <c r="G924">
        <f>IF(getRGB1($C924)="FFFFFF",0,1)+IF(getRGB1($D924)="FFFFFF",0,2)+IF(getRGB1($E924)="FFFFFF",0,3)+IF(getRGB1($F924)="FFFFFF",0,4)</f>
        <v>4</v>
      </c>
    </row>
    <row r="925" spans="1:7" ht="24">
      <c r="A925" t="s">
        <v>6663</v>
      </c>
      <c r="B925" s="198" t="s">
        <v>3306</v>
      </c>
      <c r="C925" s="199" t="s">
        <v>570</v>
      </c>
      <c r="D925" s="200" t="s">
        <v>451</v>
      </c>
      <c r="E925" s="199" t="s">
        <v>205</v>
      </c>
      <c r="F925" s="199" t="s">
        <v>61</v>
      </c>
      <c r="G925">
        <f>IF(getRGB1($C925)="FFFFFF",0,1)+IF(getRGB1($D925)="FFFFFF",0,2)+IF(getRGB1($E925)="FFFFFF",0,3)+IF(getRGB1($F925)="FFFFFF",0,4)</f>
        <v>2</v>
      </c>
    </row>
    <row r="926" spans="1:7" ht="36">
      <c r="A926" t="s">
        <v>6663</v>
      </c>
      <c r="B926" s="198" t="s">
        <v>3307</v>
      </c>
      <c r="C926" s="199" t="s">
        <v>570</v>
      </c>
      <c r="D926" s="201" t="s">
        <v>205</v>
      </c>
      <c r="E926" s="200" t="s">
        <v>451</v>
      </c>
      <c r="F926" s="199" t="s">
        <v>61</v>
      </c>
      <c r="G926">
        <f>IF(getRGB1($C926)="FFFFFF",0,1)+IF(getRGB1($D926)="FFFFFF",0,2)+IF(getRGB1($E926)="FFFFFF",0,3)+IF(getRGB1($F926)="FFFFFF",0,4)</f>
        <v>3</v>
      </c>
    </row>
    <row r="927" spans="1:7" ht="36">
      <c r="A927" t="s">
        <v>6663</v>
      </c>
      <c r="B927" s="198" t="s">
        <v>3308</v>
      </c>
      <c r="C927" s="200" t="s">
        <v>451</v>
      </c>
      <c r="D927" s="202" t="s">
        <v>205</v>
      </c>
      <c r="E927" s="201" t="s">
        <v>570</v>
      </c>
      <c r="F927" s="199" t="s">
        <v>61</v>
      </c>
      <c r="G927">
        <f>IF(getRGB1($C927)="FFFFFF",0,1)+IF(getRGB1($D927)="FFFFFF",0,2)+IF(getRGB1($E927)="FFFFFF",0,3)+IF(getRGB1($F927)="FFFFFF",0,4)</f>
        <v>1</v>
      </c>
    </row>
    <row r="928" spans="1:7" ht="24">
      <c r="A928" t="s">
        <v>6663</v>
      </c>
      <c r="B928" s="198" t="s">
        <v>3309</v>
      </c>
      <c r="C928" s="199" t="s">
        <v>3310</v>
      </c>
      <c r="D928" s="199" t="s">
        <v>3311</v>
      </c>
      <c r="E928" s="199" t="s">
        <v>3312</v>
      </c>
      <c r="F928" s="200" t="s">
        <v>3313</v>
      </c>
      <c r="G928">
        <f>IF(getRGB1($C928)="FFFFFF",0,1)+IF(getRGB1($D928)="FFFFFF",0,2)+IF(getRGB1($E928)="FFFFFF",0,3)+IF(getRGB1($F928)="FFFFFF",0,4)</f>
        <v>4</v>
      </c>
    </row>
    <row r="929" spans="1:7" ht="72">
      <c r="A929" t="s">
        <v>6663</v>
      </c>
      <c r="B929" s="198" t="s">
        <v>3314</v>
      </c>
      <c r="C929" s="199" t="s">
        <v>3315</v>
      </c>
      <c r="D929" s="200" t="s">
        <v>3316</v>
      </c>
      <c r="E929" s="199" t="s">
        <v>3317</v>
      </c>
      <c r="F929" s="199" t="s">
        <v>3313</v>
      </c>
      <c r="G929">
        <f>IF(getRGB1($C929)="FFFFFF",0,1)+IF(getRGB1($D929)="FFFFFF",0,2)+IF(getRGB1($E929)="FFFFFF",0,3)+IF(getRGB1($F929)="FFFFFF",0,4)</f>
        <v>2</v>
      </c>
    </row>
    <row r="930" spans="1:7" ht="24">
      <c r="A930" t="s">
        <v>6663</v>
      </c>
      <c r="B930" s="198" t="s">
        <v>3318</v>
      </c>
      <c r="C930" s="200" t="s">
        <v>3319</v>
      </c>
      <c r="D930" s="199" t="s">
        <v>3320</v>
      </c>
      <c r="E930" s="199" t="s">
        <v>1230</v>
      </c>
      <c r="F930" s="199" t="s">
        <v>61</v>
      </c>
      <c r="G930">
        <f>IF(getRGB1($C930)="FFFFFF",0,1)+IF(getRGB1($D930)="FFFFFF",0,2)+IF(getRGB1($E930)="FFFFFF",0,3)+IF(getRGB1($F930)="FFFFFF",0,4)</f>
        <v>1</v>
      </c>
    </row>
    <row r="931" spans="1:7" ht="36">
      <c r="A931" t="s">
        <v>6663</v>
      </c>
      <c r="B931" s="203" t="s">
        <v>3321</v>
      </c>
      <c r="C931" s="199" t="s">
        <v>3322</v>
      </c>
      <c r="D931" s="199" t="s">
        <v>3323</v>
      </c>
      <c r="E931" s="200" t="s">
        <v>3324</v>
      </c>
      <c r="F931" s="199" t="s">
        <v>61</v>
      </c>
      <c r="G931">
        <f>IF(getRGB1($C931)="FFFFFF",0,1)+IF(getRGB1($D931)="FFFFFF",0,2)+IF(getRGB1($E931)="FFFFFF",0,3)+IF(getRGB1($F931)="FFFFFF",0,4)</f>
        <v>3</v>
      </c>
    </row>
    <row r="932" spans="1:7" ht="48">
      <c r="A932" t="s">
        <v>6663</v>
      </c>
      <c r="B932" s="203" t="s">
        <v>3325</v>
      </c>
      <c r="C932" s="199" t="s">
        <v>3326</v>
      </c>
      <c r="D932" s="199" t="s">
        <v>3327</v>
      </c>
      <c r="E932" s="199" t="s">
        <v>3328</v>
      </c>
      <c r="F932" s="200" t="s">
        <v>1000</v>
      </c>
      <c r="G932">
        <f>IF(getRGB1($C932)="FFFFFF",0,1)+IF(getRGB1($D932)="FFFFFF",0,2)+IF(getRGB1($E932)="FFFFFF",0,3)+IF(getRGB1($F932)="FFFFFF",0,4)</f>
        <v>4</v>
      </c>
    </row>
    <row r="933" spans="1:7">
      <c r="A933" t="s">
        <v>6663</v>
      </c>
      <c r="B933" s="203" t="s">
        <v>3329</v>
      </c>
      <c r="C933" s="199" t="s">
        <v>3330</v>
      </c>
      <c r="D933" s="200" t="s">
        <v>3331</v>
      </c>
      <c r="E933" s="199" t="s">
        <v>3332</v>
      </c>
      <c r="F933" s="199" t="s">
        <v>61</v>
      </c>
      <c r="G933">
        <f>IF(getRGB1($C933)="FFFFFF",0,1)+IF(getRGB1($D933)="FFFFFF",0,2)+IF(getRGB1($E933)="FFFFFF",0,3)+IF(getRGB1($F933)="FFFFFF",0,4)</f>
        <v>2</v>
      </c>
    </row>
    <row r="934" spans="1:7">
      <c r="A934" t="s">
        <v>6663</v>
      </c>
      <c r="B934" s="203" t="s">
        <v>3333</v>
      </c>
      <c r="C934" s="199" t="s">
        <v>3334</v>
      </c>
      <c r="D934" s="199" t="s">
        <v>3335</v>
      </c>
      <c r="E934" s="200" t="s">
        <v>3336</v>
      </c>
      <c r="F934" s="199" t="s">
        <v>61</v>
      </c>
      <c r="G934">
        <f>IF(getRGB1($C934)="FFFFFF",0,1)+IF(getRGB1($D934)="FFFFFF",0,2)+IF(getRGB1($E934)="FFFFFF",0,3)+IF(getRGB1($F934)="FFFFFF",0,4)</f>
        <v>3</v>
      </c>
    </row>
    <row r="935" spans="1:7" ht="24">
      <c r="A935" t="s">
        <v>6663</v>
      </c>
      <c r="B935" s="203" t="s">
        <v>3337</v>
      </c>
      <c r="C935" s="199" t="s">
        <v>3338</v>
      </c>
      <c r="D935" s="200" t="s">
        <v>3339</v>
      </c>
      <c r="E935" s="199" t="s">
        <v>1230</v>
      </c>
      <c r="F935" s="199" t="s">
        <v>61</v>
      </c>
      <c r="G935">
        <f>IF(getRGB1($C935)="FFFFFF",0,1)+IF(getRGB1($D935)="FFFFFF",0,2)+IF(getRGB1($E935)="FFFFFF",0,3)+IF(getRGB1($F935)="FFFFFF",0,4)</f>
        <v>2</v>
      </c>
    </row>
    <row r="936" spans="1:7" ht="24">
      <c r="A936" t="s">
        <v>6663</v>
      </c>
      <c r="B936" s="203" t="s">
        <v>3340</v>
      </c>
      <c r="C936" s="200" t="s">
        <v>3338</v>
      </c>
      <c r="D936" s="199" t="s">
        <v>3339</v>
      </c>
      <c r="E936" s="199" t="s">
        <v>1230</v>
      </c>
      <c r="F936" s="199" t="s">
        <v>61</v>
      </c>
      <c r="G936">
        <f>IF(getRGB1($C936)="FFFFFF",0,1)+IF(getRGB1($D936)="FFFFFF",0,2)+IF(getRGB1($E936)="FFFFFF",0,3)+IF(getRGB1($F936)="FFFFFF",0,4)</f>
        <v>1</v>
      </c>
    </row>
    <row r="937" spans="1:7" ht="36">
      <c r="A937" t="s">
        <v>6663</v>
      </c>
      <c r="B937" s="203" t="s">
        <v>3341</v>
      </c>
      <c r="C937" s="199" t="s">
        <v>3342</v>
      </c>
      <c r="D937" s="199" t="s">
        <v>3343</v>
      </c>
      <c r="E937" s="199" t="s">
        <v>3344</v>
      </c>
      <c r="F937" s="200" t="s">
        <v>1000</v>
      </c>
      <c r="G937">
        <f>IF(getRGB1($C937)="FFFFFF",0,1)+IF(getRGB1($D937)="FFFFFF",0,2)+IF(getRGB1($E937)="FFFFFF",0,3)+IF(getRGB1($F937)="FFFFFF",0,4)</f>
        <v>4</v>
      </c>
    </row>
    <row r="938" spans="1:7" ht="24">
      <c r="A938" t="s">
        <v>6663</v>
      </c>
      <c r="B938" s="203" t="s">
        <v>3345</v>
      </c>
      <c r="C938" s="199" t="s">
        <v>3346</v>
      </c>
      <c r="D938" s="200" t="s">
        <v>3347</v>
      </c>
      <c r="E938" s="199" t="s">
        <v>3348</v>
      </c>
      <c r="F938" s="199" t="s">
        <v>61</v>
      </c>
      <c r="G938">
        <f>IF(getRGB1($C938)="FFFFFF",0,1)+IF(getRGB1($D938)="FFFFFF",0,2)+IF(getRGB1($E938)="FFFFFF",0,3)+IF(getRGB1($F938)="FFFFFF",0,4)</f>
        <v>2</v>
      </c>
    </row>
    <row r="939" spans="1:7" ht="24">
      <c r="A939" t="s">
        <v>6663</v>
      </c>
      <c r="B939" s="204" t="s">
        <v>3349</v>
      </c>
      <c r="C939" s="199" t="s">
        <v>3350</v>
      </c>
      <c r="D939" s="199" t="s">
        <v>3351</v>
      </c>
      <c r="E939" s="200" t="s">
        <v>3352</v>
      </c>
      <c r="F939" s="199" t="s">
        <v>61</v>
      </c>
      <c r="G939">
        <f>IF(getRGB1($C939)="FFFFFF",0,1)+IF(getRGB1($D939)="FFFFFF",0,2)+IF(getRGB1($E939)="FFFFFF",0,3)+IF(getRGB1($F939)="FFFFFF",0,4)</f>
        <v>3</v>
      </c>
    </row>
    <row r="940" spans="1:7" ht="24">
      <c r="A940" t="s">
        <v>6663</v>
      </c>
      <c r="B940" s="203" t="s">
        <v>3353</v>
      </c>
      <c r="C940" s="200" t="s">
        <v>204</v>
      </c>
      <c r="D940" s="199" t="s">
        <v>203</v>
      </c>
      <c r="E940" s="199" t="s">
        <v>451</v>
      </c>
      <c r="F940" s="199" t="s">
        <v>61</v>
      </c>
      <c r="G940">
        <f>IF(getRGB1($C940)="FFFFFF",0,1)+IF(getRGB1($D940)="FFFFFF",0,2)+IF(getRGB1($E940)="FFFFFF",0,3)+IF(getRGB1($F940)="FFFFFF",0,4)</f>
        <v>1</v>
      </c>
    </row>
    <row r="941" spans="1:7" ht="36">
      <c r="A941" t="s">
        <v>6663</v>
      </c>
      <c r="B941" s="203" t="s">
        <v>3354</v>
      </c>
      <c r="C941" s="199" t="s">
        <v>204</v>
      </c>
      <c r="D941" s="200" t="s">
        <v>203</v>
      </c>
      <c r="E941" s="199" t="s">
        <v>451</v>
      </c>
      <c r="F941" s="199" t="s">
        <v>61</v>
      </c>
      <c r="G941">
        <f>IF(getRGB1($C941)="FFFFFF",0,1)+IF(getRGB1($D941)="FFFFFF",0,2)+IF(getRGB1($E941)="FFFFFF",0,3)+IF(getRGB1($F941)="FFFFFF",0,4)</f>
        <v>2</v>
      </c>
    </row>
    <row r="942" spans="1:7">
      <c r="A942" t="s">
        <v>6663</v>
      </c>
      <c r="B942" s="198" t="s">
        <v>3355</v>
      </c>
      <c r="C942" s="199" t="s">
        <v>3356</v>
      </c>
      <c r="D942" s="199" t="s">
        <v>3357</v>
      </c>
      <c r="E942" s="199" t="s">
        <v>3358</v>
      </c>
      <c r="F942" s="200" t="s">
        <v>3359</v>
      </c>
      <c r="G942">
        <f>IF(getRGB1($C942)="FFFFFF",0,1)+IF(getRGB1($D942)="FFFFFF",0,2)+IF(getRGB1($E942)="FFFFFF",0,3)+IF(getRGB1($F942)="FFFFFF",0,4)</f>
        <v>4</v>
      </c>
    </row>
    <row r="943" spans="1:7" ht="36">
      <c r="A943" t="s">
        <v>6663</v>
      </c>
      <c r="B943" s="198" t="s">
        <v>3360</v>
      </c>
      <c r="C943" s="198" t="s">
        <v>3361</v>
      </c>
      <c r="D943" s="200" t="s">
        <v>3362</v>
      </c>
      <c r="E943" s="199" t="s">
        <v>3363</v>
      </c>
      <c r="F943" s="199" t="s">
        <v>61</v>
      </c>
      <c r="G943">
        <f>IF(getRGB1($C943)="FFFFFF",0,1)+IF(getRGB1($D943)="FFFFFF",0,2)+IF(getRGB1($E943)="FFFFFF",0,3)+IF(getRGB1($F943)="FFFFFF",0,4)</f>
        <v>2</v>
      </c>
    </row>
    <row r="944" spans="1:7" ht="24">
      <c r="A944" t="s">
        <v>6663</v>
      </c>
      <c r="B944" s="198" t="s">
        <v>3364</v>
      </c>
      <c r="C944" s="198" t="s">
        <v>3365</v>
      </c>
      <c r="D944" s="199" t="s">
        <v>3366</v>
      </c>
      <c r="E944" s="200" t="s">
        <v>3367</v>
      </c>
      <c r="F944" s="199" t="s">
        <v>3368</v>
      </c>
      <c r="G944">
        <f>IF(getRGB1($C944)="FFFFFF",0,1)+IF(getRGB1($D944)="FFFFFF",0,2)+IF(getRGB1($E944)="FFFFFF",0,3)+IF(getRGB1($F944)="FFFFFF",0,4)</f>
        <v>3</v>
      </c>
    </row>
    <row r="945" spans="1:7" ht="60">
      <c r="A945" t="s">
        <v>6663</v>
      </c>
      <c r="B945" s="198" t="s">
        <v>3369</v>
      </c>
      <c r="C945" s="198" t="s">
        <v>3370</v>
      </c>
      <c r="D945" s="198" t="s">
        <v>3371</v>
      </c>
      <c r="E945" s="198" t="s">
        <v>3372</v>
      </c>
      <c r="F945" s="200" t="s">
        <v>3373</v>
      </c>
      <c r="G945">
        <f>IF(getRGB1($C945)="FFFFFF",0,1)+IF(getRGB1($D945)="FFFFFF",0,2)+IF(getRGB1($E945)="FFFFFF",0,3)+IF(getRGB1($F945)="FFFFFF",0,4)</f>
        <v>4</v>
      </c>
    </row>
    <row r="946" spans="1:7" ht="45">
      <c r="A946" t="s">
        <v>6663</v>
      </c>
      <c r="B946" s="205" t="s">
        <v>3374</v>
      </c>
      <c r="C946" s="206" t="s">
        <v>3375</v>
      </c>
      <c r="D946" s="207" t="s">
        <v>3376</v>
      </c>
      <c r="E946" s="208" t="s">
        <v>61</v>
      </c>
      <c r="F946" s="208" t="s">
        <v>3377</v>
      </c>
      <c r="G946">
        <f>IF(getRGB1($C946)="FFFFFF",0,1)+IF(getRGB1($D946)="FFFFFF",0,2)+IF(getRGB1($E946)="FFFFFF",0,3)+IF(getRGB1($F946)="FFFFFF",0,4)</f>
        <v>2</v>
      </c>
    </row>
    <row r="947" spans="1:7">
      <c r="A947" t="s">
        <v>6663</v>
      </c>
      <c r="B947" s="209" t="s">
        <v>3378</v>
      </c>
      <c r="C947" s="210" t="s">
        <v>173</v>
      </c>
      <c r="D947" s="210" t="s">
        <v>174</v>
      </c>
      <c r="E947" s="211" t="s">
        <v>76</v>
      </c>
      <c r="F947" s="210" t="s">
        <v>3272</v>
      </c>
      <c r="G947">
        <f>IF(getRGB1($C947)="FFFFFF",0,1)+IF(getRGB1($D947)="FFFFFF",0,2)+IF(getRGB1($E947)="FFFFFF",0,3)+IF(getRGB1($F947)="FFFFFF",0,4)</f>
        <v>3</v>
      </c>
    </row>
    <row r="948" spans="1:7">
      <c r="A948" t="s">
        <v>6663</v>
      </c>
      <c r="B948" s="209" t="s">
        <v>3379</v>
      </c>
      <c r="C948" s="210" t="s">
        <v>173</v>
      </c>
      <c r="D948" s="210" t="s">
        <v>174</v>
      </c>
      <c r="E948" s="211" t="s">
        <v>76</v>
      </c>
      <c r="F948" s="210" t="s">
        <v>3272</v>
      </c>
      <c r="G948">
        <f>IF(getRGB1($C948)="FFFFFF",0,1)+IF(getRGB1($D948)="FFFFFF",0,2)+IF(getRGB1($E948)="FFFFFF",0,3)+IF(getRGB1($F948)="FFFFFF",0,4)</f>
        <v>3</v>
      </c>
    </row>
    <row r="949" spans="1:7">
      <c r="A949" t="s">
        <v>6663</v>
      </c>
      <c r="B949" s="209" t="s">
        <v>3380</v>
      </c>
      <c r="C949" s="210" t="s">
        <v>173</v>
      </c>
      <c r="D949" s="210" t="s">
        <v>174</v>
      </c>
      <c r="E949" s="211" t="s">
        <v>76</v>
      </c>
      <c r="F949" s="210" t="s">
        <v>3272</v>
      </c>
      <c r="G949">
        <f>IF(getRGB1($C949)="FFFFFF",0,1)+IF(getRGB1($D949)="FFFFFF",0,2)+IF(getRGB1($E949)="FFFFFF",0,3)+IF(getRGB1($F949)="FFFFFF",0,4)</f>
        <v>3</v>
      </c>
    </row>
    <row r="950" spans="1:7" ht="48">
      <c r="A950" t="s">
        <v>6663</v>
      </c>
      <c r="B950" s="212" t="s">
        <v>3381</v>
      </c>
      <c r="C950" s="212" t="s">
        <v>3382</v>
      </c>
      <c r="D950" s="212" t="s">
        <v>3383</v>
      </c>
      <c r="E950" s="213" t="s">
        <v>3384</v>
      </c>
      <c r="F950" s="214" t="s">
        <v>209</v>
      </c>
      <c r="G950">
        <f>IF(getRGB1($C950)="FFFFFF",0,1)+IF(getRGB1($D950)="FFFFFF",0,2)+IF(getRGB1($E950)="FFFFFF",0,3)+IF(getRGB1($F950)="FFFFFF",0,4)</f>
        <v>3</v>
      </c>
    </row>
    <row r="951" spans="1:7" ht="24.75">
      <c r="A951" t="s">
        <v>6663</v>
      </c>
      <c r="B951" s="215" t="s">
        <v>3385</v>
      </c>
      <c r="C951" s="216" t="s">
        <v>3386</v>
      </c>
      <c r="D951" s="209" t="s">
        <v>3387</v>
      </c>
      <c r="E951" s="211" t="s">
        <v>3384</v>
      </c>
      <c r="F951" s="210" t="s">
        <v>209</v>
      </c>
      <c r="G951">
        <f>IF(getRGB1($C951)="FFFFFF",0,1)+IF(getRGB1($D951)="FFFFFF",0,2)+IF(getRGB1($E951)="FFFFFF",0,3)+IF(getRGB1($F951)="FFFFFF",0,4)</f>
        <v>3</v>
      </c>
    </row>
    <row r="952" spans="1:7" ht="24.75">
      <c r="A952" t="s">
        <v>6663</v>
      </c>
      <c r="B952" s="209" t="s">
        <v>3388</v>
      </c>
      <c r="C952" s="217" t="s">
        <v>3389</v>
      </c>
      <c r="D952" s="218" t="s">
        <v>3390</v>
      </c>
      <c r="E952" s="218" t="s">
        <v>3391</v>
      </c>
      <c r="F952" s="210" t="s">
        <v>209</v>
      </c>
      <c r="G952">
        <f>IF(getRGB1($C952)="FFFFFF",0,1)+IF(getRGB1($D952)="FFFFFF",0,2)+IF(getRGB1($E952)="FFFFFF",0,3)+IF(getRGB1($F952)="FFFFFF",0,4)</f>
        <v>1</v>
      </c>
    </row>
    <row r="953" spans="1:7" ht="24.75">
      <c r="A953" t="s">
        <v>6663</v>
      </c>
      <c r="B953" s="209" t="s">
        <v>3392</v>
      </c>
      <c r="C953" s="219">
        <v>0.7</v>
      </c>
      <c r="D953" s="220">
        <v>0.8</v>
      </c>
      <c r="E953" s="220">
        <v>0.9</v>
      </c>
      <c r="F953" s="210" t="s">
        <v>209</v>
      </c>
      <c r="G953">
        <f>IF(getRGB1($C953)="FFFFFF",0,1)+IF(getRGB1($D953)="FFFFFF",0,2)+IF(getRGB1($E953)="FFFFFF",0,3)+IF(getRGB1($F953)="FFFFFF",0,4)</f>
        <v>1</v>
      </c>
    </row>
    <row r="954" spans="1:7" ht="72">
      <c r="A954" t="s">
        <v>6663</v>
      </c>
      <c r="B954" s="212" t="s">
        <v>3393</v>
      </c>
      <c r="C954" s="212" t="s">
        <v>3394</v>
      </c>
      <c r="D954" s="212" t="s">
        <v>3395</v>
      </c>
      <c r="E954" s="212" t="s">
        <v>3317</v>
      </c>
      <c r="F954" s="213" t="s">
        <v>3313</v>
      </c>
      <c r="G954">
        <f>IF(getRGB1($C954)="FFFFFF",0,1)+IF(getRGB1($D954)="FFFFFF",0,2)+IF(getRGB1($E954)="FFFFFF",0,3)+IF(getRGB1($F954)="FFFFFF",0,4)</f>
        <v>4</v>
      </c>
    </row>
    <row r="955" spans="1:7" ht="72">
      <c r="A955" t="s">
        <v>6663</v>
      </c>
      <c r="B955" s="212" t="s">
        <v>3396</v>
      </c>
      <c r="C955" s="212" t="s">
        <v>3394</v>
      </c>
      <c r="D955" s="212" t="s">
        <v>3397</v>
      </c>
      <c r="E955" s="212" t="s">
        <v>3317</v>
      </c>
      <c r="F955" s="213" t="s">
        <v>3313</v>
      </c>
      <c r="G955">
        <f>IF(getRGB1($C955)="FFFFFF",0,1)+IF(getRGB1($D955)="FFFFFF",0,2)+IF(getRGB1($E955)="FFFFFF",0,3)+IF(getRGB1($F955)="FFFFFF",0,4)</f>
        <v>4</v>
      </c>
    </row>
    <row r="956" spans="1:7" ht="37.5">
      <c r="A956" t="s">
        <v>6669</v>
      </c>
      <c r="B956" s="221" t="s">
        <v>3398</v>
      </c>
      <c r="C956" s="222" t="s">
        <v>3399</v>
      </c>
      <c r="D956" s="223" t="s">
        <v>3400</v>
      </c>
      <c r="E956" s="222" t="s">
        <v>3401</v>
      </c>
      <c r="F956" s="222" t="s">
        <v>3402</v>
      </c>
      <c r="G956">
        <f>IF(getRGB1($C956)="FFFFFF",0,1)+IF(getRGB1($D956)="FFFFFF",0,2)+IF(getRGB1($E956)="FFFFFF",0,3)+IF(getRGB1($F956)="FFFFFF",0,4)</f>
        <v>2</v>
      </c>
    </row>
    <row r="957" spans="1:7" ht="56.25">
      <c r="A957" t="s">
        <v>6669</v>
      </c>
      <c r="B957" s="221" t="s">
        <v>3403</v>
      </c>
      <c r="C957" s="222" t="s">
        <v>3404</v>
      </c>
      <c r="D957" s="222" t="s">
        <v>3405</v>
      </c>
      <c r="E957" s="222" t="s">
        <v>3406</v>
      </c>
      <c r="F957" s="223" t="s">
        <v>3407</v>
      </c>
      <c r="G957">
        <f>IF(getRGB1($C957)="FFFFFF",0,1)+IF(getRGB1($D957)="FFFFFF",0,2)+IF(getRGB1($E957)="FFFFFF",0,3)+IF(getRGB1($F957)="FFFFFF",0,4)</f>
        <v>4</v>
      </c>
    </row>
    <row r="958" spans="1:7" ht="37.5">
      <c r="A958" t="s">
        <v>6669</v>
      </c>
      <c r="B958" s="221" t="s">
        <v>3408</v>
      </c>
      <c r="C958" s="222" t="s">
        <v>3409</v>
      </c>
      <c r="D958" s="223" t="s">
        <v>3410</v>
      </c>
      <c r="E958" s="222" t="s">
        <v>3411</v>
      </c>
      <c r="F958" s="222" t="s">
        <v>3412</v>
      </c>
      <c r="G958">
        <f>IF(getRGB1($C958)="FFFFFF",0,1)+IF(getRGB1($D958)="FFFFFF",0,2)+IF(getRGB1($E958)="FFFFFF",0,3)+IF(getRGB1($F958)="FFFFFF",0,4)</f>
        <v>2</v>
      </c>
    </row>
    <row r="959" spans="1:7" ht="37.5">
      <c r="A959" t="s">
        <v>6669</v>
      </c>
      <c r="B959" s="221" t="s">
        <v>3413</v>
      </c>
      <c r="C959" s="223" t="s">
        <v>3409</v>
      </c>
      <c r="D959" s="222" t="s">
        <v>3410</v>
      </c>
      <c r="E959" s="222" t="s">
        <v>3411</v>
      </c>
      <c r="F959" s="222" t="s">
        <v>3412</v>
      </c>
      <c r="G959">
        <f>IF(getRGB1($C959)="FFFFFF",0,1)+IF(getRGB1($D959)="FFFFFF",0,2)+IF(getRGB1($E959)="FFFFFF",0,3)+IF(getRGB1($F959)="FFFFFF",0,4)</f>
        <v>1</v>
      </c>
    </row>
    <row r="960" spans="1:7" ht="37.5">
      <c r="A960" t="s">
        <v>6669</v>
      </c>
      <c r="B960" s="221" t="s">
        <v>3414</v>
      </c>
      <c r="C960" s="223" t="s">
        <v>3415</v>
      </c>
      <c r="D960" s="222" t="s">
        <v>3416</v>
      </c>
      <c r="E960" s="222" t="s">
        <v>3417</v>
      </c>
      <c r="F960" s="222" t="s">
        <v>3418</v>
      </c>
      <c r="G960">
        <f>IF(getRGB1($C960)="FFFFFF",0,1)+IF(getRGB1($D960)="FFFFFF",0,2)+IF(getRGB1($E960)="FFFFFF",0,3)+IF(getRGB1($F960)="FFFFFF",0,4)</f>
        <v>1</v>
      </c>
    </row>
    <row r="961" spans="1:7" ht="37.5">
      <c r="A961" t="s">
        <v>6669</v>
      </c>
      <c r="B961" s="221" t="s">
        <v>3419</v>
      </c>
      <c r="C961" s="222" t="s">
        <v>3420</v>
      </c>
      <c r="D961" s="222" t="s">
        <v>3421</v>
      </c>
      <c r="E961" s="223" t="s">
        <v>3422</v>
      </c>
      <c r="F961" s="222" t="s">
        <v>3423</v>
      </c>
      <c r="G961">
        <f>IF(getRGB1($C961)="FFFFFF",0,1)+IF(getRGB1($D961)="FFFFFF",0,2)+IF(getRGB1($E961)="FFFFFF",0,3)+IF(getRGB1($F961)="FFFFFF",0,4)</f>
        <v>3</v>
      </c>
    </row>
    <row r="962" spans="1:7" ht="93.75">
      <c r="A962" t="s">
        <v>6669</v>
      </c>
      <c r="B962" s="221" t="s">
        <v>3424</v>
      </c>
      <c r="C962" s="222" t="s">
        <v>3425</v>
      </c>
      <c r="D962" s="222" t="s">
        <v>3426</v>
      </c>
      <c r="E962" s="223" t="s">
        <v>3427</v>
      </c>
      <c r="F962" s="222" t="s">
        <v>3428</v>
      </c>
      <c r="G962">
        <f>IF(getRGB1($C962)="FFFFFF",0,1)+IF(getRGB1($D962)="FFFFFF",0,2)+IF(getRGB1($E962)="FFFFFF",0,3)+IF(getRGB1($F962)="FFFFFF",0,4)</f>
        <v>3</v>
      </c>
    </row>
    <row r="963" spans="1:7" ht="37.5">
      <c r="A963" t="s">
        <v>6669</v>
      </c>
      <c r="B963" s="221" t="s">
        <v>3429</v>
      </c>
      <c r="C963" s="222" t="s">
        <v>3430</v>
      </c>
      <c r="D963" s="222" t="s">
        <v>3431</v>
      </c>
      <c r="E963" s="222" t="s">
        <v>3432</v>
      </c>
      <c r="F963" s="223" t="s">
        <v>3433</v>
      </c>
      <c r="G963">
        <f>IF(getRGB1($C963)="FFFFFF",0,1)+IF(getRGB1($D963)="FFFFFF",0,2)+IF(getRGB1($E963)="FFFFFF",0,3)+IF(getRGB1($F963)="FFFFFF",0,4)</f>
        <v>4</v>
      </c>
    </row>
    <row r="964" spans="1:7" ht="37.5">
      <c r="A964" t="s">
        <v>6669</v>
      </c>
      <c r="B964" s="221" t="s">
        <v>3434</v>
      </c>
      <c r="C964" s="222" t="s">
        <v>3435</v>
      </c>
      <c r="D964" s="224">
        <v>2.5000000000000001E-2</v>
      </c>
      <c r="E964" s="222" t="s">
        <v>3436</v>
      </c>
      <c r="F964" s="225">
        <v>1.4999999999999999E-2</v>
      </c>
      <c r="G964">
        <f>IF(getRGB1($C964)="FFFFFF",0,1)+IF(getRGB1($D964)="FFFFFF",0,2)+IF(getRGB1($E964)="FFFFFF",0,3)+IF(getRGB1($F964)="FFFFFF",0,4)</f>
        <v>4</v>
      </c>
    </row>
    <row r="965" spans="1:7" ht="37.5">
      <c r="A965" t="s">
        <v>6669</v>
      </c>
      <c r="B965" s="221" t="s">
        <v>3437</v>
      </c>
      <c r="C965" s="222" t="s">
        <v>3438</v>
      </c>
      <c r="D965" s="222" t="s">
        <v>3439</v>
      </c>
      <c r="E965" s="223" t="s">
        <v>3440</v>
      </c>
      <c r="F965" s="222" t="s">
        <v>3441</v>
      </c>
      <c r="G965">
        <f>IF(getRGB1($C965)="FFFFFF",0,1)+IF(getRGB1($D965)="FFFFFF",0,2)+IF(getRGB1($E965)="FFFFFF",0,3)+IF(getRGB1($F965)="FFFFFF",0,4)</f>
        <v>3</v>
      </c>
    </row>
    <row r="966" spans="1:7" ht="37.5">
      <c r="A966" t="s">
        <v>6669</v>
      </c>
      <c r="B966" s="221" t="s">
        <v>3419</v>
      </c>
      <c r="C966" s="222" t="s">
        <v>3442</v>
      </c>
      <c r="D966" s="223" t="s">
        <v>3422</v>
      </c>
      <c r="E966" s="222" t="s">
        <v>3443</v>
      </c>
      <c r="F966" s="222" t="s">
        <v>3444</v>
      </c>
      <c r="G966">
        <f>IF(getRGB1($C966)="FFFFFF",0,1)+IF(getRGB1($D966)="FFFFFF",0,2)+IF(getRGB1($E966)="FFFFFF",0,3)+IF(getRGB1($F966)="FFFFFF",0,4)</f>
        <v>2</v>
      </c>
    </row>
    <row r="967" spans="1:7" ht="37.5">
      <c r="A967" t="s">
        <v>6669</v>
      </c>
      <c r="B967" s="221" t="s">
        <v>3445</v>
      </c>
      <c r="C967" s="222" t="s">
        <v>3446</v>
      </c>
      <c r="D967" s="222" t="s">
        <v>3447</v>
      </c>
      <c r="E967" s="223" t="s">
        <v>3448</v>
      </c>
      <c r="F967" s="222" t="s">
        <v>3449</v>
      </c>
      <c r="G967">
        <f>IF(getRGB1($C967)="FFFFFF",0,1)+IF(getRGB1($D967)="FFFFFF",0,2)+IF(getRGB1($E967)="FFFFFF",0,3)+IF(getRGB1($F967)="FFFFFF",0,4)</f>
        <v>3</v>
      </c>
    </row>
    <row r="968" spans="1:7" ht="37.5">
      <c r="A968" t="s">
        <v>6669</v>
      </c>
      <c r="B968" s="221" t="s">
        <v>3450</v>
      </c>
      <c r="C968" s="226">
        <v>0.01</v>
      </c>
      <c r="D968" s="227">
        <v>1.4999999999999999E-2</v>
      </c>
      <c r="E968" s="228">
        <v>0.02</v>
      </c>
      <c r="F968" s="226">
        <v>0.03</v>
      </c>
      <c r="G968">
        <f>IF(getRGB1($C968)="FFFFFF",0,1)+IF(getRGB1($D968)="FFFFFF",0,2)+IF(getRGB1($E968)="FFFFFF",0,3)+IF(getRGB1($F968)="FFFFFF",0,4)</f>
        <v>2</v>
      </c>
    </row>
    <row r="969" spans="1:7" ht="18.75">
      <c r="A969" t="s">
        <v>6669</v>
      </c>
      <c r="B969" s="221" t="s">
        <v>3451</v>
      </c>
      <c r="C969" s="226">
        <v>0.01</v>
      </c>
      <c r="D969" s="229">
        <v>1.4999999999999999E-2</v>
      </c>
      <c r="E969" s="230">
        <v>0.02</v>
      </c>
      <c r="F969" s="226">
        <v>0.03</v>
      </c>
      <c r="G969">
        <f>IF(getRGB1($C969)="FFFFFF",0,1)+IF(getRGB1($D969)="FFFFFF",0,2)+IF(getRGB1($E969)="FFFFFF",0,3)+IF(getRGB1($F969)="FFFFFF",0,4)</f>
        <v>3</v>
      </c>
    </row>
    <row r="970" spans="1:7" ht="37.5">
      <c r="A970" t="s">
        <v>6669</v>
      </c>
      <c r="B970" s="221" t="s">
        <v>3452</v>
      </c>
      <c r="C970" s="222" t="s">
        <v>3453</v>
      </c>
      <c r="D970" s="222" t="s">
        <v>3454</v>
      </c>
      <c r="E970" s="222" t="s">
        <v>3439</v>
      </c>
      <c r="F970" s="223" t="s">
        <v>3441</v>
      </c>
      <c r="G970">
        <f>IF(getRGB1($C970)="FFFFFF",0,1)+IF(getRGB1($D970)="FFFFFF",0,2)+IF(getRGB1($E970)="FFFFFF",0,3)+IF(getRGB1($F970)="FFFFFF",0,4)</f>
        <v>4</v>
      </c>
    </row>
    <row r="971" spans="1:7" ht="37.5">
      <c r="A971" t="s">
        <v>6669</v>
      </c>
      <c r="B971" s="221" t="s">
        <v>3455</v>
      </c>
      <c r="C971" s="222" t="s">
        <v>3456</v>
      </c>
      <c r="D971" s="222" t="s">
        <v>3457</v>
      </c>
      <c r="E971" s="223" t="s">
        <v>3458</v>
      </c>
      <c r="F971" s="222" t="s">
        <v>3459</v>
      </c>
      <c r="G971">
        <f>IF(getRGB1($C971)="FFFFFF",0,1)+IF(getRGB1($D971)="FFFFFF",0,2)+IF(getRGB1($E971)="FFFFFF",0,3)+IF(getRGB1($F971)="FFFFFF",0,4)</f>
        <v>3</v>
      </c>
    </row>
    <row r="972" spans="1:7" ht="37.5">
      <c r="A972" t="s">
        <v>6669</v>
      </c>
      <c r="B972" s="221" t="s">
        <v>3413</v>
      </c>
      <c r="C972" s="223" t="s">
        <v>3409</v>
      </c>
      <c r="D972" s="222" t="s">
        <v>3410</v>
      </c>
      <c r="E972" s="222" t="s">
        <v>3411</v>
      </c>
      <c r="F972" s="222" t="s">
        <v>3412</v>
      </c>
      <c r="G972">
        <f>IF(getRGB1($C972)="FFFFFF",0,1)+IF(getRGB1($D972)="FFFFFF",0,2)+IF(getRGB1($E972)="FFFFFF",0,3)+IF(getRGB1($F972)="FFFFFF",0,4)</f>
        <v>1</v>
      </c>
    </row>
    <row r="973" spans="1:7" ht="37.5">
      <c r="A973" t="s">
        <v>6669</v>
      </c>
      <c r="B973" s="221" t="s">
        <v>3460</v>
      </c>
      <c r="C973" s="222" t="s">
        <v>3461</v>
      </c>
      <c r="D973" s="222" t="s">
        <v>3462</v>
      </c>
      <c r="E973" s="223" t="s">
        <v>3463</v>
      </c>
      <c r="F973" s="222" t="s">
        <v>3464</v>
      </c>
      <c r="G973">
        <f>IF(getRGB1($C973)="FFFFFF",0,1)+IF(getRGB1($D973)="FFFFFF",0,2)+IF(getRGB1($E973)="FFFFFF",0,3)+IF(getRGB1($F973)="FFFFFF",0,4)</f>
        <v>3</v>
      </c>
    </row>
    <row r="974" spans="1:7" ht="37.5">
      <c r="A974" t="s">
        <v>6669</v>
      </c>
      <c r="B974" s="221" t="s">
        <v>3465</v>
      </c>
      <c r="C974" s="222" t="s">
        <v>3466</v>
      </c>
      <c r="D974" s="222" t="s">
        <v>3467</v>
      </c>
      <c r="E974" s="222" t="s">
        <v>3468</v>
      </c>
      <c r="F974" s="223" t="s">
        <v>3469</v>
      </c>
      <c r="G974">
        <f>IF(getRGB1($C974)="FFFFFF",0,1)+IF(getRGB1($D974)="FFFFFF",0,2)+IF(getRGB1($E974)="FFFFFF",0,3)+IF(getRGB1($F974)="FFFFFF",0,4)</f>
        <v>4</v>
      </c>
    </row>
    <row r="975" spans="1:7" ht="37.5">
      <c r="A975" t="s">
        <v>6669</v>
      </c>
      <c r="B975" s="221" t="s">
        <v>3470</v>
      </c>
      <c r="C975" s="222" t="s">
        <v>3471</v>
      </c>
      <c r="D975" s="222" t="s">
        <v>3472</v>
      </c>
      <c r="E975" s="222" t="s">
        <v>3473</v>
      </c>
      <c r="F975" s="223" t="s">
        <v>2141</v>
      </c>
      <c r="G975">
        <f>IF(getRGB1($C975)="FFFFFF",0,1)+IF(getRGB1($D975)="FFFFFF",0,2)+IF(getRGB1($E975)="FFFFFF",0,3)+IF(getRGB1($F975)="FFFFFF",0,4)</f>
        <v>4</v>
      </c>
    </row>
    <row r="976" spans="1:7" ht="37.5">
      <c r="A976" t="s">
        <v>6669</v>
      </c>
      <c r="B976" s="221" t="s">
        <v>3474</v>
      </c>
      <c r="C976" s="222" t="s">
        <v>3475</v>
      </c>
      <c r="D976" s="223" t="s">
        <v>3476</v>
      </c>
      <c r="E976" s="222" t="s">
        <v>3477</v>
      </c>
      <c r="F976" s="222" t="s">
        <v>3478</v>
      </c>
      <c r="G976">
        <f>IF(getRGB1($C976)="FFFFFF",0,1)+IF(getRGB1($D976)="FFFFFF",0,2)+IF(getRGB1($E976)="FFFFFF",0,3)+IF(getRGB1($F976)="FFFFFF",0,4)</f>
        <v>2</v>
      </c>
    </row>
    <row r="977" spans="1:7" ht="37.5">
      <c r="A977" t="s">
        <v>6669</v>
      </c>
      <c r="B977" s="221" t="s">
        <v>3479</v>
      </c>
      <c r="C977" s="222" t="s">
        <v>3480</v>
      </c>
      <c r="D977" s="222" t="s">
        <v>3481</v>
      </c>
      <c r="E977" s="222" t="s">
        <v>3482</v>
      </c>
      <c r="F977" s="223" t="s">
        <v>3483</v>
      </c>
      <c r="G977">
        <f>IF(getRGB1($C977)="FFFFFF",0,1)+IF(getRGB1($D977)="FFFFFF",0,2)+IF(getRGB1($E977)="FFFFFF",0,3)+IF(getRGB1($F977)="FFFFFF",0,4)</f>
        <v>4</v>
      </c>
    </row>
    <row r="978" spans="1:7" ht="56.25">
      <c r="A978" t="s">
        <v>6669</v>
      </c>
      <c r="B978" s="221" t="s">
        <v>3484</v>
      </c>
      <c r="C978" s="222" t="s">
        <v>3485</v>
      </c>
      <c r="D978" s="223" t="s">
        <v>3486</v>
      </c>
      <c r="E978" s="222" t="s">
        <v>3487</v>
      </c>
      <c r="F978" s="222" t="s">
        <v>3488</v>
      </c>
      <c r="G978">
        <f>IF(getRGB1($C978)="FFFFFF",0,1)+IF(getRGB1($D978)="FFFFFF",0,2)+IF(getRGB1($E978)="FFFFFF",0,3)+IF(getRGB1($F978)="FFFFFF",0,4)</f>
        <v>2</v>
      </c>
    </row>
    <row r="979" spans="1:7" ht="37.5">
      <c r="A979" t="s">
        <v>6669</v>
      </c>
      <c r="B979" s="221" t="s">
        <v>3489</v>
      </c>
      <c r="C979" s="226">
        <v>0.01</v>
      </c>
      <c r="D979" s="227">
        <v>1.4999999999999999E-2</v>
      </c>
      <c r="E979" s="226">
        <v>0.02</v>
      </c>
      <c r="F979" s="229">
        <v>2.5000000000000001E-2</v>
      </c>
      <c r="G979">
        <f>IF(getRGB1($C979)="FFFFFF",0,1)+IF(getRGB1($D979)="FFFFFF",0,2)+IF(getRGB1($E979)="FFFFFF",0,3)+IF(getRGB1($F979)="FFFFFF",0,4)</f>
        <v>2</v>
      </c>
    </row>
    <row r="980" spans="1:7" ht="37.5">
      <c r="A980" t="s">
        <v>6669</v>
      </c>
      <c r="B980" s="221" t="s">
        <v>3490</v>
      </c>
      <c r="C980" s="226">
        <v>0.01</v>
      </c>
      <c r="D980" s="231">
        <v>1.4999999999999999E-2</v>
      </c>
      <c r="E980" s="230">
        <v>0.03</v>
      </c>
      <c r="F980" s="229">
        <v>2.5000000000000001E-2</v>
      </c>
      <c r="G980">
        <f>IF(getRGB1($C980)="FFFFFF",0,1)+IF(getRGB1($D980)="FFFFFF",0,2)+IF(getRGB1($E980)="FFFFFF",0,3)+IF(getRGB1($F980)="FFFFFF",0,4)</f>
        <v>3</v>
      </c>
    </row>
    <row r="981" spans="1:7" ht="37.5">
      <c r="A981" t="s">
        <v>6669</v>
      </c>
      <c r="B981" s="221" t="s">
        <v>3491</v>
      </c>
      <c r="C981" s="226" t="s">
        <v>3492</v>
      </c>
      <c r="D981" s="225" t="s">
        <v>3493</v>
      </c>
      <c r="E981" s="228" t="s">
        <v>3494</v>
      </c>
      <c r="F981" s="224" t="s">
        <v>3495</v>
      </c>
      <c r="G981">
        <f>IF(getRGB1($C981)="FFFFFF",0,1)+IF(getRGB1($D981)="FFFFFF",0,2)+IF(getRGB1($E981)="FFFFFF",0,3)+IF(getRGB1($F981)="FFFFFF",0,4)</f>
        <v>2</v>
      </c>
    </row>
    <row r="982" spans="1:7" ht="37.5">
      <c r="A982" t="s">
        <v>6669</v>
      </c>
      <c r="B982" s="221" t="s">
        <v>3496</v>
      </c>
      <c r="C982" s="226">
        <v>0.01</v>
      </c>
      <c r="D982" s="224">
        <v>1.4999999999999999E-2</v>
      </c>
      <c r="E982" s="230">
        <v>0.02</v>
      </c>
      <c r="F982" s="224" t="s">
        <v>3497</v>
      </c>
      <c r="G982">
        <f>IF(getRGB1($C982)="FFFFFF",0,1)+IF(getRGB1($D982)="FFFFFF",0,2)+IF(getRGB1($E982)="FFFFFF",0,3)+IF(getRGB1($F982)="FFFFFF",0,4)</f>
        <v>3</v>
      </c>
    </row>
    <row r="983" spans="1:7" ht="93.75">
      <c r="A983" t="s">
        <v>6669</v>
      </c>
      <c r="B983" s="221" t="s">
        <v>6670</v>
      </c>
      <c r="C983" s="222" t="s">
        <v>3498</v>
      </c>
      <c r="D983" s="222" t="s">
        <v>3499</v>
      </c>
      <c r="E983" s="222" t="s">
        <v>3500</v>
      </c>
      <c r="F983" s="223" t="s">
        <v>3501</v>
      </c>
      <c r="G983">
        <f>IF(getRGB1($C983)="FFFFFF",0,1)+IF(getRGB1($D983)="FFFFFF",0,2)+IF(getRGB1($E983)="FFFFFF",0,3)+IF(getRGB1($F983)="FFFFFF",0,4)</f>
        <v>4</v>
      </c>
    </row>
    <row r="984" spans="1:7" ht="56.25">
      <c r="A984" t="s">
        <v>6669</v>
      </c>
      <c r="B984" s="221" t="s">
        <v>3502</v>
      </c>
      <c r="C984" s="222" t="s">
        <v>74</v>
      </c>
      <c r="D984" s="223" t="s">
        <v>137</v>
      </c>
      <c r="E984" s="222" t="s">
        <v>179</v>
      </c>
      <c r="F984" s="222" t="s">
        <v>76</v>
      </c>
      <c r="G984">
        <f>IF(getRGB1($C984)="FFFFFF",0,1)+IF(getRGB1($D984)="FFFFFF",0,2)+IF(getRGB1($E984)="FFFFFF",0,3)+IF(getRGB1($F984)="FFFFFF",0,4)</f>
        <v>2</v>
      </c>
    </row>
    <row r="985" spans="1:7" ht="37.5">
      <c r="A985" t="s">
        <v>6669</v>
      </c>
      <c r="B985" s="221" t="s">
        <v>3503</v>
      </c>
      <c r="C985" s="222" t="s">
        <v>179</v>
      </c>
      <c r="D985" s="222" t="s">
        <v>76</v>
      </c>
      <c r="E985" s="222" t="s">
        <v>74</v>
      </c>
      <c r="F985" s="223" t="s">
        <v>137</v>
      </c>
      <c r="G985">
        <f>IF(getRGB1($C985)="FFFFFF",0,1)+IF(getRGB1($D985)="FFFFFF",0,2)+IF(getRGB1($E985)="FFFFFF",0,3)+IF(getRGB1($F985)="FFFFFF",0,4)</f>
        <v>4</v>
      </c>
    </row>
    <row r="986" spans="1:7" ht="112.5">
      <c r="A986" t="s">
        <v>6669</v>
      </c>
      <c r="B986" s="221" t="s">
        <v>6647</v>
      </c>
      <c r="C986" s="222" t="s">
        <v>3504</v>
      </c>
      <c r="D986" s="222" t="s">
        <v>3505</v>
      </c>
      <c r="E986" s="223" t="s">
        <v>3506</v>
      </c>
      <c r="F986" s="222" t="s">
        <v>3507</v>
      </c>
      <c r="G986">
        <f>IF(getRGB1($C986)="FFFFFF",0,1)+IF(getRGB1($D986)="FFFFFF",0,2)+IF(getRGB1($E986)="FFFFFF",0,3)+IF(getRGB1($F986)="FFFFFF",0,4)</f>
        <v>3</v>
      </c>
    </row>
    <row r="987" spans="1:7" ht="37.5">
      <c r="A987" t="s">
        <v>6669</v>
      </c>
      <c r="B987" s="221" t="s">
        <v>3508</v>
      </c>
      <c r="C987" s="222" t="s">
        <v>3509</v>
      </c>
      <c r="D987" s="222" t="s">
        <v>3510</v>
      </c>
      <c r="E987" s="222" t="s">
        <v>3511</v>
      </c>
      <c r="F987" s="223" t="s">
        <v>3512</v>
      </c>
      <c r="G987">
        <f>IF(getRGB1($C987)="FFFFFF",0,1)+IF(getRGB1($D987)="FFFFFF",0,2)+IF(getRGB1($E987)="FFFFFF",0,3)+IF(getRGB1($F987)="FFFFFF",0,4)</f>
        <v>4</v>
      </c>
    </row>
    <row r="988" spans="1:7" ht="37.5">
      <c r="A988" t="s">
        <v>6669</v>
      </c>
      <c r="B988" s="221" t="s">
        <v>3513</v>
      </c>
      <c r="C988" s="222" t="s">
        <v>74</v>
      </c>
      <c r="D988" s="223" t="s">
        <v>557</v>
      </c>
      <c r="E988" s="222" t="s">
        <v>137</v>
      </c>
      <c r="F988" s="222" t="s">
        <v>177</v>
      </c>
      <c r="G988">
        <f>IF(getRGB1($C988)="FFFFFF",0,1)+IF(getRGB1($D988)="FFFFFF",0,2)+IF(getRGB1($E988)="FFFFFF",0,3)+IF(getRGB1($F988)="FFFFFF",0,4)</f>
        <v>2</v>
      </c>
    </row>
    <row r="989" spans="1:7" ht="37.5">
      <c r="A989" t="s">
        <v>6669</v>
      </c>
      <c r="B989" s="221" t="s">
        <v>3514</v>
      </c>
      <c r="C989" s="222" t="s">
        <v>74</v>
      </c>
      <c r="D989" s="222" t="s">
        <v>137</v>
      </c>
      <c r="E989" s="223" t="s">
        <v>3515</v>
      </c>
      <c r="F989" s="222" t="s">
        <v>3516</v>
      </c>
      <c r="G989">
        <f>IF(getRGB1($C989)="FFFFFF",0,1)+IF(getRGB1($D989)="FFFFFF",0,2)+IF(getRGB1($E989)="FFFFFF",0,3)+IF(getRGB1($F989)="FFFFFF",0,4)</f>
        <v>3</v>
      </c>
    </row>
    <row r="990" spans="1:7" ht="37.5">
      <c r="A990" t="s">
        <v>6669</v>
      </c>
      <c r="B990" s="221" t="s">
        <v>3517</v>
      </c>
      <c r="C990" s="222" t="s">
        <v>204</v>
      </c>
      <c r="D990" s="223" t="s">
        <v>203</v>
      </c>
      <c r="E990" s="222" t="s">
        <v>3518</v>
      </c>
      <c r="F990" s="222" t="s">
        <v>3519</v>
      </c>
      <c r="G990">
        <f>IF(getRGB1($C990)="FFFFFF",0,1)+IF(getRGB1($D990)="FFFFFF",0,2)+IF(getRGB1($E990)="FFFFFF",0,3)+IF(getRGB1($F990)="FFFFFF",0,4)</f>
        <v>2</v>
      </c>
    </row>
    <row r="991" spans="1:7" ht="112.5">
      <c r="A991" t="s">
        <v>6669</v>
      </c>
      <c r="B991" s="221" t="s">
        <v>6648</v>
      </c>
      <c r="C991" s="223" t="s">
        <v>3498</v>
      </c>
      <c r="D991" s="222" t="s">
        <v>3499</v>
      </c>
      <c r="E991" s="222" t="s">
        <v>3500</v>
      </c>
      <c r="F991" s="222" t="s">
        <v>3501</v>
      </c>
      <c r="G991">
        <f>IF(getRGB1($C991)="FFFFFF",0,1)+IF(getRGB1($D991)="FFFFFF",0,2)+IF(getRGB1($E991)="FFFFFF",0,3)+IF(getRGB1($F991)="FFFFFF",0,4)</f>
        <v>1</v>
      </c>
    </row>
    <row r="992" spans="1:7" ht="37.5">
      <c r="A992" t="s">
        <v>6669</v>
      </c>
      <c r="B992" s="221" t="s">
        <v>3520</v>
      </c>
      <c r="C992" s="223" t="s">
        <v>137</v>
      </c>
      <c r="D992" s="222" t="s">
        <v>179</v>
      </c>
      <c r="E992" s="222" t="s">
        <v>76</v>
      </c>
      <c r="F992" s="222" t="s">
        <v>74</v>
      </c>
      <c r="G992">
        <f>IF(getRGB1($C992)="FFFFFF",0,1)+IF(getRGB1($D992)="FFFFFF",0,2)+IF(getRGB1($E992)="FFFFFF",0,3)+IF(getRGB1($F992)="FFFFFF",0,4)</f>
        <v>1</v>
      </c>
    </row>
    <row r="993" spans="1:7" ht="37.5">
      <c r="A993" t="s">
        <v>6669</v>
      </c>
      <c r="B993" s="221" t="s">
        <v>3521</v>
      </c>
      <c r="C993" s="232" t="s">
        <v>179</v>
      </c>
      <c r="D993" s="232" t="s">
        <v>137</v>
      </c>
      <c r="E993" s="232" t="s">
        <v>74</v>
      </c>
      <c r="F993" s="233" t="s">
        <v>3522</v>
      </c>
      <c r="G993">
        <f>IF(getRGB1($C993)="FFFFFF",0,1)+IF(getRGB1($D993)="FFFFFF",0,2)+IF(getRGB1($E993)="FFFFFF",0,3)+IF(getRGB1($F993)="FFFFFF",0,4)</f>
        <v>4</v>
      </c>
    </row>
    <row r="994" spans="1:7" ht="37.5">
      <c r="A994" t="s">
        <v>6669</v>
      </c>
      <c r="B994" s="221" t="s">
        <v>3523</v>
      </c>
      <c r="C994" s="222" t="s">
        <v>3524</v>
      </c>
      <c r="D994" s="223" t="s">
        <v>803</v>
      </c>
      <c r="E994" s="222" t="s">
        <v>3525</v>
      </c>
      <c r="F994" s="222" t="s">
        <v>804</v>
      </c>
      <c r="G994">
        <f>IF(getRGB1($C994)="FFFFFF",0,1)+IF(getRGB1($D994)="FFFFFF",0,2)+IF(getRGB1($E994)="FFFFFF",0,3)+IF(getRGB1($F994)="FFFFFF",0,4)</f>
        <v>2</v>
      </c>
    </row>
    <row r="995" spans="1:7" ht="37.5">
      <c r="A995" t="s">
        <v>6669</v>
      </c>
      <c r="B995" s="221" t="s">
        <v>3526</v>
      </c>
      <c r="C995" s="222" t="s">
        <v>73</v>
      </c>
      <c r="D995" s="222" t="s">
        <v>179</v>
      </c>
      <c r="E995" s="222" t="s">
        <v>76</v>
      </c>
      <c r="F995" s="223" t="s">
        <v>137</v>
      </c>
      <c r="G995">
        <f>IF(getRGB1($C995)="FFFFFF",0,1)+IF(getRGB1($D995)="FFFFFF",0,2)+IF(getRGB1($E995)="FFFFFF",0,3)+IF(getRGB1($F995)="FFFFFF",0,4)</f>
        <v>4</v>
      </c>
    </row>
    <row r="996" spans="1:7" ht="18.75">
      <c r="A996" t="s">
        <v>6669</v>
      </c>
      <c r="B996" s="221" t="s">
        <v>3527</v>
      </c>
      <c r="C996" s="223" t="s">
        <v>3528</v>
      </c>
      <c r="D996" s="222" t="s">
        <v>3529</v>
      </c>
      <c r="E996" s="222" t="s">
        <v>3530</v>
      </c>
      <c r="F996" s="222" t="s">
        <v>2141</v>
      </c>
      <c r="G996">
        <f>IF(getRGB1($C996)="FFFFFF",0,1)+IF(getRGB1($D996)="FFFFFF",0,2)+IF(getRGB1($E996)="FFFFFF",0,3)+IF(getRGB1($F996)="FFFFFF",0,4)</f>
        <v>1</v>
      </c>
    </row>
    <row r="997" spans="1:7" ht="37.5">
      <c r="A997" t="s">
        <v>6669</v>
      </c>
      <c r="B997" s="221" t="s">
        <v>3531</v>
      </c>
      <c r="C997" s="222" t="s">
        <v>3528</v>
      </c>
      <c r="D997" s="222" t="s">
        <v>3529</v>
      </c>
      <c r="E997" s="222" t="s">
        <v>3530</v>
      </c>
      <c r="F997" s="223" t="s">
        <v>3532</v>
      </c>
      <c r="G997">
        <f>IF(getRGB1($C997)="FFFFFF",0,1)+IF(getRGB1($D997)="FFFFFF",0,2)+IF(getRGB1($E997)="FFFFFF",0,3)+IF(getRGB1($F997)="FFFFFF",0,4)</f>
        <v>4</v>
      </c>
    </row>
    <row r="998" spans="1:7" ht="37.5">
      <c r="A998" t="s">
        <v>6669</v>
      </c>
      <c r="B998" s="221" t="s">
        <v>3533</v>
      </c>
      <c r="C998" s="223" t="s">
        <v>3534</v>
      </c>
      <c r="D998" s="222" t="s">
        <v>3535</v>
      </c>
      <c r="E998" s="222" t="s">
        <v>3536</v>
      </c>
      <c r="F998" s="222" t="s">
        <v>3537</v>
      </c>
      <c r="G998">
        <f>IF(getRGB1($C998)="FFFFFF",0,1)+IF(getRGB1($D998)="FFFFFF",0,2)+IF(getRGB1($E998)="FFFFFF",0,3)+IF(getRGB1($F998)="FFFFFF",0,4)</f>
        <v>1</v>
      </c>
    </row>
    <row r="999" spans="1:7" ht="37.5">
      <c r="A999" t="s">
        <v>6669</v>
      </c>
      <c r="B999" s="221" t="s">
        <v>3538</v>
      </c>
      <c r="C999" s="222" t="s">
        <v>3472</v>
      </c>
      <c r="D999" s="223" t="s">
        <v>3539</v>
      </c>
      <c r="E999" s="222" t="s">
        <v>3466</v>
      </c>
      <c r="F999" s="222" t="s">
        <v>3540</v>
      </c>
      <c r="G999">
        <f>IF(getRGB1($C999)="FFFFFF",0,1)+IF(getRGB1($D999)="FFFFFF",0,2)+IF(getRGB1($E999)="FFFFFF",0,3)+IF(getRGB1($F999)="FFFFFF",0,4)</f>
        <v>2</v>
      </c>
    </row>
    <row r="1000" spans="1:7" ht="37.5">
      <c r="A1000" t="s">
        <v>6669</v>
      </c>
      <c r="B1000" s="221" t="s">
        <v>3541</v>
      </c>
      <c r="C1000" s="222" t="s">
        <v>3472</v>
      </c>
      <c r="D1000" s="222" t="s">
        <v>3539</v>
      </c>
      <c r="E1000" s="223" t="s">
        <v>3466</v>
      </c>
      <c r="F1000" s="222" t="s">
        <v>3540</v>
      </c>
      <c r="G1000">
        <f>IF(getRGB1($C1000)="FFFFFF",0,1)+IF(getRGB1($D1000)="FFFFFF",0,2)+IF(getRGB1($E1000)="FFFFFF",0,3)+IF(getRGB1($F1000)="FFFFFF",0,4)</f>
        <v>3</v>
      </c>
    </row>
    <row r="1001" spans="1:7" ht="37.5">
      <c r="A1001" t="s">
        <v>6669</v>
      </c>
      <c r="B1001" s="221" t="s">
        <v>3542</v>
      </c>
      <c r="C1001" s="223" t="s">
        <v>3543</v>
      </c>
      <c r="D1001" s="222" t="s">
        <v>3544</v>
      </c>
      <c r="E1001" s="222" t="s">
        <v>3545</v>
      </c>
      <c r="F1001" s="222" t="s">
        <v>3546</v>
      </c>
      <c r="G1001">
        <f>IF(getRGB1($C1001)="FFFFFF",0,1)+IF(getRGB1($D1001)="FFFFFF",0,2)+IF(getRGB1($E1001)="FFFFFF",0,3)+IF(getRGB1($F1001)="FFFFFF",0,4)</f>
        <v>1</v>
      </c>
    </row>
    <row r="1002" spans="1:7" ht="37.5">
      <c r="A1002" t="s">
        <v>6669</v>
      </c>
      <c r="B1002" s="221" t="s">
        <v>3547</v>
      </c>
      <c r="C1002" s="222" t="s">
        <v>3543</v>
      </c>
      <c r="D1002" s="223" t="s">
        <v>3544</v>
      </c>
      <c r="E1002" s="222" t="s">
        <v>3545</v>
      </c>
      <c r="F1002" s="222" t="s">
        <v>3546</v>
      </c>
      <c r="G1002">
        <f>IF(getRGB1($C1002)="FFFFFF",0,1)+IF(getRGB1($D1002)="FFFFFF",0,2)+IF(getRGB1($E1002)="FFFFFF",0,3)+IF(getRGB1($F1002)="FFFFFF",0,4)</f>
        <v>2</v>
      </c>
    </row>
    <row r="1003" spans="1:7" ht="37.5">
      <c r="A1003" t="s">
        <v>6669</v>
      </c>
      <c r="B1003" s="221" t="s">
        <v>3548</v>
      </c>
      <c r="C1003" s="222" t="s">
        <v>3543</v>
      </c>
      <c r="D1003" s="222" t="s">
        <v>3544</v>
      </c>
      <c r="E1003" s="223" t="s">
        <v>3545</v>
      </c>
      <c r="F1003" s="222" t="s">
        <v>3546</v>
      </c>
      <c r="G1003">
        <f>IF(getRGB1($C1003)="FFFFFF",0,1)+IF(getRGB1($D1003)="FFFFFF",0,2)+IF(getRGB1($E1003)="FFFFFF",0,3)+IF(getRGB1($F1003)="FFFFFF",0,4)</f>
        <v>3</v>
      </c>
    </row>
    <row r="1004" spans="1:7" ht="37.5">
      <c r="A1004" t="s">
        <v>6669</v>
      </c>
      <c r="B1004" s="221" t="s">
        <v>3549</v>
      </c>
      <c r="C1004" s="222" t="s">
        <v>3543</v>
      </c>
      <c r="D1004" s="222" t="s">
        <v>3544</v>
      </c>
      <c r="E1004" s="222" t="s">
        <v>3545</v>
      </c>
      <c r="F1004" s="223" t="s">
        <v>3546</v>
      </c>
      <c r="G1004">
        <f>IF(getRGB1($C1004)="FFFFFF",0,1)+IF(getRGB1($D1004)="FFFFFF",0,2)+IF(getRGB1($E1004)="FFFFFF",0,3)+IF(getRGB1($F1004)="FFFFFF",0,4)</f>
        <v>4</v>
      </c>
    </row>
    <row r="1005" spans="1:7" ht="37.5">
      <c r="A1005" t="s">
        <v>6669</v>
      </c>
      <c r="B1005" s="221" t="s">
        <v>3550</v>
      </c>
      <c r="C1005" s="222" t="s">
        <v>3543</v>
      </c>
      <c r="D1005" s="222" t="s">
        <v>3544</v>
      </c>
      <c r="E1005" s="223" t="s">
        <v>3551</v>
      </c>
      <c r="F1005" s="222" t="s">
        <v>3546</v>
      </c>
      <c r="G1005">
        <f>IF(getRGB1($C1005)="FFFFFF",0,1)+IF(getRGB1($D1005)="FFFFFF",0,2)+IF(getRGB1($E1005)="FFFFFF",0,3)+IF(getRGB1($F1005)="FFFFFF",0,4)</f>
        <v>3</v>
      </c>
    </row>
    <row r="1006" spans="1:7" ht="56.25">
      <c r="A1006" t="s">
        <v>6669</v>
      </c>
      <c r="B1006" s="221" t="s">
        <v>3552</v>
      </c>
      <c r="C1006" s="222" t="s">
        <v>3553</v>
      </c>
      <c r="D1006" s="223" t="s">
        <v>3554</v>
      </c>
      <c r="E1006" s="222" t="s">
        <v>3555</v>
      </c>
      <c r="F1006" s="222" t="s">
        <v>3556</v>
      </c>
      <c r="G1006">
        <f>IF(getRGB1($C1006)="FFFFFF",0,1)+IF(getRGB1($D1006)="FFFFFF",0,2)+IF(getRGB1($E1006)="FFFFFF",0,3)+IF(getRGB1($F1006)="FFFFFF",0,4)</f>
        <v>2</v>
      </c>
    </row>
    <row r="1007" spans="1:7" ht="37.5">
      <c r="A1007" t="s">
        <v>6669</v>
      </c>
      <c r="B1007" s="221" t="s">
        <v>3557</v>
      </c>
      <c r="C1007" s="222" t="s">
        <v>137</v>
      </c>
      <c r="D1007" s="222" t="s">
        <v>74</v>
      </c>
      <c r="E1007" s="223" t="s">
        <v>3558</v>
      </c>
      <c r="F1007" s="222" t="s">
        <v>2141</v>
      </c>
      <c r="G1007">
        <f>IF(getRGB1($C1007)="FFFFFF",0,1)+IF(getRGB1($D1007)="FFFFFF",0,2)+IF(getRGB1($E1007)="FFFFFF",0,3)+IF(getRGB1($F1007)="FFFFFF",0,4)</f>
        <v>3</v>
      </c>
    </row>
    <row r="1008" spans="1:7" ht="37.5">
      <c r="A1008" t="s">
        <v>6669</v>
      </c>
      <c r="B1008" s="221" t="s">
        <v>3559</v>
      </c>
      <c r="C1008" s="222" t="s">
        <v>3560</v>
      </c>
      <c r="D1008" s="222" t="s">
        <v>3561</v>
      </c>
      <c r="E1008" s="223" t="s">
        <v>3562</v>
      </c>
      <c r="F1008" s="222" t="s">
        <v>3563</v>
      </c>
      <c r="G1008">
        <f>IF(getRGB1($C1008)="FFFFFF",0,1)+IF(getRGB1($D1008)="FFFFFF",0,2)+IF(getRGB1($E1008)="FFFFFF",0,3)+IF(getRGB1($F1008)="FFFFFF",0,4)</f>
        <v>3</v>
      </c>
    </row>
    <row r="1009" spans="1:7" ht="37.5">
      <c r="A1009" t="s">
        <v>6669</v>
      </c>
      <c r="B1009" s="221" t="s">
        <v>3564</v>
      </c>
      <c r="C1009" s="222" t="s">
        <v>137</v>
      </c>
      <c r="D1009" s="222" t="s">
        <v>76</v>
      </c>
      <c r="E1009" s="223" t="s">
        <v>179</v>
      </c>
      <c r="F1009" s="222" t="s">
        <v>557</v>
      </c>
      <c r="G1009">
        <f>IF(getRGB1($C1009)="FFFFFF",0,1)+IF(getRGB1($D1009)="FFFFFF",0,2)+IF(getRGB1($E1009)="FFFFFF",0,3)+IF(getRGB1($F1009)="FFFFFF",0,4)</f>
        <v>3</v>
      </c>
    </row>
    <row r="1010" spans="1:7" ht="37.5">
      <c r="A1010" t="s">
        <v>6669</v>
      </c>
      <c r="B1010" s="221" t="s">
        <v>3565</v>
      </c>
      <c r="C1010" s="222" t="s">
        <v>137</v>
      </c>
      <c r="D1010" s="222" t="s">
        <v>76</v>
      </c>
      <c r="E1010" s="222" t="s">
        <v>179</v>
      </c>
      <c r="F1010" s="223" t="s">
        <v>557</v>
      </c>
      <c r="G1010">
        <f>IF(getRGB1($C1010)="FFFFFF",0,1)+IF(getRGB1($D1010)="FFFFFF",0,2)+IF(getRGB1($E1010)="FFFFFF",0,3)+IF(getRGB1($F1010)="FFFFFF",0,4)</f>
        <v>4</v>
      </c>
    </row>
    <row r="1011" spans="1:7" ht="56.25">
      <c r="A1011" t="s">
        <v>6669</v>
      </c>
      <c r="B1011" s="221" t="s">
        <v>3566</v>
      </c>
      <c r="C1011" s="223" t="s">
        <v>3567</v>
      </c>
      <c r="D1011" s="222" t="s">
        <v>3568</v>
      </c>
      <c r="E1011" s="222" t="s">
        <v>3569</v>
      </c>
      <c r="F1011" s="222" t="s">
        <v>203</v>
      </c>
      <c r="G1011">
        <f>IF(getRGB1($C1011)="FFFFFF",0,1)+IF(getRGB1($D1011)="FFFFFF",0,2)+IF(getRGB1($E1011)="FFFFFF",0,3)+IF(getRGB1($F1011)="FFFFFF",0,4)</f>
        <v>1</v>
      </c>
    </row>
    <row r="1012" spans="1:7" ht="18.75">
      <c r="A1012" t="s">
        <v>6669</v>
      </c>
      <c r="B1012" s="221" t="s">
        <v>3570</v>
      </c>
      <c r="C1012" s="222" t="s">
        <v>179</v>
      </c>
      <c r="D1012" s="222" t="s">
        <v>76</v>
      </c>
      <c r="E1012" s="223" t="s">
        <v>137</v>
      </c>
      <c r="F1012" s="222" t="s">
        <v>74</v>
      </c>
      <c r="G1012">
        <f>IF(getRGB1($C1012)="FFFFFF",0,1)+IF(getRGB1($D1012)="FFFFFF",0,2)+IF(getRGB1($E1012)="FFFFFF",0,3)+IF(getRGB1($F1012)="FFFFFF",0,4)</f>
        <v>3</v>
      </c>
    </row>
    <row r="1013" spans="1:7" ht="37.5">
      <c r="A1013" t="s">
        <v>6669</v>
      </c>
      <c r="B1013" s="221" t="s">
        <v>3571</v>
      </c>
      <c r="C1013" s="234" t="s">
        <v>3567</v>
      </c>
      <c r="D1013" s="222" t="s">
        <v>3568</v>
      </c>
      <c r="E1013" s="223" t="s">
        <v>3569</v>
      </c>
      <c r="F1013" s="222" t="s">
        <v>203</v>
      </c>
      <c r="G1013">
        <f>IF(getRGB1($C1013)="FFFFFF",0,1)+IF(getRGB1($D1013)="FFFFFF",0,2)+IF(getRGB1($E1013)="FFFFFF",0,3)+IF(getRGB1($F1013)="FFFFFF",0,4)</f>
        <v>3</v>
      </c>
    </row>
    <row r="1014" spans="1:7" ht="37.5">
      <c r="A1014" t="s">
        <v>6669</v>
      </c>
      <c r="B1014" s="221" t="s">
        <v>3572</v>
      </c>
      <c r="C1014" s="222" t="s">
        <v>3573</v>
      </c>
      <c r="D1014" s="222" t="s">
        <v>3574</v>
      </c>
      <c r="E1014" s="223" t="s">
        <v>3575</v>
      </c>
      <c r="F1014" s="222" t="s">
        <v>3576</v>
      </c>
      <c r="G1014">
        <f>IF(getRGB1($C1014)="FFFFFF",0,1)+IF(getRGB1($D1014)="FFFFFF",0,2)+IF(getRGB1($E1014)="FFFFFF",0,3)+IF(getRGB1($F1014)="FFFFFF",0,4)</f>
        <v>3</v>
      </c>
    </row>
    <row r="1015" spans="1:7" ht="37.5">
      <c r="A1015" t="s">
        <v>6669</v>
      </c>
      <c r="B1015" s="221" t="s">
        <v>3577</v>
      </c>
      <c r="C1015" s="234" t="s">
        <v>3567</v>
      </c>
      <c r="D1015" s="222" t="s">
        <v>3568</v>
      </c>
      <c r="E1015" s="223" t="s">
        <v>3569</v>
      </c>
      <c r="F1015" s="222" t="s">
        <v>203</v>
      </c>
      <c r="G1015">
        <f>IF(getRGB1($C1015)="FFFFFF",0,1)+IF(getRGB1($D1015)="FFFFFF",0,2)+IF(getRGB1($E1015)="FFFFFF",0,3)+IF(getRGB1($F1015)="FFFFFF",0,4)</f>
        <v>3</v>
      </c>
    </row>
    <row r="1016" spans="1:7" ht="36">
      <c r="A1016" t="s">
        <v>6669</v>
      </c>
      <c r="B1016" s="235" t="s">
        <v>3578</v>
      </c>
      <c r="C1016" s="236" t="s">
        <v>3579</v>
      </c>
      <c r="D1016" s="237" t="s">
        <v>3580</v>
      </c>
      <c r="E1016" s="236" t="s">
        <v>3581</v>
      </c>
      <c r="F1016" s="236" t="s">
        <v>3582</v>
      </c>
      <c r="G1016">
        <f>IF(getRGB1($C1016)="FFFFFF",0,1)+IF(getRGB1($D1016)="FFFFFF",0,2)+IF(getRGB1($E1016)="FFFFFF",0,3)+IF(getRGB1($F1016)="FFFFFF",0,4)</f>
        <v>2</v>
      </c>
    </row>
    <row r="1017" spans="1:7" ht="18">
      <c r="A1017" t="s">
        <v>6669</v>
      </c>
      <c r="B1017" s="235" t="s">
        <v>3583</v>
      </c>
      <c r="C1017" s="236" t="s">
        <v>3584</v>
      </c>
      <c r="D1017" s="236" t="s">
        <v>3585</v>
      </c>
      <c r="E1017" s="236" t="s">
        <v>3586</v>
      </c>
      <c r="F1017" s="237" t="s">
        <v>3587</v>
      </c>
      <c r="G1017">
        <f>IF(getRGB1($C1017)="FFFFFF",0,1)+IF(getRGB1($D1017)="FFFFFF",0,2)+IF(getRGB1($E1017)="FFFFFF",0,3)+IF(getRGB1($F1017)="FFFFFF",0,4)</f>
        <v>4</v>
      </c>
    </row>
    <row r="1018" spans="1:7" ht="18">
      <c r="A1018" t="s">
        <v>6669</v>
      </c>
      <c r="B1018" s="235" t="s">
        <v>3588</v>
      </c>
      <c r="C1018" s="236" t="s">
        <v>3589</v>
      </c>
      <c r="D1018" s="236" t="s">
        <v>3590</v>
      </c>
      <c r="E1018" s="236" t="s">
        <v>3591</v>
      </c>
      <c r="F1018" s="237" t="s">
        <v>3592</v>
      </c>
      <c r="G1018">
        <f>IF(getRGB1($C1018)="FFFFFF",0,1)+IF(getRGB1($D1018)="FFFFFF",0,2)+IF(getRGB1($E1018)="FFFFFF",0,3)+IF(getRGB1($F1018)="FFFFFF",0,4)</f>
        <v>4</v>
      </c>
    </row>
    <row r="1019" spans="1:7" ht="18">
      <c r="A1019" t="s">
        <v>6669</v>
      </c>
      <c r="B1019" s="235" t="s">
        <v>3593</v>
      </c>
      <c r="C1019" s="236" t="s">
        <v>3594</v>
      </c>
      <c r="D1019" s="236" t="s">
        <v>3595</v>
      </c>
      <c r="E1019" s="236" t="s">
        <v>3596</v>
      </c>
      <c r="F1019" s="237" t="s">
        <v>3597</v>
      </c>
      <c r="G1019">
        <f>IF(getRGB1($C1019)="FFFFFF",0,1)+IF(getRGB1($D1019)="FFFFFF",0,2)+IF(getRGB1($E1019)="FFFFFF",0,3)+IF(getRGB1($F1019)="FFFFFF",0,4)</f>
        <v>4</v>
      </c>
    </row>
    <row r="1020" spans="1:7" ht="18">
      <c r="A1020" t="s">
        <v>6669</v>
      </c>
      <c r="B1020" s="235" t="s">
        <v>3598</v>
      </c>
      <c r="C1020" s="236" t="s">
        <v>3594</v>
      </c>
      <c r="D1020" s="236" t="s">
        <v>3595</v>
      </c>
      <c r="E1020" s="237" t="s">
        <v>3596</v>
      </c>
      <c r="F1020" s="236" t="s">
        <v>3597</v>
      </c>
      <c r="G1020">
        <f>IF(getRGB1($C1020)="FFFFFF",0,1)+IF(getRGB1($D1020)="FFFFFF",0,2)+IF(getRGB1($E1020)="FFFFFF",0,3)+IF(getRGB1($F1020)="FFFFFF",0,4)</f>
        <v>3</v>
      </c>
    </row>
    <row r="1021" spans="1:7" ht="18">
      <c r="A1021" t="s">
        <v>6669</v>
      </c>
      <c r="B1021" s="235" t="s">
        <v>3599</v>
      </c>
      <c r="C1021" s="236" t="s">
        <v>3416</v>
      </c>
      <c r="D1021" s="237" t="s">
        <v>3415</v>
      </c>
      <c r="E1021" s="236" t="s">
        <v>3600</v>
      </c>
      <c r="F1021" s="236" t="s">
        <v>3601</v>
      </c>
      <c r="G1021">
        <f>IF(getRGB1($C1021)="FFFFFF",0,1)+IF(getRGB1($D1021)="FFFFFF",0,2)+IF(getRGB1($E1021)="FFFFFF",0,3)+IF(getRGB1($F1021)="FFFFFF",0,4)</f>
        <v>2</v>
      </c>
    </row>
    <row r="1022" spans="1:7" ht="36">
      <c r="A1022" t="s">
        <v>6669</v>
      </c>
      <c r="B1022" s="235" t="s">
        <v>3602</v>
      </c>
      <c r="C1022" s="236" t="s">
        <v>3603</v>
      </c>
      <c r="D1022" s="236" t="s">
        <v>3604</v>
      </c>
      <c r="E1022" s="237" t="s">
        <v>3448</v>
      </c>
      <c r="F1022" s="236" t="s">
        <v>3605</v>
      </c>
      <c r="G1022">
        <f>IF(getRGB1($C1022)="FFFFFF",0,1)+IF(getRGB1($D1022)="FFFFFF",0,2)+IF(getRGB1($E1022)="FFFFFF",0,3)+IF(getRGB1($F1022)="FFFFFF",0,4)</f>
        <v>3</v>
      </c>
    </row>
    <row r="1023" spans="1:7" ht="36">
      <c r="A1023" t="s">
        <v>6669</v>
      </c>
      <c r="B1023" s="235" t="s">
        <v>3606</v>
      </c>
      <c r="C1023" s="238">
        <v>0.02</v>
      </c>
      <c r="D1023" s="238">
        <v>0.01</v>
      </c>
      <c r="E1023" s="239">
        <v>0.03</v>
      </c>
      <c r="F1023" s="238">
        <v>0.05</v>
      </c>
      <c r="G1023">
        <f>IF(getRGB1($C1023)="FFFFFF",0,1)+IF(getRGB1($D1023)="FFFFFF",0,2)+IF(getRGB1($E1023)="FFFFFF",0,3)+IF(getRGB1($F1023)="FFFFFF",0,4)</f>
        <v>3</v>
      </c>
    </row>
    <row r="1024" spans="1:7" ht="36">
      <c r="A1024" t="s">
        <v>6669</v>
      </c>
      <c r="B1024" s="235" t="s">
        <v>3607</v>
      </c>
      <c r="C1024" s="239">
        <v>0.02</v>
      </c>
      <c r="D1024" s="238">
        <v>0.01</v>
      </c>
      <c r="E1024" s="238">
        <v>0.03</v>
      </c>
      <c r="F1024" s="238">
        <v>0.05</v>
      </c>
      <c r="G1024">
        <f>IF(getRGB1($C1024)="FFFFFF",0,1)+IF(getRGB1($D1024)="FFFFFF",0,2)+IF(getRGB1($E1024)="FFFFFF",0,3)+IF(getRGB1($F1024)="FFFFFF",0,4)</f>
        <v>1</v>
      </c>
    </row>
    <row r="1025" spans="1:7" ht="36">
      <c r="A1025" t="s">
        <v>6669</v>
      </c>
      <c r="B1025" s="235" t="s">
        <v>3608</v>
      </c>
      <c r="C1025" s="238">
        <v>0.02</v>
      </c>
      <c r="D1025" s="240">
        <v>1.4999999999999999E-2</v>
      </c>
      <c r="E1025" s="238">
        <v>0.03</v>
      </c>
      <c r="F1025" s="238">
        <v>0.05</v>
      </c>
      <c r="G1025">
        <f>IF(getRGB1($C1025)="FFFFFF",0,1)+IF(getRGB1($D1025)="FFFFFF",0,2)+IF(getRGB1($E1025)="FFFFFF",0,3)+IF(getRGB1($F1025)="FFFFFF",0,4)</f>
        <v>2</v>
      </c>
    </row>
    <row r="1026" spans="1:7" ht="36">
      <c r="A1026" t="s">
        <v>6669</v>
      </c>
      <c r="B1026" s="235" t="s">
        <v>3609</v>
      </c>
      <c r="C1026" s="236" t="s">
        <v>3453</v>
      </c>
      <c r="D1026" s="237" t="s">
        <v>3610</v>
      </c>
      <c r="E1026" s="236" t="s">
        <v>3611</v>
      </c>
      <c r="F1026" s="236" t="s">
        <v>3612</v>
      </c>
      <c r="G1026">
        <f>IF(getRGB1($C1026)="FFFFFF",0,1)+IF(getRGB1($D1026)="FFFFFF",0,2)+IF(getRGB1($E1026)="FFFFFF",0,3)+IF(getRGB1($F1026)="FFFFFF",0,4)</f>
        <v>2</v>
      </c>
    </row>
    <row r="1027" spans="1:7" ht="36">
      <c r="A1027" t="s">
        <v>6669</v>
      </c>
      <c r="B1027" s="235" t="s">
        <v>3613</v>
      </c>
      <c r="C1027" s="237" t="s">
        <v>3453</v>
      </c>
      <c r="D1027" s="236" t="s">
        <v>3610</v>
      </c>
      <c r="E1027" s="236" t="s">
        <v>3611</v>
      </c>
      <c r="F1027" s="236" t="s">
        <v>3612</v>
      </c>
      <c r="G1027">
        <f>IF(getRGB1($C1027)="FFFFFF",0,1)+IF(getRGB1($D1027)="FFFFFF",0,2)+IF(getRGB1($E1027)="FFFFFF",0,3)+IF(getRGB1($F1027)="FFFFFF",0,4)</f>
        <v>1</v>
      </c>
    </row>
    <row r="1028" spans="1:7" ht="36">
      <c r="A1028" t="s">
        <v>6669</v>
      </c>
      <c r="B1028" s="235" t="s">
        <v>3614</v>
      </c>
      <c r="C1028" s="241">
        <v>1.4999999999999999E-2</v>
      </c>
      <c r="D1028" s="241">
        <v>0.02</v>
      </c>
      <c r="E1028" s="241">
        <v>2.5000000000000001E-2</v>
      </c>
      <c r="F1028" s="242">
        <v>0.05</v>
      </c>
      <c r="G1028">
        <f>IF(getRGB1($C1028)="FFFFFF",0,1)+IF(getRGB1($D1028)="FFFFFF",0,2)+IF(getRGB1($E1028)="FFFFFF",0,3)+IF(getRGB1($F1028)="FFFFFF",0,4)</f>
        <v>4</v>
      </c>
    </row>
    <row r="1029" spans="1:7" ht="36">
      <c r="A1029" t="s">
        <v>6669</v>
      </c>
      <c r="B1029" s="235" t="s">
        <v>3615</v>
      </c>
      <c r="C1029" s="241">
        <v>1.4999999999999999E-2</v>
      </c>
      <c r="D1029" s="241">
        <v>0.02</v>
      </c>
      <c r="E1029" s="242">
        <v>2.5000000000000001E-2</v>
      </c>
      <c r="F1029" s="241">
        <v>0.05</v>
      </c>
      <c r="G1029">
        <f>IF(getRGB1($C1029)="FFFFFF",0,1)+IF(getRGB1($D1029)="FFFFFF",0,2)+IF(getRGB1($E1029)="FFFFFF",0,3)+IF(getRGB1($F1029)="FFFFFF",0,4)</f>
        <v>3</v>
      </c>
    </row>
    <row r="1030" spans="1:7" ht="36">
      <c r="A1030" t="s">
        <v>6669</v>
      </c>
      <c r="B1030" s="235" t="s">
        <v>3616</v>
      </c>
      <c r="C1030" s="241">
        <v>1.4999999999999999E-2</v>
      </c>
      <c r="D1030" s="242">
        <v>0.02</v>
      </c>
      <c r="E1030" s="241">
        <v>2.5000000000000001E-2</v>
      </c>
      <c r="F1030" s="241">
        <v>0.05</v>
      </c>
      <c r="G1030">
        <f>IF(getRGB1($C1030)="FFFFFF",0,1)+IF(getRGB1($D1030)="FFFFFF",0,2)+IF(getRGB1($E1030)="FFFFFF",0,3)+IF(getRGB1($F1030)="FFFFFF",0,4)</f>
        <v>2</v>
      </c>
    </row>
    <row r="1031" spans="1:7" ht="36">
      <c r="A1031" t="s">
        <v>6669</v>
      </c>
      <c r="B1031" s="235" t="s">
        <v>3617</v>
      </c>
      <c r="C1031" s="242">
        <v>1.4999999999999999E-2</v>
      </c>
      <c r="D1031" s="241">
        <v>0.02</v>
      </c>
      <c r="E1031" s="241">
        <v>2.5000000000000001E-2</v>
      </c>
      <c r="F1031" s="241">
        <v>0.05</v>
      </c>
      <c r="G1031">
        <f>IF(getRGB1($C1031)="FFFFFF",0,1)+IF(getRGB1($D1031)="FFFFFF",0,2)+IF(getRGB1($E1031)="FFFFFF",0,3)+IF(getRGB1($F1031)="FFFFFF",0,4)</f>
        <v>1</v>
      </c>
    </row>
    <row r="1032" spans="1:7" ht="36">
      <c r="A1032" t="s">
        <v>6669</v>
      </c>
      <c r="B1032" s="235" t="s">
        <v>3618</v>
      </c>
      <c r="C1032" s="236" t="s">
        <v>179</v>
      </c>
      <c r="D1032" s="236" t="s">
        <v>557</v>
      </c>
      <c r="E1032" s="236" t="s">
        <v>74</v>
      </c>
      <c r="F1032" s="237" t="s">
        <v>137</v>
      </c>
      <c r="G1032">
        <f>IF(getRGB1($C1032)="FFFFFF",0,1)+IF(getRGB1($D1032)="FFFFFF",0,2)+IF(getRGB1($E1032)="FFFFFF",0,3)+IF(getRGB1($F1032)="FFFFFF",0,4)</f>
        <v>4</v>
      </c>
    </row>
    <row r="1033" spans="1:7" ht="36">
      <c r="A1033" t="s">
        <v>6669</v>
      </c>
      <c r="B1033" s="235" t="s">
        <v>3619</v>
      </c>
      <c r="C1033" s="243" t="s">
        <v>179</v>
      </c>
      <c r="D1033" s="236" t="s">
        <v>557</v>
      </c>
      <c r="E1033" s="236" t="s">
        <v>74</v>
      </c>
      <c r="F1033" s="237" t="s">
        <v>137</v>
      </c>
      <c r="G1033">
        <f>IF(getRGB1($C1033)="FFFFFF",0,1)+IF(getRGB1($D1033)="FFFFFF",0,2)+IF(getRGB1($E1033)="FFFFFF",0,3)+IF(getRGB1($F1033)="FFFFFF",0,4)</f>
        <v>4</v>
      </c>
    </row>
    <row r="1034" spans="1:7" ht="36">
      <c r="A1034" t="s">
        <v>6669</v>
      </c>
      <c r="B1034" s="235" t="s">
        <v>3620</v>
      </c>
      <c r="C1034" s="236" t="s">
        <v>179</v>
      </c>
      <c r="D1034" s="237" t="s">
        <v>557</v>
      </c>
      <c r="E1034" s="236" t="s">
        <v>74</v>
      </c>
      <c r="F1034" s="236" t="s">
        <v>137</v>
      </c>
      <c r="G1034">
        <f>IF(getRGB1($C1034)="FFFFFF",0,1)+IF(getRGB1($D1034)="FFFFFF",0,2)+IF(getRGB1($E1034)="FFFFFF",0,3)+IF(getRGB1($F1034)="FFFFFF",0,4)</f>
        <v>2</v>
      </c>
    </row>
    <row r="1035" spans="1:7" ht="36">
      <c r="A1035" t="s">
        <v>6669</v>
      </c>
      <c r="B1035" s="235" t="s">
        <v>3621</v>
      </c>
      <c r="C1035" s="236">
        <v>3</v>
      </c>
      <c r="D1035" s="237">
        <v>6</v>
      </c>
      <c r="E1035" s="236">
        <v>12</v>
      </c>
      <c r="F1035" s="236">
        <v>24</v>
      </c>
      <c r="G1035">
        <f>IF(getRGB1($C1035)="FFFFFF",0,1)+IF(getRGB1($D1035)="FFFFFF",0,2)+IF(getRGB1($E1035)="FFFFFF",0,3)+IF(getRGB1($F1035)="FFFFFF",0,4)</f>
        <v>2</v>
      </c>
    </row>
    <row r="1036" spans="1:7" ht="18">
      <c r="A1036" t="s">
        <v>6669</v>
      </c>
      <c r="B1036" s="235" t="s">
        <v>3622</v>
      </c>
      <c r="C1036" s="236" t="s">
        <v>3472</v>
      </c>
      <c r="D1036" s="237" t="s">
        <v>3539</v>
      </c>
      <c r="E1036" s="236" t="s">
        <v>3466</v>
      </c>
      <c r="F1036" s="236" t="s">
        <v>3540</v>
      </c>
      <c r="G1036">
        <f>IF(getRGB1($C1036)="FFFFFF",0,1)+IF(getRGB1($D1036)="FFFFFF",0,2)+IF(getRGB1($E1036)="FFFFFF",0,3)+IF(getRGB1($F1036)="FFFFFF",0,4)</f>
        <v>2</v>
      </c>
    </row>
    <row r="1037" spans="1:7" ht="18">
      <c r="A1037" t="s">
        <v>6669</v>
      </c>
      <c r="B1037" s="235" t="s">
        <v>3623</v>
      </c>
      <c r="C1037" s="236" t="s">
        <v>3472</v>
      </c>
      <c r="D1037" s="236" t="s">
        <v>3539</v>
      </c>
      <c r="E1037" s="237" t="s">
        <v>3466</v>
      </c>
      <c r="F1037" s="236" t="s">
        <v>3540</v>
      </c>
      <c r="G1037">
        <f>IF(getRGB1($C1037)="FFFFFF",0,1)+IF(getRGB1($D1037)="FFFFFF",0,2)+IF(getRGB1($E1037)="FFFFFF",0,3)+IF(getRGB1($F1037)="FFFFFF",0,4)</f>
        <v>3</v>
      </c>
    </row>
    <row r="1038" spans="1:7" ht="36">
      <c r="A1038" t="s">
        <v>6669</v>
      </c>
      <c r="B1038" s="235" t="s">
        <v>3542</v>
      </c>
      <c r="C1038" s="239" t="s">
        <v>3624</v>
      </c>
      <c r="D1038" s="238" t="s">
        <v>3625</v>
      </c>
      <c r="E1038" s="238" t="s">
        <v>3626</v>
      </c>
      <c r="F1038" s="238" t="s">
        <v>3627</v>
      </c>
      <c r="G1038">
        <f>IF(getRGB1($C1038)="FFFFFF",0,1)+IF(getRGB1($D1038)="FFFFFF",0,2)+IF(getRGB1($E1038)="FFFFFF",0,3)+IF(getRGB1($F1038)="FFFFFF",0,4)</f>
        <v>1</v>
      </c>
    </row>
    <row r="1039" spans="1:7" ht="36">
      <c r="A1039" t="s">
        <v>6669</v>
      </c>
      <c r="B1039" s="235" t="s">
        <v>3547</v>
      </c>
      <c r="C1039" s="238" t="s">
        <v>3624</v>
      </c>
      <c r="D1039" s="239" t="s">
        <v>3625</v>
      </c>
      <c r="E1039" s="238" t="s">
        <v>3626</v>
      </c>
      <c r="F1039" s="238" t="s">
        <v>3627</v>
      </c>
      <c r="G1039">
        <f>IF(getRGB1($C1039)="FFFFFF",0,1)+IF(getRGB1($D1039)="FFFFFF",0,2)+IF(getRGB1($E1039)="FFFFFF",0,3)+IF(getRGB1($F1039)="FFFFFF",0,4)</f>
        <v>2</v>
      </c>
    </row>
    <row r="1040" spans="1:7" ht="36">
      <c r="A1040" t="s">
        <v>6669</v>
      </c>
      <c r="B1040" s="235" t="s">
        <v>3548</v>
      </c>
      <c r="C1040" s="238" t="s">
        <v>3624</v>
      </c>
      <c r="D1040" s="238" t="s">
        <v>3625</v>
      </c>
      <c r="E1040" s="239" t="s">
        <v>3626</v>
      </c>
      <c r="F1040" s="238" t="s">
        <v>3627</v>
      </c>
      <c r="G1040">
        <f>IF(getRGB1($C1040)="FFFFFF",0,1)+IF(getRGB1($D1040)="FFFFFF",0,2)+IF(getRGB1($E1040)="FFFFFF",0,3)+IF(getRGB1($F1040)="FFFFFF",0,4)</f>
        <v>3</v>
      </c>
    </row>
    <row r="1041" spans="1:7" ht="36">
      <c r="A1041" t="s">
        <v>6669</v>
      </c>
      <c r="B1041" s="235" t="s">
        <v>3549</v>
      </c>
      <c r="C1041" s="238" t="s">
        <v>3624</v>
      </c>
      <c r="D1041" s="238" t="s">
        <v>3625</v>
      </c>
      <c r="E1041" s="238" t="s">
        <v>3626</v>
      </c>
      <c r="F1041" s="239" t="s">
        <v>3627</v>
      </c>
      <c r="G1041">
        <f>IF(getRGB1($C1041)="FFFFFF",0,1)+IF(getRGB1($D1041)="FFFFFF",0,2)+IF(getRGB1($E1041)="FFFFFF",0,3)+IF(getRGB1($F1041)="FFFFFF",0,4)</f>
        <v>4</v>
      </c>
    </row>
    <row r="1042" spans="1:7" ht="36">
      <c r="A1042" t="s">
        <v>6669</v>
      </c>
      <c r="B1042" s="235" t="s">
        <v>3628</v>
      </c>
      <c r="C1042" s="236" t="s">
        <v>137</v>
      </c>
      <c r="D1042" s="236" t="s">
        <v>76</v>
      </c>
      <c r="E1042" s="237" t="s">
        <v>179</v>
      </c>
      <c r="F1042" s="236" t="s">
        <v>557</v>
      </c>
      <c r="G1042">
        <f>IF(getRGB1($C1042)="FFFFFF",0,1)+IF(getRGB1($D1042)="FFFFFF",0,2)+IF(getRGB1($E1042)="FFFFFF",0,3)+IF(getRGB1($F1042)="FFFFFF",0,4)</f>
        <v>3</v>
      </c>
    </row>
    <row r="1043" spans="1:7" ht="36">
      <c r="A1043" t="s">
        <v>6669</v>
      </c>
      <c r="B1043" s="235" t="s">
        <v>3570</v>
      </c>
      <c r="C1043" s="237" t="s">
        <v>137</v>
      </c>
      <c r="D1043" s="236" t="s">
        <v>179</v>
      </c>
      <c r="E1043" s="236" t="s">
        <v>557</v>
      </c>
      <c r="F1043" s="236" t="s">
        <v>76</v>
      </c>
      <c r="G1043">
        <f>IF(getRGB1($C1043)="FFFFFF",0,1)+IF(getRGB1($D1043)="FFFFFF",0,2)+IF(getRGB1($E1043)="FFFFFF",0,3)+IF(getRGB1($F1043)="FFFFFF",0,4)</f>
        <v>1</v>
      </c>
    </row>
    <row r="1044" spans="1:7" ht="25.5">
      <c r="A1044" t="s">
        <v>6671</v>
      </c>
      <c r="B1044" s="39" t="s">
        <v>3629</v>
      </c>
      <c r="C1044" s="244" t="s">
        <v>3630</v>
      </c>
      <c r="D1044" s="44" t="s">
        <v>3631</v>
      </c>
      <c r="E1044" s="44" t="s">
        <v>3632</v>
      </c>
      <c r="F1044" s="43" t="s">
        <v>3633</v>
      </c>
      <c r="G1044">
        <f>IF(getRGB1($C1044)="FFFFFF",0,1)+IF(getRGB1($D1044)="FFFFFF",0,2)+IF(getRGB1($E1044)="FFFFFF",0,3)+IF(getRGB1($F1044)="FFFFFF",0,4)</f>
        <v>4</v>
      </c>
    </row>
    <row r="1045" spans="1:7" ht="25.5">
      <c r="A1045" t="s">
        <v>6671</v>
      </c>
      <c r="B1045" s="39" t="s">
        <v>3634</v>
      </c>
      <c r="C1045" s="44" t="s">
        <v>3635</v>
      </c>
      <c r="D1045" s="43" t="s">
        <v>3636</v>
      </c>
      <c r="E1045" s="44" t="s">
        <v>3637</v>
      </c>
      <c r="F1045" s="244" t="s">
        <v>3638</v>
      </c>
      <c r="G1045">
        <f>IF(getRGB1($C1045)="FFFFFF",0,1)+IF(getRGB1($D1045)="FFFFFF",0,2)+IF(getRGB1($E1045)="FFFFFF",0,3)+IF(getRGB1($F1045)="FFFFFF",0,4)</f>
        <v>2</v>
      </c>
    </row>
    <row r="1046" spans="1:7" ht="25.5">
      <c r="A1046" t="s">
        <v>6671</v>
      </c>
      <c r="B1046" s="39" t="s">
        <v>3639</v>
      </c>
      <c r="C1046" s="43" t="s">
        <v>3635</v>
      </c>
      <c r="D1046" s="44" t="s">
        <v>3636</v>
      </c>
      <c r="E1046" s="44" t="s">
        <v>3637</v>
      </c>
      <c r="F1046" s="244" t="s">
        <v>3638</v>
      </c>
      <c r="G1046">
        <f>IF(getRGB1($C1046)="FFFFFF",0,1)+IF(getRGB1($D1046)="FFFFFF",0,2)+IF(getRGB1($E1046)="FFFFFF",0,3)+IF(getRGB1($F1046)="FFFFFF",0,4)</f>
        <v>1</v>
      </c>
    </row>
    <row r="1047" spans="1:7" ht="25.5">
      <c r="A1047" t="s">
        <v>6671</v>
      </c>
      <c r="B1047" s="39" t="s">
        <v>3640</v>
      </c>
      <c r="C1047" s="44" t="s">
        <v>3641</v>
      </c>
      <c r="D1047" s="44" t="s">
        <v>3642</v>
      </c>
      <c r="E1047" s="43" t="s">
        <v>3643</v>
      </c>
      <c r="F1047" s="244" t="s">
        <v>3638</v>
      </c>
      <c r="G1047">
        <f>IF(getRGB1($C1047)="FFFFFF",0,1)+IF(getRGB1($D1047)="FFFFFF",0,2)+IF(getRGB1($E1047)="FFFFFF",0,3)+IF(getRGB1($F1047)="FFFFFF",0,4)</f>
        <v>3</v>
      </c>
    </row>
    <row r="1048" spans="1:7" ht="25.5">
      <c r="A1048" t="s">
        <v>6671</v>
      </c>
      <c r="B1048" s="39" t="s">
        <v>3644</v>
      </c>
      <c r="C1048" s="44" t="s">
        <v>3645</v>
      </c>
      <c r="D1048" s="44" t="s">
        <v>3646</v>
      </c>
      <c r="E1048" s="44" t="s">
        <v>3647</v>
      </c>
      <c r="F1048" s="43" t="s">
        <v>3648</v>
      </c>
      <c r="G1048">
        <f>IF(getRGB1($C1048)="FFFFFF",0,1)+IF(getRGB1($D1048)="FFFFFF",0,2)+IF(getRGB1($E1048)="FFFFFF",0,3)+IF(getRGB1($F1048)="FFFFFF",0,4)</f>
        <v>4</v>
      </c>
    </row>
    <row r="1049" spans="1:7">
      <c r="A1049" t="s">
        <v>6671</v>
      </c>
      <c r="B1049" s="39" t="s">
        <v>3649</v>
      </c>
      <c r="C1049" s="44" t="s">
        <v>3650</v>
      </c>
      <c r="D1049" s="44" t="s">
        <v>3651</v>
      </c>
      <c r="E1049" s="44" t="s">
        <v>3652</v>
      </c>
      <c r="F1049" s="43" t="s">
        <v>3313</v>
      </c>
      <c r="G1049">
        <f>IF(getRGB1($C1049)="FFFFFF",0,1)+IF(getRGB1($D1049)="FFFFFF",0,2)+IF(getRGB1($E1049)="FFFFFF",0,3)+IF(getRGB1($F1049)="FFFFFF",0,4)</f>
        <v>4</v>
      </c>
    </row>
    <row r="1050" spans="1:7">
      <c r="A1050" t="s">
        <v>6671</v>
      </c>
      <c r="B1050" s="39" t="s">
        <v>3653</v>
      </c>
      <c r="C1050" s="43" t="s">
        <v>3654</v>
      </c>
      <c r="D1050" s="44" t="s">
        <v>3655</v>
      </c>
      <c r="E1050" s="44" t="s">
        <v>3656</v>
      </c>
      <c r="F1050" s="44" t="s">
        <v>61</v>
      </c>
      <c r="G1050">
        <f>IF(getRGB1($C1050)="FFFFFF",0,1)+IF(getRGB1($D1050)="FFFFFF",0,2)+IF(getRGB1($E1050)="FFFFFF",0,3)+IF(getRGB1($F1050)="FFFFFF",0,4)</f>
        <v>1</v>
      </c>
    </row>
    <row r="1051" spans="1:7">
      <c r="A1051" t="s">
        <v>6671</v>
      </c>
      <c r="B1051" s="39" t="s">
        <v>3657</v>
      </c>
      <c r="C1051" s="43" t="s">
        <v>3658</v>
      </c>
      <c r="D1051" s="244" t="s">
        <v>3659</v>
      </c>
      <c r="E1051" s="44" t="s">
        <v>3660</v>
      </c>
      <c r="F1051" s="44" t="s">
        <v>3313</v>
      </c>
      <c r="G1051">
        <f>IF(getRGB1($C1051)="FFFFFF",0,1)+IF(getRGB1($D1051)="FFFFFF",0,2)+IF(getRGB1($E1051)="FFFFFF",0,3)+IF(getRGB1($F1051)="FFFFFF",0,4)</f>
        <v>1</v>
      </c>
    </row>
    <row r="1052" spans="1:7" ht="25.5">
      <c r="A1052" t="s">
        <v>6671</v>
      </c>
      <c r="B1052" s="39" t="s">
        <v>3661</v>
      </c>
      <c r="C1052" s="44" t="s">
        <v>1000</v>
      </c>
      <c r="D1052" s="244" t="s">
        <v>3662</v>
      </c>
      <c r="E1052" s="244" t="s">
        <v>3663</v>
      </c>
      <c r="F1052" s="43" t="s">
        <v>3664</v>
      </c>
      <c r="G1052">
        <f>IF(getRGB1($C1052)="FFFFFF",0,1)+IF(getRGB1($D1052)="FFFFFF",0,2)+IF(getRGB1($E1052)="FFFFFF",0,3)+IF(getRGB1($F1052)="FFFFFF",0,4)</f>
        <v>4</v>
      </c>
    </row>
    <row r="1053" spans="1:7" ht="25.5">
      <c r="A1053" t="s">
        <v>6671</v>
      </c>
      <c r="B1053" s="39" t="s">
        <v>3665</v>
      </c>
      <c r="C1053" s="44" t="s">
        <v>3666</v>
      </c>
      <c r="D1053" s="44" t="s">
        <v>3667</v>
      </c>
      <c r="E1053" s="43" t="s">
        <v>370</v>
      </c>
      <c r="F1053" s="44" t="s">
        <v>66</v>
      </c>
      <c r="G1053">
        <f>IF(getRGB1($C1053)="FFFFFF",0,1)+IF(getRGB1($D1053)="FFFFFF",0,2)+IF(getRGB1($E1053)="FFFFFF",0,3)+IF(getRGB1($F1053)="FFFFFF",0,4)</f>
        <v>3</v>
      </c>
    </row>
    <row r="1054" spans="1:7" ht="25.5">
      <c r="A1054" t="s">
        <v>6671</v>
      </c>
      <c r="B1054" s="39" t="s">
        <v>3668</v>
      </c>
      <c r="C1054" s="44" t="s">
        <v>3669</v>
      </c>
      <c r="D1054" s="244" t="s">
        <v>3670</v>
      </c>
      <c r="E1054" s="44" t="s">
        <v>3671</v>
      </c>
      <c r="F1054" s="43" t="s">
        <v>3672</v>
      </c>
      <c r="G1054">
        <f>IF(getRGB1($C1054)="FFFFFF",0,1)+IF(getRGB1($D1054)="FFFFFF",0,2)+IF(getRGB1($E1054)="FFFFFF",0,3)+IF(getRGB1($F1054)="FFFFFF",0,4)</f>
        <v>4</v>
      </c>
    </row>
    <row r="1055" spans="1:7">
      <c r="A1055" t="s">
        <v>6671</v>
      </c>
      <c r="B1055" s="39" t="s">
        <v>3673</v>
      </c>
      <c r="C1055" s="44" t="s">
        <v>3674</v>
      </c>
      <c r="D1055" s="44" t="s">
        <v>3675</v>
      </c>
      <c r="E1055" s="44" t="s">
        <v>3676</v>
      </c>
      <c r="F1055" s="43" t="s">
        <v>3677</v>
      </c>
      <c r="G1055">
        <f>IF(getRGB1($C1055)="FFFFFF",0,1)+IF(getRGB1($D1055)="FFFFFF",0,2)+IF(getRGB1($E1055)="FFFFFF",0,3)+IF(getRGB1($F1055)="FFFFFF",0,4)</f>
        <v>4</v>
      </c>
    </row>
    <row r="1056" spans="1:7" ht="25.5">
      <c r="A1056" t="s">
        <v>6671</v>
      </c>
      <c r="B1056" s="39" t="s">
        <v>3678</v>
      </c>
      <c r="C1056" s="244" t="s">
        <v>3679</v>
      </c>
      <c r="D1056" s="43" t="s">
        <v>3680</v>
      </c>
      <c r="E1056" s="244" t="s">
        <v>3681</v>
      </c>
      <c r="F1056" s="244" t="s">
        <v>3682</v>
      </c>
      <c r="G1056">
        <f>IF(getRGB1($C1056)="FFFFFF",0,1)+IF(getRGB1($D1056)="FFFFFF",0,2)+IF(getRGB1($E1056)="FFFFFF",0,3)+IF(getRGB1($F1056)="FFFFFF",0,4)</f>
        <v>2</v>
      </c>
    </row>
    <row r="1057" spans="1:7">
      <c r="A1057" t="s">
        <v>6671</v>
      </c>
      <c r="B1057" s="39" t="s">
        <v>3683</v>
      </c>
      <c r="C1057" s="43" t="s">
        <v>3684</v>
      </c>
      <c r="D1057" s="44" t="s">
        <v>3685</v>
      </c>
      <c r="E1057" s="44" t="s">
        <v>3686</v>
      </c>
      <c r="F1057" s="44" t="s">
        <v>3687</v>
      </c>
      <c r="G1057">
        <f>IF(getRGB1($C1057)="FFFFFF",0,1)+IF(getRGB1($D1057)="FFFFFF",0,2)+IF(getRGB1($E1057)="FFFFFF",0,3)+IF(getRGB1($F1057)="FFFFFF",0,4)</f>
        <v>1</v>
      </c>
    </row>
    <row r="1058" spans="1:7">
      <c r="A1058" t="s">
        <v>6671</v>
      </c>
      <c r="B1058" s="39" t="s">
        <v>3688</v>
      </c>
      <c r="C1058" s="44" t="s">
        <v>3689</v>
      </c>
      <c r="D1058" s="44" t="s">
        <v>3690</v>
      </c>
      <c r="E1058" s="44" t="s">
        <v>3691</v>
      </c>
      <c r="F1058" s="43" t="s">
        <v>3692</v>
      </c>
      <c r="G1058">
        <f>IF(getRGB1($C1058)="FFFFFF",0,1)+IF(getRGB1($D1058)="FFFFFF",0,2)+IF(getRGB1($E1058)="FFFFFF",0,3)+IF(getRGB1($F1058)="FFFFFF",0,4)</f>
        <v>4</v>
      </c>
    </row>
    <row r="1059" spans="1:7">
      <c r="A1059" t="s">
        <v>6671</v>
      </c>
      <c r="B1059" s="245" t="s">
        <v>3693</v>
      </c>
      <c r="C1059" s="246" t="s">
        <v>3694</v>
      </c>
      <c r="D1059" s="246" t="s">
        <v>3695</v>
      </c>
      <c r="E1059" s="247" t="s">
        <v>3696</v>
      </c>
      <c r="F1059" s="246" t="s">
        <v>3697</v>
      </c>
      <c r="G1059">
        <f>IF(getRGB1($C1059)="FFFFFF",0,1)+IF(getRGB1($D1059)="FFFFFF",0,2)+IF(getRGB1($E1059)="FFFFFF",0,3)+IF(getRGB1($F1059)="FFFFFF",0,4)</f>
        <v>3</v>
      </c>
    </row>
    <row r="1060" spans="1:7">
      <c r="A1060" t="s">
        <v>6671</v>
      </c>
      <c r="B1060" s="39" t="s">
        <v>3698</v>
      </c>
      <c r="C1060" s="43" t="s">
        <v>3699</v>
      </c>
      <c r="D1060" s="44" t="s">
        <v>3700</v>
      </c>
      <c r="E1060" s="44" t="s">
        <v>3701</v>
      </c>
      <c r="F1060" s="44" t="s">
        <v>66</v>
      </c>
      <c r="G1060">
        <f>IF(getRGB1($C1060)="FFFFFF",0,1)+IF(getRGB1($D1060)="FFFFFF",0,2)+IF(getRGB1($E1060)="FFFFFF",0,3)+IF(getRGB1($F1060)="FFFFFF",0,4)</f>
        <v>1</v>
      </c>
    </row>
    <row r="1061" spans="1:7" ht="42.75">
      <c r="A1061" t="s">
        <v>6671</v>
      </c>
      <c r="B1061" s="248" t="s">
        <v>3702</v>
      </c>
      <c r="C1061" s="44" t="s">
        <v>3703</v>
      </c>
      <c r="D1061" s="44" t="s">
        <v>3704</v>
      </c>
      <c r="E1061" s="43" t="s">
        <v>3705</v>
      </c>
      <c r="F1061" s="44" t="s">
        <v>3706</v>
      </c>
      <c r="G1061">
        <f>IF(getRGB1($C1061)="FFFFFF",0,1)+IF(getRGB1($D1061)="FFFFFF",0,2)+IF(getRGB1($E1061)="FFFFFF",0,3)+IF(getRGB1($F1061)="FFFFFF",0,4)</f>
        <v>3</v>
      </c>
    </row>
    <row r="1062" spans="1:7" ht="38.25">
      <c r="A1062" t="s">
        <v>6671</v>
      </c>
      <c r="B1062" s="39" t="s">
        <v>3707</v>
      </c>
      <c r="C1062" s="44" t="s">
        <v>76</v>
      </c>
      <c r="D1062" s="44" t="s">
        <v>137</v>
      </c>
      <c r="E1062" s="43" t="s">
        <v>179</v>
      </c>
      <c r="F1062" s="44" t="s">
        <v>3708</v>
      </c>
      <c r="G1062">
        <f>IF(getRGB1($C1062)="FFFFFF",0,1)+IF(getRGB1($D1062)="FFFFFF",0,2)+IF(getRGB1($E1062)="FFFFFF",0,3)+IF(getRGB1($F1062)="FFFFFF",0,4)</f>
        <v>3</v>
      </c>
    </row>
    <row r="1063" spans="1:7" ht="25.5">
      <c r="A1063" t="s">
        <v>6671</v>
      </c>
      <c r="B1063" s="39" t="s">
        <v>3709</v>
      </c>
      <c r="C1063" s="44" t="s">
        <v>3710</v>
      </c>
      <c r="D1063" s="43" t="s">
        <v>8</v>
      </c>
      <c r="E1063" s="44" t="s">
        <v>1599</v>
      </c>
      <c r="F1063" s="44" t="s">
        <v>1289</v>
      </c>
      <c r="G1063">
        <f>IF(getRGB1($C1063)="FFFFFF",0,1)+IF(getRGB1($D1063)="FFFFFF",0,2)+IF(getRGB1($E1063)="FFFFFF",0,3)+IF(getRGB1($F1063)="FFFFFF",0,4)</f>
        <v>2</v>
      </c>
    </row>
    <row r="1064" spans="1:7" ht="51">
      <c r="A1064" t="s">
        <v>6671</v>
      </c>
      <c r="B1064" s="39" t="s">
        <v>3711</v>
      </c>
      <c r="C1064" s="44" t="s">
        <v>3712</v>
      </c>
      <c r="D1064" s="43" t="s">
        <v>3713</v>
      </c>
      <c r="E1064" s="44" t="s">
        <v>3714</v>
      </c>
      <c r="F1064" s="44" t="s">
        <v>3715</v>
      </c>
      <c r="G1064">
        <f>IF(getRGB1($C1064)="FFFFFF",0,1)+IF(getRGB1($D1064)="FFFFFF",0,2)+IF(getRGB1($E1064)="FFFFFF",0,3)+IF(getRGB1($F1064)="FFFFFF",0,4)</f>
        <v>2</v>
      </c>
    </row>
    <row r="1065" spans="1:7" ht="25.5">
      <c r="A1065" t="s">
        <v>6671</v>
      </c>
      <c r="B1065" s="39" t="s">
        <v>3716</v>
      </c>
      <c r="C1065" s="61" t="s">
        <v>3717</v>
      </c>
      <c r="D1065" s="61" t="s">
        <v>3718</v>
      </c>
      <c r="E1065" s="61" t="s">
        <v>3719</v>
      </c>
      <c r="F1065" s="43" t="s">
        <v>3720</v>
      </c>
      <c r="G1065">
        <f>IF(getRGB1($C1065)="FFFFFF",0,1)+IF(getRGB1($D1065)="FFFFFF",0,2)+IF(getRGB1($E1065)="FFFFFF",0,3)+IF(getRGB1($F1065)="FFFFFF",0,4)</f>
        <v>4</v>
      </c>
    </row>
    <row r="1066" spans="1:7" ht="51">
      <c r="A1066" t="s">
        <v>6671</v>
      </c>
      <c r="B1066" s="39" t="s">
        <v>3721</v>
      </c>
      <c r="C1066" s="61" t="s">
        <v>3722</v>
      </c>
      <c r="D1066" s="61" t="s">
        <v>3723</v>
      </c>
      <c r="E1066" s="61" t="s">
        <v>3724</v>
      </c>
      <c r="F1066" s="43" t="s">
        <v>3725</v>
      </c>
      <c r="G1066">
        <f>IF(getRGB1($C1066)="FFFFFF",0,1)+IF(getRGB1($D1066)="FFFFFF",0,2)+IF(getRGB1($E1066)="FFFFFF",0,3)+IF(getRGB1($F1066)="FFFFFF",0,4)</f>
        <v>4</v>
      </c>
    </row>
    <row r="1067" spans="1:7" ht="25.5">
      <c r="A1067" t="s">
        <v>6671</v>
      </c>
      <c r="B1067" s="39" t="s">
        <v>3726</v>
      </c>
      <c r="C1067" s="61" t="s">
        <v>3727</v>
      </c>
      <c r="D1067" s="249" t="s">
        <v>3728</v>
      </c>
      <c r="E1067" s="250" t="s">
        <v>3729</v>
      </c>
      <c r="F1067" s="66" t="s">
        <v>3730</v>
      </c>
      <c r="G1067">
        <f>IF(getRGB1($C1067)="FFFFFF",0,1)+IF(getRGB1($D1067)="FFFFFF",0,2)+IF(getRGB1($E1067)="FFFFFF",0,3)+IF(getRGB1($F1067)="FFFFFF",0,4)</f>
        <v>4</v>
      </c>
    </row>
    <row r="1068" spans="1:7" ht="25.5">
      <c r="A1068" t="s">
        <v>6671</v>
      </c>
      <c r="B1068" s="39" t="s">
        <v>3731</v>
      </c>
      <c r="C1068" s="61" t="s">
        <v>3732</v>
      </c>
      <c r="D1068" s="61" t="s">
        <v>752</v>
      </c>
      <c r="E1068" s="61" t="s">
        <v>3719</v>
      </c>
      <c r="F1068" s="43" t="s">
        <v>1895</v>
      </c>
      <c r="G1068">
        <f>IF(getRGB1($C1068)="FFFFFF",0,1)+IF(getRGB1($D1068)="FFFFFF",0,2)+IF(getRGB1($E1068)="FFFFFF",0,3)+IF(getRGB1($F1068)="FFFFFF",0,4)</f>
        <v>4</v>
      </c>
    </row>
    <row r="1069" spans="1:7" ht="38.25">
      <c r="A1069" t="s">
        <v>6671</v>
      </c>
      <c r="B1069" s="39" t="s">
        <v>3733</v>
      </c>
      <c r="C1069" s="43" t="s">
        <v>3734</v>
      </c>
      <c r="D1069" s="61" t="s">
        <v>3719</v>
      </c>
      <c r="E1069" s="61" t="s">
        <v>1895</v>
      </c>
      <c r="F1069" s="61" t="s">
        <v>1555</v>
      </c>
      <c r="G1069">
        <f>IF(getRGB1($C1069)="FFFFFF",0,1)+IF(getRGB1($D1069)="FFFFFF",0,2)+IF(getRGB1($E1069)="FFFFFF",0,3)+IF(getRGB1($F1069)="FFFFFF",0,4)</f>
        <v>1</v>
      </c>
    </row>
    <row r="1070" spans="1:7" ht="25.5">
      <c r="A1070" t="s">
        <v>6671</v>
      </c>
      <c r="B1070" s="39" t="s">
        <v>3735</v>
      </c>
      <c r="C1070" s="61" t="s">
        <v>3736</v>
      </c>
      <c r="D1070" s="249" t="s">
        <v>3737</v>
      </c>
      <c r="E1070" s="249" t="s">
        <v>3738</v>
      </c>
      <c r="F1070" s="56" t="s">
        <v>154</v>
      </c>
      <c r="G1070">
        <f>IF(getRGB1($C1070)="FFFFFF",0,1)+IF(getRGB1($D1070)="FFFFFF",0,2)+IF(getRGB1($E1070)="FFFFFF",0,3)+IF(getRGB1($F1070)="FFFFFF",0,4)</f>
        <v>4</v>
      </c>
    </row>
    <row r="1071" spans="1:7" ht="38.25">
      <c r="A1071" t="s">
        <v>6671</v>
      </c>
      <c r="B1071" s="39" t="s">
        <v>3739</v>
      </c>
      <c r="C1071" s="61" t="s">
        <v>3740</v>
      </c>
      <c r="D1071" s="61" t="s">
        <v>3741</v>
      </c>
      <c r="E1071" s="61" t="s">
        <v>3742</v>
      </c>
      <c r="F1071" s="43" t="s">
        <v>3743</v>
      </c>
      <c r="G1071">
        <f>IF(getRGB1($C1071)="FFFFFF",0,1)+IF(getRGB1($D1071)="FFFFFF",0,2)+IF(getRGB1($E1071)="FFFFFF",0,3)+IF(getRGB1($F1071)="FFFFFF",0,4)</f>
        <v>4</v>
      </c>
    </row>
    <row r="1072" spans="1:7" ht="25.5">
      <c r="A1072" t="s">
        <v>6671</v>
      </c>
      <c r="B1072" s="39" t="s">
        <v>3744</v>
      </c>
      <c r="C1072" s="61" t="s">
        <v>3745</v>
      </c>
      <c r="D1072" s="43" t="s">
        <v>3746</v>
      </c>
      <c r="E1072" s="61" t="s">
        <v>3747</v>
      </c>
      <c r="F1072" s="61" t="s">
        <v>3748</v>
      </c>
      <c r="G1072">
        <f>IF(getRGB1($C1072)="FFFFFF",0,1)+IF(getRGB1($D1072)="FFFFFF",0,2)+IF(getRGB1($E1072)="FFFFFF",0,3)+IF(getRGB1($F1072)="FFFFFF",0,4)</f>
        <v>2</v>
      </c>
    </row>
    <row r="1073" spans="1:7" ht="25.5">
      <c r="A1073" t="s">
        <v>6671</v>
      </c>
      <c r="B1073" s="39" t="s">
        <v>3749</v>
      </c>
      <c r="C1073" s="43" t="s">
        <v>3718</v>
      </c>
      <c r="D1073" s="61" t="s">
        <v>3750</v>
      </c>
      <c r="E1073" s="61" t="s">
        <v>1895</v>
      </c>
      <c r="F1073" s="61" t="s">
        <v>3751</v>
      </c>
      <c r="G1073">
        <f>IF(getRGB1($C1073)="FFFFFF",0,1)+IF(getRGB1($D1073)="FFFFFF",0,2)+IF(getRGB1($E1073)="FFFFFF",0,3)+IF(getRGB1($F1073)="FFFFFF",0,4)</f>
        <v>1</v>
      </c>
    </row>
    <row r="1074" spans="1:7" ht="25.5">
      <c r="A1074" t="s">
        <v>6671</v>
      </c>
      <c r="B1074" s="39" t="s">
        <v>3752</v>
      </c>
      <c r="C1074" s="61" t="s">
        <v>3753</v>
      </c>
      <c r="D1074" s="43" t="s">
        <v>3754</v>
      </c>
      <c r="E1074" s="61" t="s">
        <v>3755</v>
      </c>
      <c r="F1074" s="61" t="s">
        <v>3756</v>
      </c>
      <c r="G1074">
        <f>IF(getRGB1($C1074)="FFFFFF",0,1)+IF(getRGB1($D1074)="FFFFFF",0,2)+IF(getRGB1($E1074)="FFFFFF",0,3)+IF(getRGB1($F1074)="FFFFFF",0,4)</f>
        <v>2</v>
      </c>
    </row>
    <row r="1075" spans="1:7" ht="25.5">
      <c r="A1075" t="s">
        <v>6671</v>
      </c>
      <c r="B1075" s="39" t="s">
        <v>3757</v>
      </c>
      <c r="C1075" s="61" t="s">
        <v>3758</v>
      </c>
      <c r="D1075" s="61" t="s">
        <v>3759</v>
      </c>
      <c r="E1075" s="61" t="s">
        <v>3760</v>
      </c>
      <c r="F1075" s="43" t="s">
        <v>3761</v>
      </c>
      <c r="G1075">
        <f>IF(getRGB1($C1075)="FFFFFF",0,1)+IF(getRGB1($D1075)="FFFFFF",0,2)+IF(getRGB1($E1075)="FFFFFF",0,3)+IF(getRGB1($F1075)="FFFFFF",0,4)</f>
        <v>4</v>
      </c>
    </row>
    <row r="1076" spans="1:7" ht="25.5">
      <c r="A1076" t="s">
        <v>6671</v>
      </c>
      <c r="B1076" s="39" t="s">
        <v>3762</v>
      </c>
      <c r="C1076" s="61" t="s">
        <v>3763</v>
      </c>
      <c r="D1076" s="61" t="s">
        <v>3764</v>
      </c>
      <c r="E1076" s="61" t="s">
        <v>3765</v>
      </c>
      <c r="F1076" s="43" t="s">
        <v>3766</v>
      </c>
      <c r="G1076">
        <f>IF(getRGB1($C1076)="FFFFFF",0,1)+IF(getRGB1($D1076)="FFFFFF",0,2)+IF(getRGB1($E1076)="FFFFFF",0,3)+IF(getRGB1($F1076)="FFFFFF",0,4)</f>
        <v>4</v>
      </c>
    </row>
    <row r="1077" spans="1:7" ht="25.5">
      <c r="A1077" t="s">
        <v>6671</v>
      </c>
      <c r="B1077" s="39" t="s">
        <v>3767</v>
      </c>
      <c r="C1077" s="43" t="s">
        <v>3768</v>
      </c>
      <c r="D1077" s="61" t="s">
        <v>3769</v>
      </c>
      <c r="E1077" s="61" t="s">
        <v>3770</v>
      </c>
      <c r="F1077" s="44" t="s">
        <v>3761</v>
      </c>
      <c r="G1077">
        <f>IF(getRGB1($C1077)="FFFFFF",0,1)+IF(getRGB1($D1077)="FFFFFF",0,2)+IF(getRGB1($E1077)="FFFFFF",0,3)+IF(getRGB1($F1077)="FFFFFF",0,4)</f>
        <v>1</v>
      </c>
    </row>
    <row r="1078" spans="1:7" ht="38.25">
      <c r="A1078" t="s">
        <v>6671</v>
      </c>
      <c r="B1078" s="39" t="s">
        <v>3771</v>
      </c>
      <c r="C1078" s="43" t="s">
        <v>1895</v>
      </c>
      <c r="D1078" s="61" t="s">
        <v>3772</v>
      </c>
      <c r="E1078" s="61" t="s">
        <v>3773</v>
      </c>
      <c r="F1078" s="61" t="s">
        <v>3774</v>
      </c>
      <c r="G1078">
        <f>IF(getRGB1($C1078)="FFFFFF",0,1)+IF(getRGB1($D1078)="FFFFFF",0,2)+IF(getRGB1($E1078)="FFFFFF",0,3)+IF(getRGB1($F1078)="FFFFFF",0,4)</f>
        <v>1</v>
      </c>
    </row>
    <row r="1079" spans="1:7" ht="89.25">
      <c r="A1079" t="s">
        <v>6671</v>
      </c>
      <c r="B1079" s="39" t="s">
        <v>3775</v>
      </c>
      <c r="C1079" s="43" t="s">
        <v>3776</v>
      </c>
      <c r="D1079" s="44" t="s">
        <v>3777</v>
      </c>
      <c r="E1079" s="244" t="s">
        <v>3778</v>
      </c>
      <c r="F1079" s="44" t="s">
        <v>3779</v>
      </c>
      <c r="G1079">
        <f>IF(getRGB1($C1079)="FFFFFF",0,1)+IF(getRGB1($D1079)="FFFFFF",0,2)+IF(getRGB1($E1079)="FFFFFF",0,3)+IF(getRGB1($F1079)="FFFFFF",0,4)</f>
        <v>1</v>
      </c>
    </row>
    <row r="1080" spans="1:7" ht="38.25">
      <c r="A1080" t="s">
        <v>6671</v>
      </c>
      <c r="B1080" s="39" t="s">
        <v>3780</v>
      </c>
      <c r="C1080" s="43" t="s">
        <v>3718</v>
      </c>
      <c r="D1080" s="61" t="s">
        <v>3719</v>
      </c>
      <c r="E1080" s="61" t="s">
        <v>1895</v>
      </c>
      <c r="F1080" s="61" t="s">
        <v>1555</v>
      </c>
      <c r="G1080">
        <f>IF(getRGB1($C1080)="FFFFFF",0,1)+IF(getRGB1($D1080)="FFFFFF",0,2)+IF(getRGB1($E1080)="FFFFFF",0,3)+IF(getRGB1($F1080)="FFFFFF",0,4)</f>
        <v>1</v>
      </c>
    </row>
    <row r="1081" spans="1:7" ht="25.5">
      <c r="A1081" t="s">
        <v>6671</v>
      </c>
      <c r="B1081" s="39" t="s">
        <v>3781</v>
      </c>
      <c r="C1081" s="61" t="s">
        <v>3782</v>
      </c>
      <c r="D1081" s="61" t="s">
        <v>3783</v>
      </c>
      <c r="E1081" s="61" t="s">
        <v>3784</v>
      </c>
      <c r="F1081" s="43" t="s">
        <v>3785</v>
      </c>
      <c r="G1081">
        <f>IF(getRGB1($C1081)="FFFFFF",0,1)+IF(getRGB1($D1081)="FFFFFF",0,2)+IF(getRGB1($E1081)="FFFFFF",0,3)+IF(getRGB1($F1081)="FFFFFF",0,4)</f>
        <v>4</v>
      </c>
    </row>
    <row r="1082" spans="1:7" ht="38.25">
      <c r="A1082" t="s">
        <v>6671</v>
      </c>
      <c r="B1082" s="39" t="s">
        <v>3786</v>
      </c>
      <c r="C1082" s="43" t="s">
        <v>3787</v>
      </c>
      <c r="D1082" s="61" t="s">
        <v>3788</v>
      </c>
      <c r="E1082" s="61" t="s">
        <v>3789</v>
      </c>
      <c r="F1082" s="61" t="s">
        <v>1363</v>
      </c>
      <c r="G1082">
        <f>IF(getRGB1($C1082)="FFFFFF",0,1)+IF(getRGB1($D1082)="FFFFFF",0,2)+IF(getRGB1($E1082)="FFFFFF",0,3)+IF(getRGB1($F1082)="FFFFFF",0,4)</f>
        <v>1</v>
      </c>
    </row>
    <row r="1083" spans="1:7" ht="25.5">
      <c r="A1083" t="s">
        <v>6671</v>
      </c>
      <c r="B1083" s="39" t="s">
        <v>3790</v>
      </c>
      <c r="C1083" s="43" t="s">
        <v>3791</v>
      </c>
      <c r="D1083" s="61" t="s">
        <v>3792</v>
      </c>
      <c r="E1083" s="61" t="s">
        <v>3793</v>
      </c>
      <c r="F1083" s="61" t="s">
        <v>3794</v>
      </c>
      <c r="G1083">
        <f>IF(getRGB1($C1083)="FFFFFF",0,1)+IF(getRGB1($D1083)="FFFFFF",0,2)+IF(getRGB1($E1083)="FFFFFF",0,3)+IF(getRGB1($F1083)="FFFFFF",0,4)</f>
        <v>1</v>
      </c>
    </row>
    <row r="1084" spans="1:7" ht="38.25">
      <c r="A1084" t="s">
        <v>6671</v>
      </c>
      <c r="B1084" s="39" t="s">
        <v>3795</v>
      </c>
      <c r="C1084" s="43" t="s">
        <v>3796</v>
      </c>
      <c r="D1084" s="44" t="s">
        <v>3797</v>
      </c>
      <c r="E1084" s="61" t="s">
        <v>3798</v>
      </c>
      <c r="F1084" s="44" t="s">
        <v>3799</v>
      </c>
      <c r="G1084">
        <f>IF(getRGB1($C1084)="FFFFFF",0,1)+IF(getRGB1($D1084)="FFFFFF",0,2)+IF(getRGB1($E1084)="FFFFFF",0,3)+IF(getRGB1($F1084)="FFFFFF",0,4)</f>
        <v>1</v>
      </c>
    </row>
    <row r="1085" spans="1:7" ht="25.5">
      <c r="A1085" t="s">
        <v>6671</v>
      </c>
      <c r="B1085" s="39" t="s">
        <v>3800</v>
      </c>
      <c r="C1085" s="251" t="s">
        <v>3801</v>
      </c>
      <c r="D1085" s="61" t="s">
        <v>3802</v>
      </c>
      <c r="E1085" s="252" t="s">
        <v>3803</v>
      </c>
      <c r="F1085" s="61" t="s">
        <v>3804</v>
      </c>
      <c r="G1085">
        <f>IF(getRGB1($C1085)="FFFFFF",0,1)+IF(getRGB1($D1085)="FFFFFF",0,2)+IF(getRGB1($E1085)="FFFFFF",0,3)+IF(getRGB1($F1085)="FFFFFF",0,4)</f>
        <v>1</v>
      </c>
    </row>
    <row r="1086" spans="1:7" ht="25.5">
      <c r="A1086" t="s">
        <v>6671</v>
      </c>
      <c r="B1086" s="39" t="s">
        <v>3805</v>
      </c>
      <c r="C1086" s="43" t="s">
        <v>3806</v>
      </c>
      <c r="D1086" s="61" t="s">
        <v>3807</v>
      </c>
      <c r="E1086" s="61" t="s">
        <v>3808</v>
      </c>
      <c r="F1086" s="61" t="s">
        <v>73</v>
      </c>
      <c r="G1086">
        <f>IF(getRGB1($C1086)="FFFFFF",0,1)+IF(getRGB1($D1086)="FFFFFF",0,2)+IF(getRGB1($E1086)="FFFFFF",0,3)+IF(getRGB1($F1086)="FFFFFF",0,4)</f>
        <v>1</v>
      </c>
    </row>
    <row r="1087" spans="1:7" ht="38.25">
      <c r="A1087" t="s">
        <v>6671</v>
      </c>
      <c r="B1087" s="39" t="s">
        <v>3809</v>
      </c>
      <c r="C1087" s="61" t="s">
        <v>3810</v>
      </c>
      <c r="D1087" s="61" t="s">
        <v>3811</v>
      </c>
      <c r="E1087" s="61" t="s">
        <v>3812</v>
      </c>
      <c r="F1087" s="43" t="s">
        <v>1000</v>
      </c>
      <c r="G1087">
        <f>IF(getRGB1($C1087)="FFFFFF",0,1)+IF(getRGB1($D1087)="FFFFFF",0,2)+IF(getRGB1($E1087)="FFFFFF",0,3)+IF(getRGB1($F1087)="FFFFFF",0,4)</f>
        <v>4</v>
      </c>
    </row>
    <row r="1088" spans="1:7" ht="38.25">
      <c r="A1088" t="s">
        <v>6671</v>
      </c>
      <c r="B1088" s="39" t="s">
        <v>3813</v>
      </c>
      <c r="C1088" s="61" t="s">
        <v>3814</v>
      </c>
      <c r="D1088" s="43" t="s">
        <v>3815</v>
      </c>
      <c r="E1088" s="61" t="s">
        <v>3816</v>
      </c>
      <c r="F1088" s="61" t="s">
        <v>3817</v>
      </c>
      <c r="G1088">
        <f>IF(getRGB1($C1088)="FFFFFF",0,1)+IF(getRGB1($D1088)="FFFFFF",0,2)+IF(getRGB1($E1088)="FFFFFF",0,3)+IF(getRGB1($F1088)="FFFFFF",0,4)</f>
        <v>2</v>
      </c>
    </row>
    <row r="1089" spans="1:7" ht="25.5">
      <c r="A1089" t="s">
        <v>6671</v>
      </c>
      <c r="B1089" s="39" t="s">
        <v>3818</v>
      </c>
      <c r="C1089" s="61" t="s">
        <v>3819</v>
      </c>
      <c r="D1089" s="61" t="s">
        <v>3820</v>
      </c>
      <c r="E1089" s="43" t="s">
        <v>3821</v>
      </c>
      <c r="F1089" s="61" t="s">
        <v>61</v>
      </c>
      <c r="G1089">
        <f>IF(getRGB1($C1089)="FFFFFF",0,1)+IF(getRGB1($D1089)="FFFFFF",0,2)+IF(getRGB1($E1089)="FFFFFF",0,3)+IF(getRGB1($F1089)="FFFFFF",0,4)</f>
        <v>3</v>
      </c>
    </row>
    <row r="1090" spans="1:7" ht="76.5">
      <c r="A1090" t="s">
        <v>6671</v>
      </c>
      <c r="B1090" s="39" t="s">
        <v>3822</v>
      </c>
      <c r="C1090" s="61" t="s">
        <v>3823</v>
      </c>
      <c r="D1090" s="61" t="s">
        <v>3824</v>
      </c>
      <c r="E1090" s="61" t="s">
        <v>3825</v>
      </c>
      <c r="F1090" s="43" t="s">
        <v>3826</v>
      </c>
      <c r="G1090">
        <f>IF(getRGB1($C1090)="FFFFFF",0,1)+IF(getRGB1($D1090)="FFFFFF",0,2)+IF(getRGB1($E1090)="FFFFFF",0,3)+IF(getRGB1($F1090)="FFFFFF",0,4)</f>
        <v>4</v>
      </c>
    </row>
    <row r="1091" spans="1:7">
      <c r="A1091" t="s">
        <v>6671</v>
      </c>
      <c r="B1091" s="39" t="s">
        <v>3827</v>
      </c>
      <c r="C1091" s="61" t="s">
        <v>3828</v>
      </c>
      <c r="D1091" s="43" t="s">
        <v>3829</v>
      </c>
      <c r="E1091" s="61" t="s">
        <v>804</v>
      </c>
      <c r="F1091" s="61" t="s">
        <v>805</v>
      </c>
      <c r="G1091">
        <f>IF(getRGB1($C1091)="FFFFFF",0,1)+IF(getRGB1($D1091)="FFFFFF",0,2)+IF(getRGB1($E1091)="FFFFFF",0,3)+IF(getRGB1($F1091)="FFFFFF",0,4)</f>
        <v>2</v>
      </c>
    </row>
    <row r="1092" spans="1:7" ht="25.5">
      <c r="A1092" t="s">
        <v>6671</v>
      </c>
      <c r="B1092" s="39" t="s">
        <v>3830</v>
      </c>
      <c r="C1092" s="61" t="s">
        <v>74</v>
      </c>
      <c r="D1092" s="61" t="s">
        <v>137</v>
      </c>
      <c r="E1092" s="43" t="s">
        <v>2473</v>
      </c>
      <c r="F1092" s="61" t="s">
        <v>76</v>
      </c>
      <c r="G1092">
        <f>IF(getRGB1($C1092)="FFFFFF",0,1)+IF(getRGB1($D1092)="FFFFFF",0,2)+IF(getRGB1($E1092)="FFFFFF",0,3)+IF(getRGB1($F1092)="FFFFFF",0,4)</f>
        <v>3</v>
      </c>
    </row>
    <row r="1093" spans="1:7" ht="38.25">
      <c r="A1093" t="s">
        <v>6671</v>
      </c>
      <c r="B1093" s="39" t="s">
        <v>3831</v>
      </c>
      <c r="C1093" s="43" t="s">
        <v>3832</v>
      </c>
      <c r="D1093" s="61" t="s">
        <v>3833</v>
      </c>
      <c r="E1093" s="61" t="s">
        <v>3834</v>
      </c>
      <c r="F1093" s="61" t="s">
        <v>3835</v>
      </c>
      <c r="G1093">
        <f>IF(getRGB1($C1093)="FFFFFF",0,1)+IF(getRGB1($D1093)="FFFFFF",0,2)+IF(getRGB1($E1093)="FFFFFF",0,3)+IF(getRGB1($F1093)="FFFFFF",0,4)</f>
        <v>1</v>
      </c>
    </row>
    <row r="1094" spans="1:7" ht="38.25">
      <c r="A1094" t="s">
        <v>6671</v>
      </c>
      <c r="B1094" s="39" t="s">
        <v>3836</v>
      </c>
      <c r="C1094" s="61" t="s">
        <v>74</v>
      </c>
      <c r="D1094" s="43" t="s">
        <v>73</v>
      </c>
      <c r="E1094" s="61" t="s">
        <v>177</v>
      </c>
      <c r="F1094" s="61" t="s">
        <v>3476</v>
      </c>
      <c r="G1094">
        <f>IF(getRGB1($C1094)="FFFFFF",0,1)+IF(getRGB1($D1094)="FFFFFF",0,2)+IF(getRGB1($E1094)="FFFFFF",0,3)+IF(getRGB1($F1094)="FFFFFF",0,4)</f>
        <v>2</v>
      </c>
    </row>
    <row r="1095" spans="1:7" ht="25.5">
      <c r="A1095" t="s">
        <v>6671</v>
      </c>
      <c r="B1095" s="39" t="s">
        <v>3837</v>
      </c>
      <c r="C1095" s="43" t="s">
        <v>3838</v>
      </c>
      <c r="D1095" s="61" t="s">
        <v>3839</v>
      </c>
      <c r="E1095" s="61" t="s">
        <v>3840</v>
      </c>
      <c r="F1095" s="252" t="s">
        <v>3841</v>
      </c>
      <c r="G1095">
        <f>IF(getRGB1($C1095)="FFFFFF",0,1)+IF(getRGB1($D1095)="FFFFFF",0,2)+IF(getRGB1($E1095)="FFFFFF",0,3)+IF(getRGB1($F1095)="FFFFFF",0,4)</f>
        <v>1</v>
      </c>
    </row>
    <row r="1096" spans="1:7" ht="38.25">
      <c r="A1096" t="s">
        <v>6671</v>
      </c>
      <c r="B1096" s="39" t="s">
        <v>3842</v>
      </c>
      <c r="C1096" s="252" t="s">
        <v>3843</v>
      </c>
      <c r="D1096" s="61" t="s">
        <v>3844</v>
      </c>
      <c r="E1096" s="251" t="s">
        <v>3845</v>
      </c>
      <c r="F1096" s="252" t="s">
        <v>3846</v>
      </c>
      <c r="G1096">
        <f>IF(getRGB1($C1096)="FFFFFF",0,1)+IF(getRGB1($D1096)="FFFFFF",0,2)+IF(getRGB1($E1096)="FFFFFF",0,3)+IF(getRGB1($F1096)="FFFFFF",0,4)</f>
        <v>3</v>
      </c>
    </row>
    <row r="1097" spans="1:7" ht="25.5">
      <c r="A1097" t="s">
        <v>6671</v>
      </c>
      <c r="B1097" s="39" t="s">
        <v>3847</v>
      </c>
      <c r="C1097" s="43" t="s">
        <v>3848</v>
      </c>
      <c r="D1097" s="61" t="s">
        <v>3849</v>
      </c>
      <c r="E1097" s="61" t="s">
        <v>3850</v>
      </c>
      <c r="F1097" s="61" t="s">
        <v>3851</v>
      </c>
      <c r="G1097">
        <f>IF(getRGB1($C1097)="FFFFFF",0,1)+IF(getRGB1($D1097)="FFFFFF",0,2)+IF(getRGB1($E1097)="FFFFFF",0,3)+IF(getRGB1($F1097)="FFFFFF",0,4)</f>
        <v>1</v>
      </c>
    </row>
    <row r="1098" spans="1:7" ht="38.25">
      <c r="A1098" t="s">
        <v>6671</v>
      </c>
      <c r="B1098" s="39" t="s">
        <v>3852</v>
      </c>
      <c r="C1098" s="252" t="s">
        <v>3853</v>
      </c>
      <c r="D1098" s="61" t="s">
        <v>3854</v>
      </c>
      <c r="E1098" s="43" t="s">
        <v>3855</v>
      </c>
      <c r="F1098" s="61" t="s">
        <v>3856</v>
      </c>
      <c r="G1098">
        <f>IF(getRGB1($C1098)="FFFFFF",0,1)+IF(getRGB1($D1098)="FFFFFF",0,2)+IF(getRGB1($E1098)="FFFFFF",0,3)+IF(getRGB1($F1098)="FFFFFF",0,4)</f>
        <v>3</v>
      </c>
    </row>
    <row r="1099" spans="1:7" ht="25.5">
      <c r="A1099" t="s">
        <v>6671</v>
      </c>
      <c r="B1099" s="39" t="s">
        <v>3857</v>
      </c>
      <c r="C1099" s="43" t="s">
        <v>3858</v>
      </c>
      <c r="D1099" s="61" t="s">
        <v>3859</v>
      </c>
      <c r="E1099" s="61" t="s">
        <v>3860</v>
      </c>
      <c r="F1099" s="61" t="s">
        <v>3861</v>
      </c>
      <c r="G1099">
        <f>IF(getRGB1($C1099)="FFFFFF",0,1)+IF(getRGB1($D1099)="FFFFFF",0,2)+IF(getRGB1($E1099)="FFFFFF",0,3)+IF(getRGB1($F1099)="FFFFFF",0,4)</f>
        <v>1</v>
      </c>
    </row>
    <row r="1100" spans="1:7" ht="25.5">
      <c r="A1100" t="s">
        <v>6671</v>
      </c>
      <c r="B1100" s="39" t="s">
        <v>3862</v>
      </c>
      <c r="C1100" s="61" t="s">
        <v>3718</v>
      </c>
      <c r="D1100" s="61" t="s">
        <v>3863</v>
      </c>
      <c r="E1100" s="61" t="s">
        <v>3864</v>
      </c>
      <c r="F1100" s="251" t="s">
        <v>3865</v>
      </c>
      <c r="G1100">
        <f>IF(getRGB1($C1100)="FFFFFF",0,1)+IF(getRGB1($D1100)="FFFFFF",0,2)+IF(getRGB1($E1100)="FFFFFF",0,3)+IF(getRGB1($F1100)="FFFFFF",0,4)</f>
        <v>4</v>
      </c>
    </row>
    <row r="1101" spans="1:7" ht="25.5">
      <c r="A1101" t="s">
        <v>6671</v>
      </c>
      <c r="B1101" s="39" t="s">
        <v>3866</v>
      </c>
      <c r="C1101" s="61" t="s">
        <v>3751</v>
      </c>
      <c r="D1101" s="43" t="s">
        <v>3718</v>
      </c>
      <c r="E1101" s="61" t="s">
        <v>1895</v>
      </c>
      <c r="F1101" s="61" t="s">
        <v>3719</v>
      </c>
      <c r="G1101">
        <f>IF(getRGB1($C1101)="FFFFFF",0,1)+IF(getRGB1($D1101)="FFFFFF",0,2)+IF(getRGB1($E1101)="FFFFFF",0,3)+IF(getRGB1($F1101)="FFFFFF",0,4)</f>
        <v>2</v>
      </c>
    </row>
    <row r="1102" spans="1:7" ht="38.25">
      <c r="A1102" t="s">
        <v>6671</v>
      </c>
      <c r="B1102" s="39" t="s">
        <v>3867</v>
      </c>
      <c r="C1102" s="61" t="s">
        <v>3751</v>
      </c>
      <c r="D1102" s="252" t="s">
        <v>3868</v>
      </c>
      <c r="E1102" s="43" t="s">
        <v>1895</v>
      </c>
      <c r="F1102" s="252" t="s">
        <v>3869</v>
      </c>
      <c r="G1102">
        <f>IF(getRGB1($C1102)="FFFFFF",0,1)+IF(getRGB1($D1102)="FFFFFF",0,2)+IF(getRGB1($E1102)="FFFFFF",0,3)+IF(getRGB1($F1102)="FFFFFF",0,4)</f>
        <v>3</v>
      </c>
    </row>
    <row r="1103" spans="1:7" ht="25.5">
      <c r="A1103" t="s">
        <v>6671</v>
      </c>
      <c r="B1103" s="39" t="s">
        <v>3870</v>
      </c>
      <c r="C1103" s="61" t="s">
        <v>3751</v>
      </c>
      <c r="D1103" s="61" t="s">
        <v>3871</v>
      </c>
      <c r="E1103" s="61" t="s">
        <v>1895</v>
      </c>
      <c r="F1103" s="43" t="s">
        <v>3719</v>
      </c>
      <c r="G1103">
        <f>IF(getRGB1($C1103)="FFFFFF",0,1)+IF(getRGB1($D1103)="FFFFFF",0,2)+IF(getRGB1($E1103)="FFFFFF",0,3)+IF(getRGB1($F1103)="FFFFFF",0,4)</f>
        <v>4</v>
      </c>
    </row>
    <row r="1104" spans="1:7" ht="25.5">
      <c r="A1104" t="s">
        <v>6671</v>
      </c>
      <c r="B1104" s="39" t="s">
        <v>3872</v>
      </c>
      <c r="C1104" s="61" t="s">
        <v>3873</v>
      </c>
      <c r="D1104" s="43" t="s">
        <v>3874</v>
      </c>
      <c r="E1104" s="61" t="s">
        <v>3875</v>
      </c>
      <c r="F1104" s="61" t="s">
        <v>3876</v>
      </c>
      <c r="G1104">
        <f>IF(getRGB1($C1104)="FFFFFF",0,1)+IF(getRGB1($D1104)="FFFFFF",0,2)+IF(getRGB1($E1104)="FFFFFF",0,3)+IF(getRGB1($F1104)="FFFFFF",0,4)</f>
        <v>2</v>
      </c>
    </row>
    <row r="1105" spans="1:7" ht="76.5">
      <c r="A1105" t="s">
        <v>6671</v>
      </c>
      <c r="B1105" s="39" t="s">
        <v>3877</v>
      </c>
      <c r="C1105" s="43" t="s">
        <v>3878</v>
      </c>
      <c r="D1105" s="252" t="s">
        <v>3879</v>
      </c>
      <c r="E1105" s="252" t="s">
        <v>3880</v>
      </c>
      <c r="F1105" s="252" t="s">
        <v>3881</v>
      </c>
      <c r="G1105">
        <f>IF(getRGB1($C1105)="FFFFFF",0,1)+IF(getRGB1($D1105)="FFFFFF",0,2)+IF(getRGB1($E1105)="FFFFFF",0,3)+IF(getRGB1($F1105)="FFFFFF",0,4)</f>
        <v>1</v>
      </c>
    </row>
    <row r="1106" spans="1:7" ht="51">
      <c r="A1106" t="s">
        <v>6671</v>
      </c>
      <c r="B1106" s="39" t="s">
        <v>3882</v>
      </c>
      <c r="C1106" s="61" t="s">
        <v>3883</v>
      </c>
      <c r="D1106" s="61" t="s">
        <v>3884</v>
      </c>
      <c r="E1106" s="43" t="s">
        <v>3885</v>
      </c>
      <c r="F1106" s="61" t="s">
        <v>3886</v>
      </c>
      <c r="G1106">
        <f>IF(getRGB1($C1106)="FFFFFF",0,1)+IF(getRGB1($D1106)="FFFFFF",0,2)+IF(getRGB1($E1106)="FFFFFF",0,3)+IF(getRGB1($F1106)="FFFFFF",0,4)</f>
        <v>3</v>
      </c>
    </row>
    <row r="1107" spans="1:7" ht="38.25">
      <c r="A1107" t="s">
        <v>6671</v>
      </c>
      <c r="B1107" s="39" t="s">
        <v>3887</v>
      </c>
      <c r="C1107" s="43" t="s">
        <v>3888</v>
      </c>
      <c r="D1107" s="61" t="s">
        <v>3889</v>
      </c>
      <c r="E1107" s="61" t="s">
        <v>3890</v>
      </c>
      <c r="F1107" s="61" t="s">
        <v>3891</v>
      </c>
      <c r="G1107">
        <f>IF(getRGB1($C1107)="FFFFFF",0,1)+IF(getRGB1($D1107)="FFFFFF",0,2)+IF(getRGB1($E1107)="FFFFFF",0,3)+IF(getRGB1($F1107)="FFFFFF",0,4)</f>
        <v>1</v>
      </c>
    </row>
    <row r="1108" spans="1:7" ht="38.25">
      <c r="A1108" t="s">
        <v>6671</v>
      </c>
      <c r="B1108" s="39" t="s">
        <v>3892</v>
      </c>
      <c r="C1108" s="61" t="s">
        <v>417</v>
      </c>
      <c r="D1108" s="61" t="s">
        <v>179</v>
      </c>
      <c r="E1108" s="61" t="s">
        <v>3807</v>
      </c>
      <c r="F1108" s="43" t="s">
        <v>3893</v>
      </c>
      <c r="G1108">
        <f>IF(getRGB1($C1108)="FFFFFF",0,1)+IF(getRGB1($D1108)="FFFFFF",0,2)+IF(getRGB1($E1108)="FFFFFF",0,3)+IF(getRGB1($F1108)="FFFFFF",0,4)</f>
        <v>4</v>
      </c>
    </row>
    <row r="1109" spans="1:7" ht="25.5">
      <c r="A1109" t="s">
        <v>6671</v>
      </c>
      <c r="B1109" s="39" t="s">
        <v>3894</v>
      </c>
      <c r="C1109" s="43" t="s">
        <v>3895</v>
      </c>
      <c r="D1109" s="61" t="s">
        <v>3896</v>
      </c>
      <c r="E1109" s="61" t="s">
        <v>3897</v>
      </c>
      <c r="F1109" s="61" t="s">
        <v>3898</v>
      </c>
      <c r="G1109">
        <f>IF(getRGB1($C1109)="FFFFFF",0,1)+IF(getRGB1($D1109)="FFFFFF",0,2)+IF(getRGB1($E1109)="FFFFFF",0,3)+IF(getRGB1($F1109)="FFFFFF",0,4)</f>
        <v>1</v>
      </c>
    </row>
    <row r="1110" spans="1:7" ht="38.25">
      <c r="A1110" t="s">
        <v>6671</v>
      </c>
      <c r="B1110" s="39" t="s">
        <v>3899</v>
      </c>
      <c r="C1110" s="43" t="s">
        <v>3900</v>
      </c>
      <c r="D1110" s="252" t="s">
        <v>3901</v>
      </c>
      <c r="E1110" s="61" t="s">
        <v>3902</v>
      </c>
      <c r="F1110" s="252" t="s">
        <v>3903</v>
      </c>
      <c r="G1110">
        <f>IF(getRGB1($C1110)="FFFFFF",0,1)+IF(getRGB1($D1110)="FFFFFF",0,2)+IF(getRGB1($E1110)="FFFFFF",0,3)+IF(getRGB1($F1110)="FFFFFF",0,4)</f>
        <v>1</v>
      </c>
    </row>
    <row r="1111" spans="1:7" ht="25.5">
      <c r="A1111" t="s">
        <v>6671</v>
      </c>
      <c r="B1111" s="39" t="s">
        <v>3904</v>
      </c>
      <c r="C1111" s="43" t="s">
        <v>3905</v>
      </c>
      <c r="D1111" s="44" t="s">
        <v>3906</v>
      </c>
      <c r="E1111" s="61" t="s">
        <v>3907</v>
      </c>
      <c r="F1111" s="61" t="s">
        <v>3908</v>
      </c>
      <c r="G1111">
        <f>IF(getRGB1($C1111)="FFFFFF",0,1)+IF(getRGB1($D1111)="FFFFFF",0,2)+IF(getRGB1($E1111)="FFFFFF",0,3)+IF(getRGB1($F1111)="FFFFFF",0,4)</f>
        <v>1</v>
      </c>
    </row>
    <row r="1112" spans="1:7" ht="25.5">
      <c r="A1112" t="s">
        <v>6671</v>
      </c>
      <c r="B1112" s="39" t="s">
        <v>3909</v>
      </c>
      <c r="C1112" s="61" t="s">
        <v>3910</v>
      </c>
      <c r="D1112" s="61" t="s">
        <v>3911</v>
      </c>
      <c r="E1112" s="43" t="s">
        <v>3912</v>
      </c>
      <c r="F1112" s="61" t="s">
        <v>3913</v>
      </c>
      <c r="G1112">
        <f>IF(getRGB1($C1112)="FFFFFF",0,1)+IF(getRGB1($D1112)="FFFFFF",0,2)+IF(getRGB1($E1112)="FFFFFF",0,3)+IF(getRGB1($F1112)="FFFFFF",0,4)</f>
        <v>3</v>
      </c>
    </row>
    <row r="1113" spans="1:7" ht="25.5">
      <c r="A1113" t="s">
        <v>6671</v>
      </c>
      <c r="B1113" s="39" t="s">
        <v>3914</v>
      </c>
      <c r="C1113" s="43" t="s">
        <v>3915</v>
      </c>
      <c r="D1113" s="61" t="s">
        <v>3916</v>
      </c>
      <c r="E1113" s="61" t="s">
        <v>3917</v>
      </c>
      <c r="F1113" s="61" t="s">
        <v>3918</v>
      </c>
      <c r="G1113">
        <f>IF(getRGB1($C1113)="FFFFFF",0,1)+IF(getRGB1($D1113)="FFFFFF",0,2)+IF(getRGB1($E1113)="FFFFFF",0,3)+IF(getRGB1($F1113)="FFFFFF",0,4)</f>
        <v>1</v>
      </c>
    </row>
    <row r="1114" spans="1:7" ht="76.5">
      <c r="A1114" t="s">
        <v>6671</v>
      </c>
      <c r="B1114" s="39" t="s">
        <v>3919</v>
      </c>
      <c r="C1114" s="61" t="s">
        <v>3920</v>
      </c>
      <c r="D1114" s="61" t="s">
        <v>3921</v>
      </c>
      <c r="E1114" s="61" t="s">
        <v>3922</v>
      </c>
      <c r="F1114" s="43" t="s">
        <v>3923</v>
      </c>
      <c r="G1114">
        <f>IF(getRGB1($C1114)="FFFFFF",0,1)+IF(getRGB1($D1114)="FFFFFF",0,2)+IF(getRGB1($E1114)="FFFFFF",0,3)+IF(getRGB1($F1114)="FFFFFF",0,4)</f>
        <v>4</v>
      </c>
    </row>
    <row r="1115" spans="1:7" ht="38.25">
      <c r="A1115" t="s">
        <v>6671</v>
      </c>
      <c r="B1115" s="39" t="s">
        <v>3924</v>
      </c>
      <c r="C1115" s="61" t="s">
        <v>3925</v>
      </c>
      <c r="D1115" s="61" t="s">
        <v>3926</v>
      </c>
      <c r="E1115" s="61" t="s">
        <v>3927</v>
      </c>
      <c r="F1115" s="43" t="s">
        <v>1869</v>
      </c>
      <c r="G1115">
        <f>IF(getRGB1($C1115)="FFFFFF",0,1)+IF(getRGB1($D1115)="FFFFFF",0,2)+IF(getRGB1($E1115)="FFFFFF",0,3)+IF(getRGB1($F1115)="FFFFFF",0,4)</f>
        <v>4</v>
      </c>
    </row>
    <row r="1116" spans="1:7" ht="89.25">
      <c r="A1116" t="s">
        <v>6671</v>
      </c>
      <c r="B1116" s="39" t="s">
        <v>3928</v>
      </c>
      <c r="C1116" s="43" t="s">
        <v>3929</v>
      </c>
      <c r="D1116" s="61" t="s">
        <v>3930</v>
      </c>
      <c r="E1116" s="61" t="s">
        <v>3931</v>
      </c>
      <c r="F1116" s="61" t="s">
        <v>3932</v>
      </c>
      <c r="G1116">
        <f>IF(getRGB1($C1116)="FFFFFF",0,1)+IF(getRGB1($D1116)="FFFFFF",0,2)+IF(getRGB1($E1116)="FFFFFF",0,3)+IF(getRGB1($F1116)="FFFFFF",0,4)</f>
        <v>1</v>
      </c>
    </row>
    <row r="1117" spans="1:7" ht="25.5">
      <c r="A1117" t="s">
        <v>6671</v>
      </c>
      <c r="B1117" s="39" t="s">
        <v>3933</v>
      </c>
      <c r="C1117" s="43" t="s">
        <v>179</v>
      </c>
      <c r="D1117" s="61" t="s">
        <v>76</v>
      </c>
      <c r="E1117" s="61" t="s">
        <v>137</v>
      </c>
      <c r="F1117" s="61" t="s">
        <v>74</v>
      </c>
      <c r="G1117">
        <f>IF(getRGB1($C1117)="FFFFFF",0,1)+IF(getRGB1($D1117)="FFFFFF",0,2)+IF(getRGB1($E1117)="FFFFFF",0,3)+IF(getRGB1($F1117)="FFFFFF",0,4)</f>
        <v>1</v>
      </c>
    </row>
    <row r="1118" spans="1:7" ht="38.25">
      <c r="A1118" t="s">
        <v>6671</v>
      </c>
      <c r="B1118" s="39" t="s">
        <v>3934</v>
      </c>
      <c r="C1118" s="44" t="s">
        <v>3935</v>
      </c>
      <c r="D1118" s="44" t="s">
        <v>3936</v>
      </c>
      <c r="E1118" s="43" t="s">
        <v>3937</v>
      </c>
      <c r="F1118" s="44" t="s">
        <v>3938</v>
      </c>
      <c r="G1118">
        <f>IF(getRGB1($C1118)="FFFFFF",0,1)+IF(getRGB1($D1118)="FFFFFF",0,2)+IF(getRGB1($E1118)="FFFFFF",0,3)+IF(getRGB1($F1118)="FFFFFF",0,4)</f>
        <v>3</v>
      </c>
    </row>
    <row r="1119" spans="1:7" ht="25.5">
      <c r="A1119" t="s">
        <v>6671</v>
      </c>
      <c r="B1119" s="39" t="s">
        <v>3939</v>
      </c>
      <c r="C1119" s="43" t="s">
        <v>3940</v>
      </c>
      <c r="D1119" s="61" t="s">
        <v>3941</v>
      </c>
      <c r="E1119" s="61" t="s">
        <v>3942</v>
      </c>
      <c r="F1119" s="61" t="s">
        <v>3943</v>
      </c>
      <c r="G1119">
        <f>IF(getRGB1($C1119)="FFFFFF",0,1)+IF(getRGB1($D1119)="FFFFFF",0,2)+IF(getRGB1($E1119)="FFFFFF",0,3)+IF(getRGB1($F1119)="FFFFFF",0,4)</f>
        <v>1</v>
      </c>
    </row>
    <row r="1120" spans="1:7" ht="38.25">
      <c r="A1120" t="s">
        <v>6671</v>
      </c>
      <c r="B1120" s="39" t="s">
        <v>3944</v>
      </c>
      <c r="C1120" s="43" t="s">
        <v>3945</v>
      </c>
      <c r="D1120" s="61" t="s">
        <v>3946</v>
      </c>
      <c r="E1120" s="61" t="s">
        <v>3947</v>
      </c>
      <c r="F1120" s="61" t="s">
        <v>3948</v>
      </c>
      <c r="G1120">
        <f>IF(getRGB1($C1120)="FFFFFF",0,1)+IF(getRGB1($D1120)="FFFFFF",0,2)+IF(getRGB1($E1120)="FFFFFF",0,3)+IF(getRGB1($F1120)="FFFFFF",0,4)</f>
        <v>1</v>
      </c>
    </row>
    <row r="1121" spans="1:7" ht="25.5">
      <c r="A1121" t="s">
        <v>6671</v>
      </c>
      <c r="B1121" s="39" t="s">
        <v>3949</v>
      </c>
      <c r="C1121" s="43" t="s">
        <v>557</v>
      </c>
      <c r="D1121" s="61" t="s">
        <v>3773</v>
      </c>
      <c r="E1121" s="61" t="s">
        <v>3950</v>
      </c>
      <c r="F1121" s="61" t="s">
        <v>3951</v>
      </c>
      <c r="G1121">
        <f>IF(getRGB1($C1121)="FFFFFF",0,1)+IF(getRGB1($D1121)="FFFFFF",0,2)+IF(getRGB1($E1121)="FFFFFF",0,3)+IF(getRGB1($F1121)="FFFFFF",0,4)</f>
        <v>1</v>
      </c>
    </row>
    <row r="1122" spans="1:7" ht="38.25">
      <c r="A1122" t="s">
        <v>6671</v>
      </c>
      <c r="B1122" s="39" t="s">
        <v>3952</v>
      </c>
      <c r="C1122" s="43" t="s">
        <v>3953</v>
      </c>
      <c r="D1122" s="61" t="s">
        <v>3954</v>
      </c>
      <c r="E1122" s="61" t="s">
        <v>3955</v>
      </c>
      <c r="F1122" s="61" t="s">
        <v>3956</v>
      </c>
      <c r="G1122">
        <f>IF(getRGB1($C1122)="FFFFFF",0,1)+IF(getRGB1($D1122)="FFFFFF",0,2)+IF(getRGB1($E1122)="FFFFFF",0,3)+IF(getRGB1($F1122)="FFFFFF",0,4)</f>
        <v>1</v>
      </c>
    </row>
    <row r="1123" spans="1:7" ht="51">
      <c r="A1123" t="s">
        <v>6671</v>
      </c>
      <c r="B1123" s="39" t="s">
        <v>3957</v>
      </c>
      <c r="C1123" s="61" t="s">
        <v>74</v>
      </c>
      <c r="D1123" s="61" t="s">
        <v>179</v>
      </c>
      <c r="E1123" s="43" t="s">
        <v>3958</v>
      </c>
      <c r="F1123" s="61" t="s">
        <v>76</v>
      </c>
      <c r="G1123">
        <f>IF(getRGB1($C1123)="FFFFFF",0,1)+IF(getRGB1($D1123)="FFFFFF",0,2)+IF(getRGB1($E1123)="FFFFFF",0,3)+IF(getRGB1($F1123)="FFFFFF",0,4)</f>
        <v>3</v>
      </c>
    </row>
    <row r="1124" spans="1:7">
      <c r="A1124" t="s">
        <v>6671</v>
      </c>
      <c r="B1124" s="39" t="s">
        <v>3959</v>
      </c>
      <c r="C1124" s="244" t="s">
        <v>3960</v>
      </c>
      <c r="D1124" s="44" t="s">
        <v>3961</v>
      </c>
      <c r="E1124" s="43" t="s">
        <v>179</v>
      </c>
      <c r="F1124" s="44" t="s">
        <v>557</v>
      </c>
      <c r="G1124">
        <f>IF(getRGB1($C1124)="FFFFFF",0,1)+IF(getRGB1($D1124)="FFFFFF",0,2)+IF(getRGB1($E1124)="FFFFFF",0,3)+IF(getRGB1($F1124)="FFFFFF",0,4)</f>
        <v>3</v>
      </c>
    </row>
    <row r="1125" spans="1:7" ht="27">
      <c r="A1125" t="s">
        <v>6671</v>
      </c>
      <c r="B1125" s="39" t="s">
        <v>3962</v>
      </c>
      <c r="C1125" s="43" t="s">
        <v>3963</v>
      </c>
      <c r="D1125" s="61" t="s">
        <v>3964</v>
      </c>
      <c r="E1125" s="61" t="s">
        <v>3965</v>
      </c>
      <c r="F1125" s="61" t="s">
        <v>3966</v>
      </c>
      <c r="G1125">
        <f>IF(getRGB1($C1125)="FFFFFF",0,1)+IF(getRGB1($D1125)="FFFFFF",0,2)+IF(getRGB1($E1125)="FFFFFF",0,3)+IF(getRGB1($F1125)="FFFFFF",0,4)</f>
        <v>1</v>
      </c>
    </row>
    <row r="1126" spans="1:7" ht="25.5">
      <c r="A1126" t="s">
        <v>6671</v>
      </c>
      <c r="B1126" s="39" t="s">
        <v>3967</v>
      </c>
      <c r="C1126" s="244" t="s">
        <v>3968</v>
      </c>
      <c r="D1126" s="244" t="s">
        <v>3969</v>
      </c>
      <c r="E1126" s="43" t="s">
        <v>3970</v>
      </c>
      <c r="F1126" s="244" t="s">
        <v>3971</v>
      </c>
      <c r="G1126">
        <f>IF(getRGB1($C1126)="FFFFFF",0,1)+IF(getRGB1($D1126)="FFFFFF",0,2)+IF(getRGB1($E1126)="FFFFFF",0,3)+IF(getRGB1($F1126)="FFFFFF",0,4)</f>
        <v>3</v>
      </c>
    </row>
    <row r="1127" spans="1:7" ht="25.5">
      <c r="A1127" t="s">
        <v>6671</v>
      </c>
      <c r="B1127" s="39" t="s">
        <v>3972</v>
      </c>
      <c r="C1127" s="43" t="s">
        <v>557</v>
      </c>
      <c r="D1127" s="244" t="s">
        <v>179</v>
      </c>
      <c r="E1127" s="244" t="s">
        <v>3973</v>
      </c>
      <c r="F1127" s="244" t="s">
        <v>3974</v>
      </c>
      <c r="G1127">
        <f>IF(getRGB1($C1127)="FFFFFF",0,1)+IF(getRGB1($D1127)="FFFFFF",0,2)+IF(getRGB1($E1127)="FFFFFF",0,3)+IF(getRGB1($F1127)="FFFFFF",0,4)</f>
        <v>1</v>
      </c>
    </row>
    <row r="1128" spans="1:7">
      <c r="A1128" t="s">
        <v>6671</v>
      </c>
      <c r="B1128" s="39" t="s">
        <v>3975</v>
      </c>
      <c r="C1128" s="244" t="s">
        <v>451</v>
      </c>
      <c r="D1128" s="43" t="s">
        <v>3976</v>
      </c>
      <c r="E1128" s="244" t="s">
        <v>1490</v>
      </c>
      <c r="F1128" s="244" t="s">
        <v>1494</v>
      </c>
      <c r="G1128">
        <f>IF(getRGB1($C1128)="FFFFFF",0,1)+IF(getRGB1($D1128)="FFFFFF",0,2)+IF(getRGB1($E1128)="FFFFFF",0,3)+IF(getRGB1($F1128)="FFFFFF",0,4)</f>
        <v>2</v>
      </c>
    </row>
    <row r="1129" spans="1:7" ht="25.5">
      <c r="A1129" t="s">
        <v>6671</v>
      </c>
      <c r="B1129" s="39" t="s">
        <v>3977</v>
      </c>
      <c r="C1129" s="43" t="s">
        <v>3221</v>
      </c>
      <c r="D1129" s="244" t="s">
        <v>3220</v>
      </c>
      <c r="E1129" s="244" t="s">
        <v>3978</v>
      </c>
      <c r="F1129" s="244" t="s">
        <v>3979</v>
      </c>
      <c r="G1129">
        <f>IF(getRGB1($C1129)="FFFFFF",0,1)+IF(getRGB1($D1129)="FFFFFF",0,2)+IF(getRGB1($E1129)="FFFFFF",0,3)+IF(getRGB1($F1129)="FFFFFF",0,4)</f>
        <v>1</v>
      </c>
    </row>
    <row r="1130" spans="1:7">
      <c r="A1130" t="s">
        <v>6671</v>
      </c>
      <c r="B1130" s="39" t="s">
        <v>3980</v>
      </c>
      <c r="C1130" s="244">
        <v>4</v>
      </c>
      <c r="D1130" s="244">
        <v>5</v>
      </c>
      <c r="E1130" s="43">
        <v>6</v>
      </c>
      <c r="F1130" s="244">
        <v>3</v>
      </c>
      <c r="G1130">
        <f>IF(getRGB1($C1130)="FFFFFF",0,1)+IF(getRGB1($D1130)="FFFFFF",0,2)+IF(getRGB1($E1130)="FFFFFF",0,3)+IF(getRGB1($F1130)="FFFFFF",0,4)</f>
        <v>3</v>
      </c>
    </row>
    <row r="1131" spans="1:7" ht="38.25">
      <c r="A1131" t="s">
        <v>6671</v>
      </c>
      <c r="B1131" s="39" t="s">
        <v>3981</v>
      </c>
      <c r="C1131" s="244" t="s">
        <v>557</v>
      </c>
      <c r="D1131" s="43" t="s">
        <v>179</v>
      </c>
      <c r="E1131" s="244" t="s">
        <v>76</v>
      </c>
      <c r="F1131" s="244" t="s">
        <v>3982</v>
      </c>
      <c r="G1131">
        <f>IF(getRGB1($C1131)="FFFFFF",0,1)+IF(getRGB1($D1131)="FFFFFF",0,2)+IF(getRGB1($E1131)="FFFFFF",0,3)+IF(getRGB1($F1131)="FFFFFF",0,4)</f>
        <v>2</v>
      </c>
    </row>
    <row r="1132" spans="1:7" ht="38.25">
      <c r="A1132" t="s">
        <v>6671</v>
      </c>
      <c r="B1132" s="39" t="s">
        <v>3983</v>
      </c>
      <c r="C1132" s="244" t="s">
        <v>557</v>
      </c>
      <c r="D1132" s="43" t="s">
        <v>76</v>
      </c>
      <c r="E1132" s="244" t="s">
        <v>179</v>
      </c>
      <c r="F1132" s="244" t="s">
        <v>137</v>
      </c>
      <c r="G1132">
        <f>IF(getRGB1($C1132)="FFFFFF",0,1)+IF(getRGB1($D1132)="FFFFFF",0,2)+IF(getRGB1($E1132)="FFFFFF",0,3)+IF(getRGB1($F1132)="FFFFFF",0,4)</f>
        <v>2</v>
      </c>
    </row>
    <row r="1133" spans="1:7" ht="38.25">
      <c r="A1133" t="s">
        <v>6671</v>
      </c>
      <c r="B1133" s="39" t="s">
        <v>3984</v>
      </c>
      <c r="C1133" s="244" t="s">
        <v>3985</v>
      </c>
      <c r="D1133" s="43" t="s">
        <v>3986</v>
      </c>
      <c r="E1133" s="244" t="s">
        <v>3987</v>
      </c>
      <c r="F1133" s="244" t="s">
        <v>3988</v>
      </c>
      <c r="G1133">
        <f>IF(getRGB1($C1133)="FFFFFF",0,1)+IF(getRGB1($D1133)="FFFFFF",0,2)+IF(getRGB1($E1133)="FFFFFF",0,3)+IF(getRGB1($F1133)="FFFFFF",0,4)</f>
        <v>2</v>
      </c>
    </row>
    <row r="1134" spans="1:7">
      <c r="A1134" t="s">
        <v>6671</v>
      </c>
      <c r="B1134" s="39" t="s">
        <v>3989</v>
      </c>
      <c r="C1134" s="43" t="s">
        <v>76</v>
      </c>
      <c r="D1134" s="244" t="s">
        <v>270</v>
      </c>
      <c r="E1134" s="244" t="s">
        <v>3990</v>
      </c>
      <c r="F1134" s="244" t="s">
        <v>137</v>
      </c>
      <c r="G1134">
        <f>IF(getRGB1($C1134)="FFFFFF",0,1)+IF(getRGB1($D1134)="FFFFFF",0,2)+IF(getRGB1($E1134)="FFFFFF",0,3)+IF(getRGB1($F1134)="FFFFFF",0,4)</f>
        <v>1</v>
      </c>
    </row>
    <row r="1135" spans="1:7" ht="25.5">
      <c r="A1135" t="s">
        <v>6671</v>
      </c>
      <c r="B1135" s="39" t="s">
        <v>3991</v>
      </c>
      <c r="C1135" s="244" t="s">
        <v>557</v>
      </c>
      <c r="D1135" s="43" t="s">
        <v>179</v>
      </c>
      <c r="E1135" s="244" t="s">
        <v>3973</v>
      </c>
      <c r="F1135" s="244" t="s">
        <v>3974</v>
      </c>
      <c r="G1135">
        <f>IF(getRGB1($C1135)="FFFFFF",0,1)+IF(getRGB1($D1135)="FFFFFF",0,2)+IF(getRGB1($E1135)="FFFFFF",0,3)+IF(getRGB1($F1135)="FFFFFF",0,4)</f>
        <v>2</v>
      </c>
    </row>
    <row r="1136" spans="1:7" ht="25.5">
      <c r="A1136" t="s">
        <v>6671</v>
      </c>
      <c r="B1136" s="39" t="s">
        <v>3992</v>
      </c>
      <c r="C1136" s="244" t="s">
        <v>179</v>
      </c>
      <c r="D1136" s="43" t="s">
        <v>2070</v>
      </c>
      <c r="E1136" s="244" t="s">
        <v>1230</v>
      </c>
      <c r="F1136" s="244" t="s">
        <v>137</v>
      </c>
      <c r="G1136">
        <f>IF(getRGB1($C1136)="FFFFFF",0,1)+IF(getRGB1($D1136)="FFFFFF",0,2)+IF(getRGB1($E1136)="FFFFFF",0,3)+IF(getRGB1($F1136)="FFFFFF",0,4)</f>
        <v>2</v>
      </c>
    </row>
    <row r="1137" spans="1:7">
      <c r="A1137" t="s">
        <v>6671</v>
      </c>
      <c r="B1137" s="39" t="s">
        <v>3993</v>
      </c>
      <c r="C1137" s="244" t="s">
        <v>3994</v>
      </c>
      <c r="D1137" s="244" t="s">
        <v>3995</v>
      </c>
      <c r="E1137" s="43" t="s">
        <v>3996</v>
      </c>
      <c r="F1137" s="244" t="s">
        <v>3997</v>
      </c>
      <c r="G1137">
        <f>IF(getRGB1($C1137)="FFFFFF",0,1)+IF(getRGB1($D1137)="FFFFFF",0,2)+IF(getRGB1($E1137)="FFFFFF",0,3)+IF(getRGB1($F1137)="FFFFFF",0,4)</f>
        <v>3</v>
      </c>
    </row>
    <row r="1138" spans="1:7" ht="51">
      <c r="A1138" t="s">
        <v>6671</v>
      </c>
      <c r="B1138" s="39" t="s">
        <v>3998</v>
      </c>
      <c r="C1138" s="43" t="s">
        <v>3999</v>
      </c>
      <c r="D1138" s="244" t="s">
        <v>4000</v>
      </c>
      <c r="E1138" s="244" t="s">
        <v>4001</v>
      </c>
      <c r="F1138" s="244" t="s">
        <v>4002</v>
      </c>
      <c r="G1138">
        <f>IF(getRGB1($C1138)="FFFFFF",0,1)+IF(getRGB1($D1138)="FFFFFF",0,2)+IF(getRGB1($E1138)="FFFFFF",0,3)+IF(getRGB1($F1138)="FFFFFF",0,4)</f>
        <v>1</v>
      </c>
    </row>
    <row r="1139" spans="1:7" ht="25.5">
      <c r="A1139" t="s">
        <v>6671</v>
      </c>
      <c r="B1139" s="39" t="s">
        <v>4003</v>
      </c>
      <c r="C1139" s="44" t="s">
        <v>4004</v>
      </c>
      <c r="D1139" s="44" t="s">
        <v>3961</v>
      </c>
      <c r="E1139" s="43" t="s">
        <v>4005</v>
      </c>
      <c r="F1139" s="44" t="s">
        <v>4006</v>
      </c>
      <c r="G1139">
        <f>IF(getRGB1($C1139)="FFFFFF",0,1)+IF(getRGB1($D1139)="FFFFFF",0,2)+IF(getRGB1($E1139)="FFFFFF",0,3)+IF(getRGB1($F1139)="FFFFFF",0,4)</f>
        <v>3</v>
      </c>
    </row>
    <row r="1140" spans="1:7" ht="25.5">
      <c r="A1140" t="s">
        <v>6671</v>
      </c>
      <c r="B1140" s="39" t="s">
        <v>4007</v>
      </c>
      <c r="C1140" s="244" t="s">
        <v>179</v>
      </c>
      <c r="D1140" s="244" t="s">
        <v>76</v>
      </c>
      <c r="E1140" s="244" t="s">
        <v>557</v>
      </c>
      <c r="F1140" s="43" t="s">
        <v>137</v>
      </c>
      <c r="G1140">
        <f>IF(getRGB1($C1140)="FFFFFF",0,1)+IF(getRGB1($D1140)="FFFFFF",0,2)+IF(getRGB1($E1140)="FFFFFF",0,3)+IF(getRGB1($F1140)="FFFFFF",0,4)</f>
        <v>4</v>
      </c>
    </row>
    <row r="1141" spans="1:7" ht="25.5">
      <c r="A1141" t="s">
        <v>6671</v>
      </c>
      <c r="B1141" s="39" t="s">
        <v>4008</v>
      </c>
      <c r="C1141" s="44" t="s">
        <v>4009</v>
      </c>
      <c r="D1141" s="44" t="s">
        <v>4010</v>
      </c>
      <c r="E1141" s="44" t="s">
        <v>4011</v>
      </c>
      <c r="F1141" s="43" t="s">
        <v>4012</v>
      </c>
      <c r="G1141">
        <f>IF(getRGB1($C1141)="FFFFFF",0,1)+IF(getRGB1($D1141)="FFFFFF",0,2)+IF(getRGB1($E1141)="FFFFFF",0,3)+IF(getRGB1($F1141)="FFFFFF",0,4)</f>
        <v>4</v>
      </c>
    </row>
    <row r="1142" spans="1:7" ht="57">
      <c r="A1142" t="s">
        <v>6671</v>
      </c>
      <c r="B1142" s="248" t="s">
        <v>4013</v>
      </c>
      <c r="C1142" s="43" t="s">
        <v>4014</v>
      </c>
      <c r="D1142" s="44" t="s">
        <v>4015</v>
      </c>
      <c r="E1142" s="44" t="s">
        <v>4016</v>
      </c>
      <c r="F1142" s="44" t="s">
        <v>4017</v>
      </c>
      <c r="G1142">
        <f>IF(getRGB1($C1142)="FFFFFF",0,1)+IF(getRGB1($D1142)="FFFFFF",0,2)+IF(getRGB1($E1142)="FFFFFF",0,3)+IF(getRGB1($F1142)="FFFFFF",0,4)</f>
        <v>1</v>
      </c>
    </row>
    <row r="1143" spans="1:7" ht="51">
      <c r="A1143" t="s">
        <v>6671</v>
      </c>
      <c r="B1143" s="39" t="s">
        <v>4018</v>
      </c>
      <c r="C1143" s="244" t="s">
        <v>4019</v>
      </c>
      <c r="D1143" s="44" t="s">
        <v>2990</v>
      </c>
      <c r="E1143" s="44" t="s">
        <v>4020</v>
      </c>
      <c r="F1143" s="43" t="s">
        <v>4021</v>
      </c>
      <c r="G1143">
        <f>IF(getRGB1($C1143)="FFFFFF",0,1)+IF(getRGB1($D1143)="FFFFFF",0,2)+IF(getRGB1($E1143)="FFFFFF",0,3)+IF(getRGB1($F1143)="FFFFFF",0,4)</f>
        <v>4</v>
      </c>
    </row>
    <row r="1144" spans="1:7" ht="28.5">
      <c r="A1144" t="s">
        <v>6671</v>
      </c>
      <c r="B1144" s="253" t="s">
        <v>4022</v>
      </c>
      <c r="C1144" s="244" t="s">
        <v>4023</v>
      </c>
      <c r="D1144" s="43" t="s">
        <v>4024</v>
      </c>
      <c r="E1144" s="44" t="s">
        <v>4025</v>
      </c>
      <c r="F1144" s="44" t="s">
        <v>4026</v>
      </c>
      <c r="G1144">
        <f>IF(getRGB1($C1144)="FFFFFF",0,1)+IF(getRGB1($D1144)="FFFFFF",0,2)+IF(getRGB1($E1144)="FFFFFF",0,3)+IF(getRGB1($F1144)="FFFFFF",0,4)</f>
        <v>2</v>
      </c>
    </row>
    <row r="1145" spans="1:7" ht="57">
      <c r="A1145" t="s">
        <v>6671</v>
      </c>
      <c r="B1145" s="248" t="s">
        <v>4027</v>
      </c>
      <c r="C1145" s="254">
        <v>42460</v>
      </c>
      <c r="D1145" s="254">
        <v>42735</v>
      </c>
      <c r="E1145" s="43" t="s">
        <v>4028</v>
      </c>
      <c r="F1145" s="44" t="s">
        <v>66</v>
      </c>
      <c r="G1145">
        <f>IF(getRGB1($C1145)="FFFFFF",0,1)+IF(getRGB1($D1145)="FFFFFF",0,2)+IF(getRGB1($E1145)="FFFFFF",0,3)+IF(getRGB1($F1145)="FFFFFF",0,4)</f>
        <v>3</v>
      </c>
    </row>
    <row r="1146" spans="1:7" ht="28.5">
      <c r="A1146" t="s">
        <v>6671</v>
      </c>
      <c r="B1146" s="248" t="s">
        <v>4029</v>
      </c>
      <c r="C1146" s="255" t="s">
        <v>179</v>
      </c>
      <c r="D1146" s="254" t="s">
        <v>76</v>
      </c>
      <c r="E1146" s="44" t="s">
        <v>137</v>
      </c>
      <c r="F1146" s="44" t="s">
        <v>557</v>
      </c>
      <c r="G1146">
        <f>IF(getRGB1($C1146)="FFFFFF",0,1)+IF(getRGB1($D1146)="FFFFFF",0,2)+IF(getRGB1($E1146)="FFFFFF",0,3)+IF(getRGB1($F1146)="FFFFFF",0,4)</f>
        <v>1</v>
      </c>
    </row>
    <row r="1147" spans="1:7" ht="28.5">
      <c r="A1147" t="s">
        <v>6671</v>
      </c>
      <c r="B1147" s="248" t="s">
        <v>4030</v>
      </c>
      <c r="C1147" s="254" t="s">
        <v>179</v>
      </c>
      <c r="D1147" s="254" t="s">
        <v>76</v>
      </c>
      <c r="E1147" s="44" t="s">
        <v>137</v>
      </c>
      <c r="F1147" s="43" t="s">
        <v>557</v>
      </c>
      <c r="G1147">
        <f>IF(getRGB1($C1147)="FFFFFF",0,1)+IF(getRGB1($D1147)="FFFFFF",0,2)+IF(getRGB1($E1147)="FFFFFF",0,3)+IF(getRGB1($F1147)="FFFFFF",0,4)</f>
        <v>4</v>
      </c>
    </row>
    <row r="1148" spans="1:7" ht="38.25">
      <c r="A1148" t="s">
        <v>6671</v>
      </c>
      <c r="B1148" s="248" t="s">
        <v>4031</v>
      </c>
      <c r="C1148" s="255" t="s">
        <v>4032</v>
      </c>
      <c r="D1148" s="61" t="s">
        <v>3854</v>
      </c>
      <c r="E1148" s="61" t="s">
        <v>4033</v>
      </c>
      <c r="F1148" s="61" t="s">
        <v>61</v>
      </c>
      <c r="G1148">
        <f>IF(getRGB1($C1148)="FFFFFF",0,1)+IF(getRGB1($D1148)="FFFFFF",0,2)+IF(getRGB1($E1148)="FFFFFF",0,3)+IF(getRGB1($F1148)="FFFFFF",0,4)</f>
        <v>1</v>
      </c>
    </row>
    <row r="1149" spans="1:7" ht="42.75">
      <c r="A1149" t="s">
        <v>6671</v>
      </c>
      <c r="B1149" s="248" t="s">
        <v>4034</v>
      </c>
      <c r="C1149" s="256">
        <v>50.1</v>
      </c>
      <c r="D1149" s="44">
        <v>50.05</v>
      </c>
      <c r="E1149" s="43">
        <v>50</v>
      </c>
      <c r="F1149" s="61">
        <v>49.99</v>
      </c>
      <c r="G1149">
        <f>IF(getRGB1($C1149)="FFFFFF",0,1)+IF(getRGB1($D1149)="FFFFFF",0,2)+IF(getRGB1($E1149)="FFFFFF",0,3)+IF(getRGB1($F1149)="FFFFFF",0,4)</f>
        <v>3</v>
      </c>
    </row>
    <row r="1150" spans="1:7" ht="28.5">
      <c r="A1150" t="s">
        <v>6671</v>
      </c>
      <c r="B1150" s="248" t="s">
        <v>4035</v>
      </c>
      <c r="C1150" s="257" t="s">
        <v>4036</v>
      </c>
      <c r="D1150" s="256" t="s">
        <v>4037</v>
      </c>
      <c r="E1150" s="61" t="s">
        <v>4038</v>
      </c>
      <c r="F1150" s="61" t="s">
        <v>3706</v>
      </c>
      <c r="G1150">
        <f>IF(getRGB1($C1150)="FFFFFF",0,1)+IF(getRGB1($D1150)="FFFFFF",0,2)+IF(getRGB1($E1150)="FFFFFF",0,3)+IF(getRGB1($F1150)="FFFFFF",0,4)</f>
        <v>1</v>
      </c>
    </row>
    <row r="1151" spans="1:7" ht="42.75">
      <c r="A1151" t="s">
        <v>6671</v>
      </c>
      <c r="B1151" s="248" t="s">
        <v>4039</v>
      </c>
      <c r="C1151" s="256" t="s">
        <v>4040</v>
      </c>
      <c r="D1151" s="257" t="s">
        <v>4041</v>
      </c>
      <c r="E1151" s="61" t="s">
        <v>4042</v>
      </c>
      <c r="F1151" s="61" t="s">
        <v>4043</v>
      </c>
      <c r="G1151">
        <f>IF(getRGB1($C1151)="FFFFFF",0,1)+IF(getRGB1($D1151)="FFFFFF",0,2)+IF(getRGB1($E1151)="FFFFFF",0,3)+IF(getRGB1($F1151)="FFFFFF",0,4)</f>
        <v>2</v>
      </c>
    </row>
    <row r="1152" spans="1:7" ht="28.5">
      <c r="A1152" t="s">
        <v>6671</v>
      </c>
      <c r="B1152" s="248" t="s">
        <v>4044</v>
      </c>
      <c r="C1152" s="256" t="s">
        <v>4045</v>
      </c>
      <c r="D1152" s="257" t="s">
        <v>4046</v>
      </c>
      <c r="E1152" s="61" t="s">
        <v>2753</v>
      </c>
      <c r="F1152" s="61" t="s">
        <v>4043</v>
      </c>
      <c r="G1152">
        <f>IF(getRGB1($C1152)="FFFFFF",0,1)+IF(getRGB1($D1152)="FFFFFF",0,2)+IF(getRGB1($E1152)="FFFFFF",0,3)+IF(getRGB1($F1152)="FFFFFF",0,4)</f>
        <v>2</v>
      </c>
    </row>
    <row r="1153" spans="1:7" ht="25.5">
      <c r="A1153" t="s">
        <v>6671</v>
      </c>
      <c r="B1153" s="258" t="s">
        <v>4047</v>
      </c>
      <c r="C1153" s="256" t="s">
        <v>2473</v>
      </c>
      <c r="D1153" s="257" t="s">
        <v>137</v>
      </c>
      <c r="E1153" s="44" t="s">
        <v>76</v>
      </c>
      <c r="F1153" s="44" t="s">
        <v>557</v>
      </c>
      <c r="G1153">
        <f>IF(getRGB1($C1153)="FFFFFF",0,1)+IF(getRGB1($D1153)="FFFFFF",0,2)+IF(getRGB1($E1153)="FFFFFF",0,3)+IF(getRGB1($F1153)="FFFFFF",0,4)</f>
        <v>2</v>
      </c>
    </row>
    <row r="1154" spans="1:7" ht="25.5">
      <c r="A1154" t="s">
        <v>6671</v>
      </c>
      <c r="B1154" s="258" t="s">
        <v>4048</v>
      </c>
      <c r="C1154" s="259" t="s">
        <v>4049</v>
      </c>
      <c r="D1154" s="256" t="s">
        <v>4050</v>
      </c>
      <c r="E1154" s="43" t="s">
        <v>370</v>
      </c>
      <c r="F1154" s="44" t="s">
        <v>66</v>
      </c>
      <c r="G1154">
        <f>IF(getRGB1($C1154)="FFFFFF",0,1)+IF(getRGB1($D1154)="FFFFFF",0,2)+IF(getRGB1($E1154)="FFFFFF",0,3)+IF(getRGB1($F1154)="FFFFFF",0,4)</f>
        <v>3</v>
      </c>
    </row>
    <row r="1155" spans="1:7" ht="25.5">
      <c r="A1155" t="s">
        <v>6671</v>
      </c>
      <c r="B1155" s="258" t="s">
        <v>4051</v>
      </c>
      <c r="C1155" s="260" t="s">
        <v>4052</v>
      </c>
      <c r="D1155" s="256" t="s">
        <v>4053</v>
      </c>
      <c r="E1155" s="44" t="s">
        <v>4054</v>
      </c>
      <c r="F1155" s="44" t="s">
        <v>66</v>
      </c>
      <c r="G1155">
        <f>IF(getRGB1($C1155)="FFFFFF",0,1)+IF(getRGB1($D1155)="FFFFFF",0,2)+IF(getRGB1($E1155)="FFFFFF",0,3)+IF(getRGB1($F1155)="FFFFFF",0,4)</f>
        <v>1</v>
      </c>
    </row>
    <row r="1156" spans="1:7" ht="38.25">
      <c r="A1156" t="s">
        <v>6671</v>
      </c>
      <c r="B1156" s="258" t="s">
        <v>4055</v>
      </c>
      <c r="C1156" s="256" t="s">
        <v>4056</v>
      </c>
      <c r="D1156" s="257" t="s">
        <v>4057</v>
      </c>
      <c r="E1156" s="44" t="s">
        <v>4058</v>
      </c>
      <c r="F1156" s="44" t="s">
        <v>4043</v>
      </c>
      <c r="G1156">
        <f>IF(getRGB1($C1156)="FFFFFF",0,1)+IF(getRGB1($D1156)="FFFFFF",0,2)+IF(getRGB1($E1156)="FFFFFF",0,3)+IF(getRGB1($F1156)="FFFFFF",0,4)</f>
        <v>2</v>
      </c>
    </row>
    <row r="1157" spans="1:7" ht="25.5">
      <c r="A1157" t="s">
        <v>6671</v>
      </c>
      <c r="B1157" s="261" t="s">
        <v>4059</v>
      </c>
      <c r="C1157" s="257" t="s">
        <v>4060</v>
      </c>
      <c r="D1157" s="256" t="s">
        <v>4061</v>
      </c>
      <c r="E1157" s="44" t="s">
        <v>4062</v>
      </c>
      <c r="F1157" s="44" t="s">
        <v>4063</v>
      </c>
      <c r="G1157">
        <f>IF(getRGB1($C1157)="FFFFFF",0,1)+IF(getRGB1($D1157)="FFFFFF",0,2)+IF(getRGB1($E1157)="FFFFFF",0,3)+IF(getRGB1($F1157)="FFFFFF",0,4)</f>
        <v>1</v>
      </c>
    </row>
    <row r="1158" spans="1:7" ht="25.5">
      <c r="A1158" t="s">
        <v>6671</v>
      </c>
      <c r="B1158" s="261" t="s">
        <v>4064</v>
      </c>
      <c r="C1158" s="256" t="s">
        <v>4065</v>
      </c>
      <c r="D1158" s="257" t="s">
        <v>4066</v>
      </c>
      <c r="E1158" s="44" t="s">
        <v>2250</v>
      </c>
      <c r="F1158" s="44" t="s">
        <v>66</v>
      </c>
      <c r="G1158">
        <f>IF(getRGB1($C1158)="FFFFFF",0,1)+IF(getRGB1($D1158)="FFFFFF",0,2)+IF(getRGB1($E1158)="FFFFFF",0,3)+IF(getRGB1($F1158)="FFFFFF",0,4)</f>
        <v>2</v>
      </c>
    </row>
    <row r="1159" spans="1:7" ht="38.25">
      <c r="A1159" t="s">
        <v>6671</v>
      </c>
      <c r="B1159" s="261" t="s">
        <v>4067</v>
      </c>
      <c r="C1159" s="44" t="s">
        <v>4068</v>
      </c>
      <c r="D1159" s="43" t="s">
        <v>4069</v>
      </c>
      <c r="E1159" s="44" t="s">
        <v>4070</v>
      </c>
      <c r="F1159" s="44" t="s">
        <v>4071</v>
      </c>
      <c r="G1159">
        <f>IF(getRGB1($C1159)="FFFFFF",0,1)+IF(getRGB1($D1159)="FFFFFF",0,2)+IF(getRGB1($E1159)="FFFFFF",0,3)+IF(getRGB1($F1159)="FFFFFF",0,4)</f>
        <v>2</v>
      </c>
    </row>
    <row r="1160" spans="1:7" ht="25.5">
      <c r="A1160" t="s">
        <v>6671</v>
      </c>
      <c r="B1160" s="261" t="s">
        <v>4072</v>
      </c>
      <c r="C1160" s="44" t="s">
        <v>179</v>
      </c>
      <c r="D1160" s="44" t="s">
        <v>76</v>
      </c>
      <c r="E1160" s="43" t="s">
        <v>4073</v>
      </c>
      <c r="F1160" s="44" t="s">
        <v>557</v>
      </c>
      <c r="G1160">
        <f>IF(getRGB1($C1160)="FFFFFF",0,1)+IF(getRGB1($D1160)="FFFFFF",0,2)+IF(getRGB1($E1160)="FFFFFF",0,3)+IF(getRGB1($F1160)="FFFFFF",0,4)</f>
        <v>3</v>
      </c>
    </row>
    <row r="1161" spans="1:7" ht="51">
      <c r="A1161" t="s">
        <v>6671</v>
      </c>
      <c r="B1161" s="261" t="s">
        <v>4074</v>
      </c>
      <c r="C1161" s="44" t="s">
        <v>4075</v>
      </c>
      <c r="D1161" s="244" t="s">
        <v>4076</v>
      </c>
      <c r="E1161" s="244" t="s">
        <v>4077</v>
      </c>
      <c r="F1161" s="43" t="s">
        <v>1000</v>
      </c>
      <c r="G1161">
        <f>IF(getRGB1($C1161)="FFFFFF",0,1)+IF(getRGB1($D1161)="FFFFFF",0,2)+IF(getRGB1($E1161)="FFFFFF",0,3)+IF(getRGB1($F1161)="FFFFFF",0,4)</f>
        <v>4</v>
      </c>
    </row>
    <row r="1162" spans="1:7" ht="25.5">
      <c r="A1162" t="s">
        <v>6671</v>
      </c>
      <c r="B1162" s="261" t="s">
        <v>4078</v>
      </c>
      <c r="C1162" s="44" t="s">
        <v>4079</v>
      </c>
      <c r="D1162" s="44" t="s">
        <v>4080</v>
      </c>
      <c r="E1162" s="44" t="s">
        <v>4081</v>
      </c>
      <c r="F1162" s="43" t="s">
        <v>4082</v>
      </c>
      <c r="G1162">
        <f>IF(getRGB1($C1162)="FFFFFF",0,1)+IF(getRGB1($D1162)="FFFFFF",0,2)+IF(getRGB1($E1162)="FFFFFF",0,3)+IF(getRGB1($F1162)="FFFFFF",0,4)</f>
        <v>4</v>
      </c>
    </row>
    <row r="1163" spans="1:7" ht="25.5">
      <c r="A1163" t="s">
        <v>6671</v>
      </c>
      <c r="B1163" s="261" t="s">
        <v>4083</v>
      </c>
      <c r="C1163" s="44" t="s">
        <v>4084</v>
      </c>
      <c r="D1163" s="43" t="s">
        <v>4085</v>
      </c>
      <c r="E1163" s="244" t="s">
        <v>4086</v>
      </c>
      <c r="F1163" s="44" t="s">
        <v>4087</v>
      </c>
      <c r="G1163">
        <f>IF(getRGB1($C1163)="FFFFFF",0,1)+IF(getRGB1($D1163)="FFFFFF",0,2)+IF(getRGB1($E1163)="FFFFFF",0,3)+IF(getRGB1($F1163)="FFFFFF",0,4)</f>
        <v>2</v>
      </c>
    </row>
    <row r="1164" spans="1:7" ht="38.25">
      <c r="A1164" t="s">
        <v>6671</v>
      </c>
      <c r="B1164" s="261" t="s">
        <v>4088</v>
      </c>
      <c r="C1164" s="43" t="s">
        <v>4089</v>
      </c>
      <c r="D1164" s="44" t="s">
        <v>4090</v>
      </c>
      <c r="E1164" s="244" t="s">
        <v>4091</v>
      </c>
      <c r="F1164" s="44" t="s">
        <v>4043</v>
      </c>
      <c r="G1164">
        <f>IF(getRGB1($C1164)="FFFFFF",0,1)+IF(getRGB1($D1164)="FFFFFF",0,2)+IF(getRGB1($E1164)="FFFFFF",0,3)+IF(getRGB1($F1164)="FFFFFF",0,4)</f>
        <v>1</v>
      </c>
    </row>
    <row r="1165" spans="1:7" ht="38.25">
      <c r="A1165" t="s">
        <v>6671</v>
      </c>
      <c r="B1165" s="261" t="s">
        <v>4092</v>
      </c>
      <c r="C1165" s="44">
        <v>6</v>
      </c>
      <c r="D1165" s="44">
        <v>10</v>
      </c>
      <c r="E1165" s="44">
        <v>12</v>
      </c>
      <c r="F1165" s="43">
        <v>5</v>
      </c>
      <c r="G1165">
        <f>IF(getRGB1($C1165)="FFFFFF",0,1)+IF(getRGB1($D1165)="FFFFFF",0,2)+IF(getRGB1($E1165)="FFFFFF",0,3)+IF(getRGB1($F1165)="FFFFFF",0,4)</f>
        <v>4</v>
      </c>
    </row>
    <row r="1166" spans="1:7" ht="38.25">
      <c r="A1166" t="s">
        <v>6671</v>
      </c>
      <c r="B1166" s="261" t="s">
        <v>4093</v>
      </c>
      <c r="C1166" s="44" t="s">
        <v>4094</v>
      </c>
      <c r="D1166" s="43" t="s">
        <v>4095</v>
      </c>
      <c r="E1166" s="44" t="s">
        <v>4096</v>
      </c>
      <c r="F1166" s="44" t="s">
        <v>4097</v>
      </c>
      <c r="G1166">
        <f>IF(getRGB1($C1166)="FFFFFF",0,1)+IF(getRGB1($D1166)="FFFFFF",0,2)+IF(getRGB1($E1166)="FFFFFF",0,3)+IF(getRGB1($F1166)="FFFFFF",0,4)</f>
        <v>2</v>
      </c>
    </row>
    <row r="1167" spans="1:7" ht="25.5">
      <c r="A1167" t="s">
        <v>6671</v>
      </c>
      <c r="B1167" s="261" t="s">
        <v>4098</v>
      </c>
      <c r="C1167" s="43" t="s">
        <v>4099</v>
      </c>
      <c r="D1167" s="44" t="s">
        <v>4100</v>
      </c>
      <c r="E1167" s="44" t="s">
        <v>4101</v>
      </c>
      <c r="F1167" s="44" t="s">
        <v>4102</v>
      </c>
      <c r="G1167">
        <f>IF(getRGB1($C1167)="FFFFFF",0,1)+IF(getRGB1($D1167)="FFFFFF",0,2)+IF(getRGB1($E1167)="FFFFFF",0,3)+IF(getRGB1($F1167)="FFFFFF",0,4)</f>
        <v>1</v>
      </c>
    </row>
    <row r="1168" spans="1:7" ht="25.5">
      <c r="A1168" t="s">
        <v>6671</v>
      </c>
      <c r="B1168" s="261" t="s">
        <v>4103</v>
      </c>
      <c r="C1168" s="44" t="s">
        <v>4104</v>
      </c>
      <c r="D1168" s="43" t="s">
        <v>4105</v>
      </c>
      <c r="E1168" s="44" t="s">
        <v>4106</v>
      </c>
      <c r="F1168" s="44" t="s">
        <v>4107</v>
      </c>
      <c r="G1168">
        <f>IF(getRGB1($C1168)="FFFFFF",0,1)+IF(getRGB1($D1168)="FFFFFF",0,2)+IF(getRGB1($E1168)="FFFFFF",0,3)+IF(getRGB1($F1168)="FFFFFF",0,4)</f>
        <v>2</v>
      </c>
    </row>
    <row r="1169" spans="1:7" ht="25.5">
      <c r="A1169" t="s">
        <v>6671</v>
      </c>
      <c r="B1169" s="261" t="s">
        <v>4108</v>
      </c>
      <c r="C1169" s="44" t="s">
        <v>4109</v>
      </c>
      <c r="D1169" s="44" t="s">
        <v>4110</v>
      </c>
      <c r="E1169" s="43" t="s">
        <v>4111</v>
      </c>
      <c r="F1169" s="44" t="s">
        <v>4043</v>
      </c>
      <c r="G1169">
        <f>IF(getRGB1($C1169)="FFFFFF",0,1)+IF(getRGB1($D1169)="FFFFFF",0,2)+IF(getRGB1($E1169)="FFFFFF",0,3)+IF(getRGB1($F1169)="FFFFFF",0,4)</f>
        <v>3</v>
      </c>
    </row>
    <row r="1170" spans="1:7">
      <c r="A1170" t="s">
        <v>6671</v>
      </c>
      <c r="B1170" s="57" t="s">
        <v>4112</v>
      </c>
      <c r="C1170" s="262">
        <v>40269</v>
      </c>
      <c r="D1170" s="262">
        <v>40271</v>
      </c>
      <c r="E1170" s="263">
        <v>40301</v>
      </c>
      <c r="F1170" s="264">
        <v>40330</v>
      </c>
      <c r="G1170">
        <f>IF(getRGB1($C1170)="FFFFFF",0,1)+IF(getRGB1($D1170)="FFFFFF",0,2)+IF(getRGB1($E1170)="FFFFFF",0,3)+IF(getRGB1($F1170)="FFFFFF",0,4)</f>
        <v>3</v>
      </c>
    </row>
    <row r="1171" spans="1:7" ht="25.5">
      <c r="A1171" t="s">
        <v>6671</v>
      </c>
      <c r="B1171" s="57" t="s">
        <v>3634</v>
      </c>
      <c r="C1171" s="244" t="s">
        <v>3635</v>
      </c>
      <c r="D1171" s="43" t="s">
        <v>3636</v>
      </c>
      <c r="E1171" s="44" t="s">
        <v>3637</v>
      </c>
      <c r="F1171" s="244" t="s">
        <v>4113</v>
      </c>
      <c r="G1171">
        <f>IF(getRGB1($C1171)="FFFFFF",0,1)+IF(getRGB1($D1171)="FFFFFF",0,2)+IF(getRGB1($E1171)="FFFFFF",0,3)+IF(getRGB1($F1171)="FFFFFF",0,4)</f>
        <v>2</v>
      </c>
    </row>
    <row r="1172" spans="1:7" ht="25.5">
      <c r="A1172" t="s">
        <v>6671</v>
      </c>
      <c r="B1172" s="39" t="s">
        <v>4114</v>
      </c>
      <c r="C1172" s="44" t="s">
        <v>3679</v>
      </c>
      <c r="D1172" s="43" t="s">
        <v>3680</v>
      </c>
      <c r="E1172" s="44" t="s">
        <v>3681</v>
      </c>
      <c r="F1172" s="44" t="s">
        <v>3682</v>
      </c>
      <c r="G1172">
        <f>IF(getRGB1($C1172)="FFFFFF",0,1)+IF(getRGB1($D1172)="FFFFFF",0,2)+IF(getRGB1($E1172)="FFFFFF",0,3)+IF(getRGB1($F1172)="FFFFFF",0,4)</f>
        <v>2</v>
      </c>
    </row>
    <row r="1173" spans="1:7">
      <c r="A1173" t="s">
        <v>6671</v>
      </c>
      <c r="B1173" s="39" t="s">
        <v>4115</v>
      </c>
      <c r="C1173" s="40" t="s">
        <v>3684</v>
      </c>
      <c r="D1173" s="41" t="s">
        <v>3685</v>
      </c>
      <c r="E1173" s="41" t="s">
        <v>4116</v>
      </c>
      <c r="F1173" s="41" t="s">
        <v>4113</v>
      </c>
      <c r="G1173">
        <f>IF(getRGB1($C1173)="FFFFFF",0,1)+IF(getRGB1($D1173)="FFFFFF",0,2)+IF(getRGB1($E1173)="FFFFFF",0,3)+IF(getRGB1($F1173)="FFFFFF",0,4)</f>
        <v>1</v>
      </c>
    </row>
    <row r="1174" spans="1:7">
      <c r="A1174" t="s">
        <v>6671</v>
      </c>
      <c r="B1174" s="57" t="s">
        <v>4117</v>
      </c>
      <c r="C1174" s="41" t="s">
        <v>4118</v>
      </c>
      <c r="D1174" s="265" t="s">
        <v>4119</v>
      </c>
      <c r="E1174" s="41" t="s">
        <v>4120</v>
      </c>
      <c r="F1174" s="61" t="s">
        <v>4121</v>
      </c>
      <c r="G1174">
        <f>IF(getRGB1($C1174)="FFFFFF",0,1)+IF(getRGB1($D1174)="FFFFFF",0,2)+IF(getRGB1($E1174)="FFFFFF",0,3)+IF(getRGB1($F1174)="FFFFFF",0,4)</f>
        <v>2</v>
      </c>
    </row>
    <row r="1175" spans="1:7">
      <c r="A1175" t="s">
        <v>6671</v>
      </c>
      <c r="B1175" s="57" t="s">
        <v>3688</v>
      </c>
      <c r="C1175" s="41" t="s">
        <v>3689</v>
      </c>
      <c r="D1175" s="41" t="s">
        <v>4122</v>
      </c>
      <c r="E1175" s="41" t="s">
        <v>3691</v>
      </c>
      <c r="F1175" s="40" t="s">
        <v>3692</v>
      </c>
      <c r="G1175">
        <f>IF(getRGB1($C1175)="FFFFFF",0,1)+IF(getRGB1($D1175)="FFFFFF",0,2)+IF(getRGB1($E1175)="FFFFFF",0,3)+IF(getRGB1($F1175)="FFFFFF",0,4)</f>
        <v>4</v>
      </c>
    </row>
    <row r="1176" spans="1:7">
      <c r="A1176" t="s">
        <v>6671</v>
      </c>
      <c r="B1176" s="39" t="s">
        <v>4123</v>
      </c>
      <c r="C1176" s="41" t="s">
        <v>3694</v>
      </c>
      <c r="D1176" s="41" t="s">
        <v>3695</v>
      </c>
      <c r="E1176" s="40" t="s">
        <v>4124</v>
      </c>
      <c r="F1176" s="41" t="s">
        <v>3697</v>
      </c>
      <c r="G1176">
        <f>IF(getRGB1($C1176)="FFFFFF",0,1)+IF(getRGB1($D1176)="FFFFFF",0,2)+IF(getRGB1($E1176)="FFFFFF",0,3)+IF(getRGB1($F1176)="FFFFFF",0,4)</f>
        <v>3</v>
      </c>
    </row>
    <row r="1177" spans="1:7" ht="25.5">
      <c r="A1177" t="s">
        <v>6671</v>
      </c>
      <c r="B1177" s="39" t="s">
        <v>4125</v>
      </c>
      <c r="C1177" s="44" t="s">
        <v>4126</v>
      </c>
      <c r="D1177" s="43" t="s">
        <v>4127</v>
      </c>
      <c r="E1177" s="44" t="s">
        <v>4128</v>
      </c>
      <c r="F1177" s="41" t="s">
        <v>468</v>
      </c>
      <c r="G1177">
        <f>IF(getRGB1($C1177)="FFFFFF",0,1)+IF(getRGB1($D1177)="FFFFFF",0,2)+IF(getRGB1($E1177)="FFFFFF",0,3)+IF(getRGB1($F1177)="FFFFFF",0,4)</f>
        <v>2</v>
      </c>
    </row>
    <row r="1178" spans="1:7" ht="25.5">
      <c r="A1178" t="s">
        <v>6671</v>
      </c>
      <c r="B1178" s="39" t="s">
        <v>4129</v>
      </c>
      <c r="C1178" s="44" t="s">
        <v>4130</v>
      </c>
      <c r="D1178" s="44" t="s">
        <v>4131</v>
      </c>
      <c r="E1178" s="43" t="s">
        <v>4132</v>
      </c>
      <c r="F1178" s="266" t="s">
        <v>4133</v>
      </c>
      <c r="G1178">
        <f>IF(getRGB1($C1178)="FFFFFF",0,1)+IF(getRGB1($D1178)="FFFFFF",0,2)+IF(getRGB1($E1178)="FFFFFF",0,3)+IF(getRGB1($F1178)="FFFFFF",0,4)</f>
        <v>3</v>
      </c>
    </row>
    <row r="1179" spans="1:7" ht="38.25">
      <c r="A1179" t="s">
        <v>6671</v>
      </c>
      <c r="B1179" s="39" t="s">
        <v>4134</v>
      </c>
      <c r="C1179" s="43" t="s">
        <v>4135</v>
      </c>
      <c r="D1179" s="44" t="s">
        <v>4136</v>
      </c>
      <c r="E1179" s="61" t="s">
        <v>4137</v>
      </c>
      <c r="F1179" s="41" t="s">
        <v>4138</v>
      </c>
      <c r="G1179">
        <f>IF(getRGB1($C1179)="FFFFFF",0,1)+IF(getRGB1($D1179)="FFFFFF",0,2)+IF(getRGB1($E1179)="FFFFFF",0,3)+IF(getRGB1($F1179)="FFFFFF",0,4)</f>
        <v>1</v>
      </c>
    </row>
    <row r="1180" spans="1:7" ht="51">
      <c r="A1180" t="s">
        <v>6671</v>
      </c>
      <c r="B1180" s="39" t="s">
        <v>4139</v>
      </c>
      <c r="C1180" s="44" t="s">
        <v>4140</v>
      </c>
      <c r="D1180" s="43" t="s">
        <v>4141</v>
      </c>
      <c r="E1180" s="44" t="s">
        <v>4142</v>
      </c>
      <c r="F1180" s="41" t="s">
        <v>4143</v>
      </c>
      <c r="G1180">
        <f>IF(getRGB1($C1180)="FFFFFF",0,1)+IF(getRGB1($D1180)="FFFFFF",0,2)+IF(getRGB1($E1180)="FFFFFF",0,3)+IF(getRGB1($F1180)="FFFFFF",0,4)</f>
        <v>2</v>
      </c>
    </row>
    <row r="1181" spans="1:7" ht="25.5">
      <c r="A1181" t="s">
        <v>6671</v>
      </c>
      <c r="B1181" s="39" t="s">
        <v>4144</v>
      </c>
      <c r="C1181" s="44" t="s">
        <v>4140</v>
      </c>
      <c r="D1181" s="43" t="s">
        <v>4141</v>
      </c>
      <c r="E1181" s="44" t="s">
        <v>4142</v>
      </c>
      <c r="F1181" s="41" t="s">
        <v>4143</v>
      </c>
      <c r="G1181">
        <f>IF(getRGB1($C1181)="FFFFFF",0,1)+IF(getRGB1($D1181)="FFFFFF",0,2)+IF(getRGB1($E1181)="FFFFFF",0,3)+IF(getRGB1($F1181)="FFFFFF",0,4)</f>
        <v>2</v>
      </c>
    </row>
    <row r="1182" spans="1:7" ht="25.5">
      <c r="A1182" t="s">
        <v>6671</v>
      </c>
      <c r="B1182" s="39" t="s">
        <v>4145</v>
      </c>
      <c r="C1182" s="44" t="s">
        <v>4146</v>
      </c>
      <c r="D1182" s="44" t="s">
        <v>4147</v>
      </c>
      <c r="E1182" s="43" t="s">
        <v>4148</v>
      </c>
      <c r="F1182" s="41" t="s">
        <v>4149</v>
      </c>
      <c r="G1182">
        <f>IF(getRGB1($C1182)="FFFFFF",0,1)+IF(getRGB1($D1182)="FFFFFF",0,2)+IF(getRGB1($E1182)="FFFFFF",0,3)+IF(getRGB1($F1182)="FFFFFF",0,4)</f>
        <v>3</v>
      </c>
    </row>
    <row r="1183" spans="1:7" ht="38.25">
      <c r="A1183" t="s">
        <v>6671</v>
      </c>
      <c r="B1183" s="39" t="s">
        <v>4150</v>
      </c>
      <c r="C1183" s="44" t="s">
        <v>76</v>
      </c>
      <c r="D1183" s="44" t="s">
        <v>137</v>
      </c>
      <c r="E1183" s="43" t="s">
        <v>179</v>
      </c>
      <c r="F1183" s="41" t="s">
        <v>3708</v>
      </c>
      <c r="G1183">
        <f>IF(getRGB1($C1183)="FFFFFF",0,1)+IF(getRGB1($D1183)="FFFFFF",0,2)+IF(getRGB1($E1183)="FFFFFF",0,3)+IF(getRGB1($F1183)="FFFFFF",0,4)</f>
        <v>3</v>
      </c>
    </row>
    <row r="1184" spans="1:7" ht="38.25">
      <c r="A1184" t="s">
        <v>6671</v>
      </c>
      <c r="B1184" s="39" t="s">
        <v>4151</v>
      </c>
      <c r="C1184" s="44" t="s">
        <v>4152</v>
      </c>
      <c r="D1184" s="43" t="s">
        <v>4153</v>
      </c>
      <c r="E1184" s="44" t="s">
        <v>4154</v>
      </c>
      <c r="F1184" s="41" t="s">
        <v>4155</v>
      </c>
      <c r="G1184">
        <f>IF(getRGB1($C1184)="FFFFFF",0,1)+IF(getRGB1($D1184)="FFFFFF",0,2)+IF(getRGB1($E1184)="FFFFFF",0,3)+IF(getRGB1($F1184)="FFFFFF",0,4)</f>
        <v>2</v>
      </c>
    </row>
    <row r="1185" spans="1:7" ht="25.5">
      <c r="A1185" t="s">
        <v>6671</v>
      </c>
      <c r="B1185" s="39" t="s">
        <v>4156</v>
      </c>
      <c r="C1185" s="44" t="s">
        <v>3710</v>
      </c>
      <c r="D1185" s="43" t="s">
        <v>8</v>
      </c>
      <c r="E1185" s="44" t="s">
        <v>1599</v>
      </c>
      <c r="F1185" s="41" t="s">
        <v>1289</v>
      </c>
      <c r="G1185">
        <f>IF(getRGB1($C1185)="FFFFFF",0,1)+IF(getRGB1($D1185)="FFFFFF",0,2)+IF(getRGB1($E1185)="FFFFFF",0,3)+IF(getRGB1($F1185)="FFFFFF",0,4)</f>
        <v>2</v>
      </c>
    </row>
    <row r="1186" spans="1:7" ht="51">
      <c r="A1186" t="s">
        <v>6671</v>
      </c>
      <c r="B1186" s="39" t="s">
        <v>4157</v>
      </c>
      <c r="C1186" s="44" t="s">
        <v>3712</v>
      </c>
      <c r="D1186" s="43" t="s">
        <v>3713</v>
      </c>
      <c r="E1186" s="44" t="s">
        <v>3714</v>
      </c>
      <c r="F1186" s="44" t="s">
        <v>3715</v>
      </c>
      <c r="G1186">
        <f>IF(getRGB1($C1186)="FFFFFF",0,1)+IF(getRGB1($D1186)="FFFFFF",0,2)+IF(getRGB1($E1186)="FFFFFF",0,3)+IF(getRGB1($F1186)="FFFFFF",0,4)</f>
        <v>2</v>
      </c>
    </row>
    <row r="1187" spans="1:7" ht="25.5">
      <c r="A1187" t="s">
        <v>6671</v>
      </c>
      <c r="B1187" s="39" t="s">
        <v>4158</v>
      </c>
      <c r="C1187" s="43" t="s">
        <v>4159</v>
      </c>
      <c r="D1187" s="44" t="s">
        <v>4160</v>
      </c>
      <c r="E1187" s="44" t="s">
        <v>4161</v>
      </c>
      <c r="F1187" s="41" t="s">
        <v>4162</v>
      </c>
      <c r="G1187">
        <f>IF(getRGB1($C1187)="FFFFFF",0,1)+IF(getRGB1($D1187)="FFFFFF",0,2)+IF(getRGB1($E1187)="FFFFFF",0,3)+IF(getRGB1($F1187)="FFFFFF",0,4)</f>
        <v>1</v>
      </c>
    </row>
    <row r="1188" spans="1:7" ht="25.5">
      <c r="A1188" t="s">
        <v>6671</v>
      </c>
      <c r="B1188" s="39" t="s">
        <v>4163</v>
      </c>
      <c r="C1188" s="44" t="s">
        <v>4164</v>
      </c>
      <c r="D1188" s="44" t="s">
        <v>4165</v>
      </c>
      <c r="E1188" s="61" t="s">
        <v>4166</v>
      </c>
      <c r="F1188" s="40" t="s">
        <v>4167</v>
      </c>
      <c r="G1188">
        <f>IF(getRGB1($C1188)="FFFFFF",0,1)+IF(getRGB1($D1188)="FFFFFF",0,2)+IF(getRGB1($E1188)="FFFFFF",0,3)+IF(getRGB1($F1188)="FFFFFF",0,4)</f>
        <v>4</v>
      </c>
    </row>
    <row r="1189" spans="1:7" ht="25.5">
      <c r="A1189" t="s">
        <v>6671</v>
      </c>
      <c r="B1189" s="39" t="s">
        <v>4168</v>
      </c>
      <c r="C1189" s="43" t="s">
        <v>4169</v>
      </c>
      <c r="D1189" s="44" t="s">
        <v>4170</v>
      </c>
      <c r="E1189" s="44" t="s">
        <v>4171</v>
      </c>
      <c r="F1189" s="41" t="s">
        <v>4172</v>
      </c>
      <c r="G1189">
        <f>IF(getRGB1($C1189)="FFFFFF",0,1)+IF(getRGB1($D1189)="FFFFFF",0,2)+IF(getRGB1($E1189)="FFFFFF",0,3)+IF(getRGB1($F1189)="FFFFFF",0,4)</f>
        <v>1</v>
      </c>
    </row>
    <row r="1190" spans="1:7" ht="63.75">
      <c r="A1190" t="s">
        <v>6671</v>
      </c>
      <c r="B1190" s="61" t="s">
        <v>4173</v>
      </c>
      <c r="C1190" s="44" t="s">
        <v>4174</v>
      </c>
      <c r="D1190" s="44" t="s">
        <v>4175</v>
      </c>
      <c r="E1190" s="44" t="s">
        <v>4176</v>
      </c>
      <c r="F1190" s="43" t="s">
        <v>4177</v>
      </c>
      <c r="G1190">
        <f>IF(getRGB1($C1190)="FFFFFF",0,1)+IF(getRGB1($D1190)="FFFFFF",0,2)+IF(getRGB1($E1190)="FFFFFF",0,3)+IF(getRGB1($F1190)="FFFFFF",0,4)</f>
        <v>4</v>
      </c>
    </row>
    <row r="1191" spans="1:7" ht="38.25">
      <c r="A1191" t="s">
        <v>6671</v>
      </c>
      <c r="B1191" s="39" t="s">
        <v>4178</v>
      </c>
      <c r="C1191" s="44" t="s">
        <v>4179</v>
      </c>
      <c r="D1191" s="43" t="s">
        <v>4180</v>
      </c>
      <c r="E1191" s="44" t="s">
        <v>4181</v>
      </c>
      <c r="F1191" s="41" t="s">
        <v>4182</v>
      </c>
      <c r="G1191">
        <f>IF(getRGB1($C1191)="FFFFFF",0,1)+IF(getRGB1($D1191)="FFFFFF",0,2)+IF(getRGB1($E1191)="FFFFFF",0,3)+IF(getRGB1($F1191)="FFFFFF",0,4)</f>
        <v>2</v>
      </c>
    </row>
    <row r="1192" spans="1:7" ht="25.5">
      <c r="A1192" t="s">
        <v>6671</v>
      </c>
      <c r="B1192" s="39" t="s">
        <v>4183</v>
      </c>
      <c r="C1192" s="43" t="s">
        <v>4184</v>
      </c>
      <c r="D1192" s="44" t="s">
        <v>4185</v>
      </c>
      <c r="E1192" s="44" t="s">
        <v>4186</v>
      </c>
      <c r="F1192" s="44" t="s">
        <v>4187</v>
      </c>
      <c r="G1192">
        <f>IF(getRGB1($C1192)="FFFFFF",0,1)+IF(getRGB1($D1192)="FFFFFF",0,2)+IF(getRGB1($E1192)="FFFFFF",0,3)+IF(getRGB1($F1192)="FFFFFF",0,4)</f>
        <v>1</v>
      </c>
    </row>
    <row r="1193" spans="1:7" ht="25.5">
      <c r="A1193" t="s">
        <v>6671</v>
      </c>
      <c r="B1193" s="39" t="s">
        <v>4188</v>
      </c>
      <c r="C1193" s="244" t="s">
        <v>4189</v>
      </c>
      <c r="D1193" s="244" t="s">
        <v>4190</v>
      </c>
      <c r="E1193" s="43" t="s">
        <v>4191</v>
      </c>
      <c r="F1193" s="44" t="s">
        <v>3708</v>
      </c>
      <c r="G1193">
        <f>IF(getRGB1($C1193)="FFFFFF",0,1)+IF(getRGB1($D1193)="FFFFFF",0,2)+IF(getRGB1($E1193)="FFFFFF",0,3)+IF(getRGB1($F1193)="FFFFFF",0,4)</f>
        <v>3</v>
      </c>
    </row>
    <row r="1194" spans="1:7" ht="38.25">
      <c r="A1194" t="s">
        <v>6671</v>
      </c>
      <c r="B1194" s="39" t="s">
        <v>4192</v>
      </c>
      <c r="C1194" s="44" t="s">
        <v>3710</v>
      </c>
      <c r="D1194" s="43" t="s">
        <v>8</v>
      </c>
      <c r="E1194" s="44" t="s">
        <v>1599</v>
      </c>
      <c r="F1194" s="44" t="s">
        <v>1289</v>
      </c>
      <c r="G1194">
        <f>IF(getRGB1($C1194)="FFFFFF",0,1)+IF(getRGB1($D1194)="FFFFFF",0,2)+IF(getRGB1($E1194)="FFFFFF",0,3)+IF(getRGB1($F1194)="FFFFFF",0,4)</f>
        <v>2</v>
      </c>
    </row>
    <row r="1195" spans="1:7" ht="38.25">
      <c r="A1195" t="s">
        <v>6671</v>
      </c>
      <c r="B1195" s="39" t="s">
        <v>4193</v>
      </c>
      <c r="C1195" s="44" t="s">
        <v>3708</v>
      </c>
      <c r="D1195" s="43" t="s">
        <v>4191</v>
      </c>
      <c r="E1195" s="244" t="s">
        <v>4189</v>
      </c>
      <c r="F1195" s="244" t="s">
        <v>4190</v>
      </c>
      <c r="G1195">
        <f>IF(getRGB1($C1195)="FFFFFF",0,1)+IF(getRGB1($D1195)="FFFFFF",0,2)+IF(getRGB1($E1195)="FFFFFF",0,3)+IF(getRGB1($F1195)="FFFFFF",0,4)</f>
        <v>2</v>
      </c>
    </row>
    <row r="1196" spans="1:7" ht="63.75">
      <c r="A1196" t="s">
        <v>6671</v>
      </c>
      <c r="B1196" s="39" t="s">
        <v>3775</v>
      </c>
      <c r="C1196" s="43" t="s">
        <v>4194</v>
      </c>
      <c r="D1196" s="61" t="s">
        <v>4195</v>
      </c>
      <c r="E1196" s="244" t="s">
        <v>3778</v>
      </c>
      <c r="F1196" s="61" t="s">
        <v>3779</v>
      </c>
      <c r="G1196">
        <f>IF(getRGB1($C1196)="FFFFFF",0,1)+IF(getRGB1($D1196)="FFFFFF",0,2)+IF(getRGB1($E1196)="FFFFFF",0,3)+IF(getRGB1($F1196)="FFFFFF",0,4)</f>
        <v>1</v>
      </c>
    </row>
    <row r="1197" spans="1:7" ht="38.25">
      <c r="A1197" t="s">
        <v>6671</v>
      </c>
      <c r="B1197" s="39" t="s">
        <v>4196</v>
      </c>
      <c r="C1197" s="43" t="s">
        <v>4197</v>
      </c>
      <c r="D1197" s="44" t="s">
        <v>4136</v>
      </c>
      <c r="E1197" s="61" t="s">
        <v>4137</v>
      </c>
      <c r="F1197" s="42" t="s">
        <v>4138</v>
      </c>
      <c r="G1197">
        <f>IF(getRGB1($C1197)="FFFFFF",0,1)+IF(getRGB1($D1197)="FFFFFF",0,2)+IF(getRGB1($E1197)="FFFFFF",0,3)+IF(getRGB1($F1197)="FFFFFF",0,4)</f>
        <v>1</v>
      </c>
    </row>
    <row r="1198" spans="1:7" ht="25.5">
      <c r="A1198" t="s">
        <v>6671</v>
      </c>
      <c r="B1198" s="39" t="s">
        <v>4198</v>
      </c>
      <c r="C1198" s="44">
        <v>0.1</v>
      </c>
      <c r="D1198" s="56" t="s">
        <v>4199</v>
      </c>
      <c r="E1198" s="44">
        <v>0.08</v>
      </c>
      <c r="F1198" s="41">
        <v>0.15</v>
      </c>
      <c r="G1198">
        <f>IF(getRGB1($C1198)="FFFFFF",0,1)+IF(getRGB1($D1198)="FFFFFF",0,2)+IF(getRGB1($E1198)="FFFFFF",0,3)+IF(getRGB1($F1198)="FFFFFF",0,4)</f>
        <v>2</v>
      </c>
    </row>
    <row r="1199" spans="1:7">
      <c r="A1199" t="s">
        <v>6671</v>
      </c>
      <c r="B1199" s="39" t="s">
        <v>4200</v>
      </c>
      <c r="C1199" s="244" t="s">
        <v>4201</v>
      </c>
      <c r="D1199" s="43" t="s">
        <v>4202</v>
      </c>
      <c r="E1199" s="244" t="s">
        <v>4203</v>
      </c>
      <c r="F1199" s="244" t="s">
        <v>4204</v>
      </c>
      <c r="G1199">
        <f>IF(getRGB1($C1199)="FFFFFF",0,1)+IF(getRGB1($D1199)="FFFFFF",0,2)+IF(getRGB1($E1199)="FFFFFF",0,3)+IF(getRGB1($F1199)="FFFFFF",0,4)</f>
        <v>2</v>
      </c>
    </row>
    <row r="1200" spans="1:7" ht="25.5">
      <c r="A1200" t="s">
        <v>6671</v>
      </c>
      <c r="B1200" s="39" t="s">
        <v>4205</v>
      </c>
      <c r="C1200" s="244" t="s">
        <v>4201</v>
      </c>
      <c r="D1200" s="244"/>
      <c r="E1200" s="43" t="s">
        <v>4206</v>
      </c>
      <c r="F1200" s="244" t="s">
        <v>4204</v>
      </c>
      <c r="G1200">
        <f>IF(getRGB1($C1200)="FFFFFF",0,1)+IF(getRGB1($D1200)="FFFFFF",0,2)+IF(getRGB1($E1200)="FFFFFF",0,3)+IF(getRGB1($F1200)="FFFFFF",0,4)</f>
        <v>3</v>
      </c>
    </row>
    <row r="1201" spans="1:7" ht="25.5">
      <c r="A1201" t="s">
        <v>6671</v>
      </c>
      <c r="B1201" s="39" t="s">
        <v>4207</v>
      </c>
      <c r="C1201" s="42" t="s">
        <v>1502</v>
      </c>
      <c r="D1201" s="42" t="s">
        <v>4208</v>
      </c>
      <c r="E1201" s="40" t="s">
        <v>4209</v>
      </c>
      <c r="F1201" s="42" t="s">
        <v>4210</v>
      </c>
      <c r="G1201">
        <f>IF(getRGB1($C1201)="FFFFFF",0,1)+IF(getRGB1($D1201)="FFFFFF",0,2)+IF(getRGB1($E1201)="FFFFFF",0,3)+IF(getRGB1($F1201)="FFFFFF",0,4)</f>
        <v>3</v>
      </c>
    </row>
    <row r="1202" spans="1:7" ht="25.5">
      <c r="A1202" t="s">
        <v>6671</v>
      </c>
      <c r="B1202" s="267" t="s">
        <v>4211</v>
      </c>
      <c r="C1202" s="42" t="s">
        <v>4212</v>
      </c>
      <c r="D1202" s="43" t="s">
        <v>4213</v>
      </c>
      <c r="E1202" s="42" t="s">
        <v>4214</v>
      </c>
      <c r="F1202" s="42" t="s">
        <v>4215</v>
      </c>
      <c r="G1202">
        <f>IF(getRGB1($C1202)="FFFFFF",0,1)+IF(getRGB1($D1202)="FFFFFF",0,2)+IF(getRGB1($E1202)="FFFFFF",0,3)+IF(getRGB1($F1202)="FFFFFF",0,4)</f>
        <v>2</v>
      </c>
    </row>
    <row r="1203" spans="1:7" ht="38.25">
      <c r="A1203" t="s">
        <v>6671</v>
      </c>
      <c r="B1203" s="39" t="s">
        <v>4216</v>
      </c>
      <c r="C1203" s="61" t="s">
        <v>4217</v>
      </c>
      <c r="D1203" s="61" t="s">
        <v>4218</v>
      </c>
      <c r="E1203" s="61" t="s">
        <v>4219</v>
      </c>
      <c r="F1203" s="43" t="s">
        <v>1744</v>
      </c>
      <c r="G1203">
        <f>IF(getRGB1($C1203)="FFFFFF",0,1)+IF(getRGB1($D1203)="FFFFFF",0,2)+IF(getRGB1($E1203)="FFFFFF",0,3)+IF(getRGB1($F1203)="FFFFFF",0,4)</f>
        <v>4</v>
      </c>
    </row>
    <row r="1204" spans="1:7" ht="25.5">
      <c r="A1204" t="s">
        <v>6671</v>
      </c>
      <c r="B1204" s="39" t="s">
        <v>4220</v>
      </c>
      <c r="C1204" s="61" t="s">
        <v>4221</v>
      </c>
      <c r="D1204" s="43" t="s">
        <v>4222</v>
      </c>
      <c r="E1204" s="61" t="s">
        <v>4223</v>
      </c>
      <c r="F1204" s="61" t="s">
        <v>4224</v>
      </c>
      <c r="G1204">
        <f>IF(getRGB1($C1204)="FFFFFF",0,1)+IF(getRGB1($D1204)="FFFFFF",0,2)+IF(getRGB1($E1204)="FFFFFF",0,3)+IF(getRGB1($F1204)="FFFFFF",0,4)</f>
        <v>2</v>
      </c>
    </row>
    <row r="1205" spans="1:7" ht="25.5">
      <c r="A1205" t="s">
        <v>6671</v>
      </c>
      <c r="B1205" s="39" t="s">
        <v>4225</v>
      </c>
      <c r="C1205" s="61" t="s">
        <v>4226</v>
      </c>
      <c r="D1205" s="61" t="s">
        <v>4227</v>
      </c>
      <c r="E1205" s="43" t="s">
        <v>4228</v>
      </c>
      <c r="F1205" s="61" t="s">
        <v>61</v>
      </c>
      <c r="G1205">
        <f>IF(getRGB1($C1205)="FFFFFF",0,1)+IF(getRGB1($D1205)="FFFFFF",0,2)+IF(getRGB1($E1205)="FFFFFF",0,3)+IF(getRGB1($F1205)="FFFFFF",0,4)</f>
        <v>3</v>
      </c>
    </row>
    <row r="1206" spans="1:7">
      <c r="A1206" t="s">
        <v>6671</v>
      </c>
      <c r="B1206" s="39" t="s">
        <v>4229</v>
      </c>
      <c r="C1206" s="61">
        <v>8</v>
      </c>
      <c r="D1206" s="61">
        <v>10</v>
      </c>
      <c r="E1206" s="43">
        <v>16</v>
      </c>
      <c r="F1206" s="61">
        <v>12</v>
      </c>
      <c r="G1206">
        <f>IF(getRGB1($C1206)="FFFFFF",0,1)+IF(getRGB1($D1206)="FFFFFF",0,2)+IF(getRGB1($E1206)="FFFFFF",0,3)+IF(getRGB1($F1206)="FFFFFF",0,4)</f>
        <v>3</v>
      </c>
    </row>
    <row r="1207" spans="1:7" ht="25.5">
      <c r="A1207" t="s">
        <v>6671</v>
      </c>
      <c r="B1207" s="39" t="s">
        <v>4230</v>
      </c>
      <c r="C1207" s="43" t="s">
        <v>4231</v>
      </c>
      <c r="D1207" s="61" t="s">
        <v>4232</v>
      </c>
      <c r="E1207" s="61" t="s">
        <v>4233</v>
      </c>
      <c r="F1207" s="61" t="s">
        <v>61</v>
      </c>
      <c r="G1207">
        <f>IF(getRGB1($C1207)="FFFFFF",0,1)+IF(getRGB1($D1207)="FFFFFF",0,2)+IF(getRGB1($E1207)="FFFFFF",0,3)+IF(getRGB1($F1207)="FFFFFF",0,4)</f>
        <v>1</v>
      </c>
    </row>
    <row r="1208" spans="1:7" ht="25.5">
      <c r="A1208" t="s">
        <v>6671</v>
      </c>
      <c r="B1208" s="39" t="s">
        <v>4234</v>
      </c>
      <c r="C1208" s="61" t="s">
        <v>4235</v>
      </c>
      <c r="D1208" s="43" t="s">
        <v>4236</v>
      </c>
      <c r="E1208" s="61" t="s">
        <v>4143</v>
      </c>
      <c r="F1208" s="61" t="s">
        <v>4237</v>
      </c>
      <c r="G1208">
        <f>IF(getRGB1($C1208)="FFFFFF",0,1)+IF(getRGB1($D1208)="FFFFFF",0,2)+IF(getRGB1($E1208)="FFFFFF",0,3)+IF(getRGB1($F1208)="FFFFFF",0,4)</f>
        <v>2</v>
      </c>
    </row>
    <row r="1209" spans="1:7" ht="38.25">
      <c r="A1209" t="s">
        <v>6671</v>
      </c>
      <c r="B1209" s="39" t="s">
        <v>4238</v>
      </c>
      <c r="C1209" s="61" t="s">
        <v>4239</v>
      </c>
      <c r="D1209" s="61" t="s">
        <v>4240</v>
      </c>
      <c r="E1209" s="61" t="s">
        <v>4241</v>
      </c>
      <c r="F1209" s="43" t="s">
        <v>3373</v>
      </c>
      <c r="G1209">
        <f>IF(getRGB1($C1209)="FFFFFF",0,1)+IF(getRGB1($D1209)="FFFFFF",0,2)+IF(getRGB1($E1209)="FFFFFF",0,3)+IF(getRGB1($F1209)="FFFFFF",0,4)</f>
        <v>4</v>
      </c>
    </row>
    <row r="1210" spans="1:7">
      <c r="A1210" t="s">
        <v>6671</v>
      </c>
      <c r="B1210" s="39" t="s">
        <v>4242</v>
      </c>
      <c r="C1210" s="61" t="s">
        <v>4243</v>
      </c>
      <c r="D1210" s="61" t="s">
        <v>4244</v>
      </c>
      <c r="E1210" s="61" t="s">
        <v>4245</v>
      </c>
      <c r="F1210" s="43" t="s">
        <v>2812</v>
      </c>
      <c r="G1210">
        <f>IF(getRGB1($C1210)="FFFFFF",0,1)+IF(getRGB1($D1210)="FFFFFF",0,2)+IF(getRGB1($E1210)="FFFFFF",0,3)+IF(getRGB1($F1210)="FFFFFF",0,4)</f>
        <v>4</v>
      </c>
    </row>
    <row r="1211" spans="1:7">
      <c r="A1211" t="s">
        <v>6671</v>
      </c>
      <c r="B1211" s="39" t="s">
        <v>4246</v>
      </c>
      <c r="C1211" s="61" t="s">
        <v>179</v>
      </c>
      <c r="D1211" s="43" t="s">
        <v>137</v>
      </c>
      <c r="E1211" s="61" t="s">
        <v>73</v>
      </c>
      <c r="F1211" s="61" t="s">
        <v>177</v>
      </c>
      <c r="G1211">
        <f>IF(getRGB1($C1211)="FFFFFF",0,1)+IF(getRGB1($D1211)="FFFFFF",0,2)+IF(getRGB1($E1211)="FFFFFF",0,3)+IF(getRGB1($F1211)="FFFFFF",0,4)</f>
        <v>2</v>
      </c>
    </row>
    <row r="1212" spans="1:7" ht="38.25">
      <c r="A1212" t="s">
        <v>6671</v>
      </c>
      <c r="B1212" s="39" t="s">
        <v>4247</v>
      </c>
      <c r="C1212" s="40" t="s">
        <v>4248</v>
      </c>
      <c r="D1212" s="42" t="s">
        <v>4249</v>
      </c>
      <c r="E1212" s="42" t="s">
        <v>370</v>
      </c>
      <c r="F1212" s="42" t="s">
        <v>61</v>
      </c>
      <c r="G1212">
        <f>IF(getRGB1($C1212)="FFFFFF",0,1)+IF(getRGB1($D1212)="FFFFFF",0,2)+IF(getRGB1($E1212)="FFFFFF",0,3)+IF(getRGB1($F1212)="FFFFFF",0,4)</f>
        <v>1</v>
      </c>
    </row>
    <row r="1213" spans="1:7" ht="25.5">
      <c r="A1213" t="s">
        <v>6671</v>
      </c>
      <c r="B1213" s="39" t="s">
        <v>4250</v>
      </c>
      <c r="C1213" s="61" t="s">
        <v>4251</v>
      </c>
      <c r="D1213" s="61" t="s">
        <v>4252</v>
      </c>
      <c r="E1213" s="43" t="s">
        <v>4253</v>
      </c>
      <c r="F1213" s="42" t="s">
        <v>3313</v>
      </c>
      <c r="G1213">
        <f>IF(getRGB1($C1213)="FFFFFF",0,1)+IF(getRGB1($D1213)="FFFFFF",0,2)+IF(getRGB1($E1213)="FFFFFF",0,3)+IF(getRGB1($F1213)="FFFFFF",0,4)</f>
        <v>3</v>
      </c>
    </row>
    <row r="1214" spans="1:7" ht="25.5">
      <c r="A1214" t="s">
        <v>6671</v>
      </c>
      <c r="B1214" s="39" t="s">
        <v>4254</v>
      </c>
      <c r="C1214" s="40" t="s">
        <v>4255</v>
      </c>
      <c r="D1214" s="42" t="s">
        <v>4256</v>
      </c>
      <c r="E1214" s="42" t="s">
        <v>4257</v>
      </c>
      <c r="F1214" s="42" t="s">
        <v>66</v>
      </c>
      <c r="G1214">
        <f>IF(getRGB1($C1214)="FFFFFF",0,1)+IF(getRGB1($D1214)="FFFFFF",0,2)+IF(getRGB1($E1214)="FFFFFF",0,3)+IF(getRGB1($F1214)="FFFFFF",0,4)</f>
        <v>1</v>
      </c>
    </row>
    <row r="1215" spans="1:7" ht="38.25">
      <c r="A1215" t="s">
        <v>6671</v>
      </c>
      <c r="B1215" s="39" t="s">
        <v>4258</v>
      </c>
      <c r="C1215" s="40" t="s">
        <v>4259</v>
      </c>
      <c r="D1215" s="42" t="s">
        <v>4260</v>
      </c>
      <c r="E1215" s="42" t="s">
        <v>4261</v>
      </c>
      <c r="F1215" s="42" t="s">
        <v>66</v>
      </c>
      <c r="G1215">
        <f>IF(getRGB1($C1215)="FFFFFF",0,1)+IF(getRGB1($D1215)="FFFFFF",0,2)+IF(getRGB1($E1215)="FFFFFF",0,3)+IF(getRGB1($F1215)="FFFFFF",0,4)</f>
        <v>1</v>
      </c>
    </row>
    <row r="1216" spans="1:7" ht="38.25">
      <c r="A1216" t="s">
        <v>6671</v>
      </c>
      <c r="B1216" s="39" t="s">
        <v>4262</v>
      </c>
      <c r="C1216" s="42" t="s">
        <v>4263</v>
      </c>
      <c r="D1216" s="42" t="s">
        <v>4264</v>
      </c>
      <c r="E1216" s="40" t="s">
        <v>4265</v>
      </c>
      <c r="F1216" s="42" t="s">
        <v>66</v>
      </c>
      <c r="G1216">
        <f>IF(getRGB1($C1216)="FFFFFF",0,1)+IF(getRGB1($D1216)="FFFFFF",0,2)+IF(getRGB1($E1216)="FFFFFF",0,3)+IF(getRGB1($F1216)="FFFFFF",0,4)</f>
        <v>3</v>
      </c>
    </row>
    <row r="1217" spans="1:7" ht="38.25">
      <c r="A1217" t="s">
        <v>6671</v>
      </c>
      <c r="B1217" s="39" t="s">
        <v>4266</v>
      </c>
      <c r="C1217" s="42" t="s">
        <v>4267</v>
      </c>
      <c r="D1217" s="40" t="s">
        <v>4268</v>
      </c>
      <c r="E1217" s="42" t="s">
        <v>446</v>
      </c>
      <c r="F1217" s="42" t="s">
        <v>66</v>
      </c>
      <c r="G1217">
        <f>IF(getRGB1($C1217)="FFFFFF",0,1)+IF(getRGB1($D1217)="FFFFFF",0,2)+IF(getRGB1($E1217)="FFFFFF",0,3)+IF(getRGB1($F1217)="FFFFFF",0,4)</f>
        <v>2</v>
      </c>
    </row>
    <row r="1218" spans="1:7" ht="51">
      <c r="A1218" t="s">
        <v>6671</v>
      </c>
      <c r="B1218" s="39" t="s">
        <v>6694</v>
      </c>
      <c r="C1218" s="43" t="s">
        <v>4269</v>
      </c>
      <c r="D1218" s="61" t="s">
        <v>4270</v>
      </c>
      <c r="E1218" s="61" t="s">
        <v>4271</v>
      </c>
      <c r="F1218" s="42" t="s">
        <v>61</v>
      </c>
      <c r="G1218">
        <f>IF(getRGB1($C1218)="FFFFFF",0,1)+IF(getRGB1($D1218)="FFFFFF",0,2)+IF(getRGB1($E1218)="FFFFFF",0,3)+IF(getRGB1($F1218)="FFFFFF",0,4)</f>
        <v>1</v>
      </c>
    </row>
    <row r="1219" spans="1:7" ht="25.5">
      <c r="A1219" t="s">
        <v>6671</v>
      </c>
      <c r="B1219" s="39" t="s">
        <v>4272</v>
      </c>
      <c r="C1219" s="42" t="s">
        <v>4273</v>
      </c>
      <c r="D1219" s="40" t="s">
        <v>4274</v>
      </c>
      <c r="E1219" s="61" t="s">
        <v>4275</v>
      </c>
      <c r="F1219" s="42" t="s">
        <v>61</v>
      </c>
      <c r="G1219">
        <f>IF(getRGB1($C1219)="FFFFFF",0,1)+IF(getRGB1($D1219)="FFFFFF",0,2)+IF(getRGB1($E1219)="FFFFFF",0,3)+IF(getRGB1($F1219)="FFFFFF",0,4)</f>
        <v>2</v>
      </c>
    </row>
    <row r="1220" spans="1:7" ht="38.25">
      <c r="A1220" t="s">
        <v>6671</v>
      </c>
      <c r="B1220" s="39" t="s">
        <v>4276</v>
      </c>
      <c r="C1220" s="42" t="s">
        <v>4277</v>
      </c>
      <c r="D1220" s="42" t="s">
        <v>4278</v>
      </c>
      <c r="E1220" s="40" t="s">
        <v>4279</v>
      </c>
      <c r="F1220" s="42" t="s">
        <v>4280</v>
      </c>
      <c r="G1220">
        <f>IF(getRGB1($C1220)="FFFFFF",0,1)+IF(getRGB1($D1220)="FFFFFF",0,2)+IF(getRGB1($E1220)="FFFFFF",0,3)+IF(getRGB1($F1220)="FFFFFF",0,4)</f>
        <v>3</v>
      </c>
    </row>
    <row r="1221" spans="1:7" ht="38.25">
      <c r="A1221" t="s">
        <v>6671</v>
      </c>
      <c r="B1221" s="39" t="s">
        <v>4281</v>
      </c>
      <c r="C1221" s="268">
        <v>0.95</v>
      </c>
      <c r="D1221" s="77">
        <v>1.05</v>
      </c>
      <c r="E1221" s="268">
        <v>1</v>
      </c>
      <c r="F1221" s="42" t="s">
        <v>61</v>
      </c>
      <c r="G1221">
        <f>IF(getRGB1($C1221)="FFFFFF",0,1)+IF(getRGB1($D1221)="FFFFFF",0,2)+IF(getRGB1($E1221)="FFFFFF",0,3)+IF(getRGB1($F1221)="FFFFFF",0,4)</f>
        <v>2</v>
      </c>
    </row>
    <row r="1222" spans="1:7" ht="38.25">
      <c r="A1222" t="s">
        <v>6671</v>
      </c>
      <c r="B1222" s="39" t="s">
        <v>4282</v>
      </c>
      <c r="C1222" s="40">
        <v>7</v>
      </c>
      <c r="D1222" s="42">
        <v>3</v>
      </c>
      <c r="E1222" s="42">
        <v>1</v>
      </c>
      <c r="F1222" s="42">
        <v>10</v>
      </c>
      <c r="G1222">
        <f>IF(getRGB1($C1222)="FFFFFF",0,1)+IF(getRGB1($D1222)="FFFFFF",0,2)+IF(getRGB1($E1222)="FFFFFF",0,3)+IF(getRGB1($F1222)="FFFFFF",0,4)</f>
        <v>1</v>
      </c>
    </row>
    <row r="1223" spans="1:7" ht="25.5">
      <c r="A1223" t="s">
        <v>6671</v>
      </c>
      <c r="B1223" s="39" t="s">
        <v>4283</v>
      </c>
      <c r="C1223" s="42" t="s">
        <v>4284</v>
      </c>
      <c r="D1223" s="42"/>
      <c r="E1223" s="42"/>
      <c r="F1223" s="40" t="s">
        <v>4285</v>
      </c>
      <c r="G1223">
        <f>IF(getRGB1($C1223)="FFFFFF",0,1)+IF(getRGB1($D1223)="FFFFFF",0,2)+IF(getRGB1($E1223)="FFFFFF",0,3)+IF(getRGB1($F1223)="FFFFFF",0,4)</f>
        <v>4</v>
      </c>
    </row>
    <row r="1224" spans="1:7" ht="38.25">
      <c r="A1224" t="s">
        <v>6671</v>
      </c>
      <c r="B1224" s="39" t="s">
        <v>4286</v>
      </c>
      <c r="C1224" s="268">
        <v>0.95</v>
      </c>
      <c r="D1224" s="77">
        <v>1.1000000000000001</v>
      </c>
      <c r="E1224" s="268">
        <v>1</v>
      </c>
      <c r="F1224" s="42" t="s">
        <v>61</v>
      </c>
      <c r="G1224">
        <f>IF(getRGB1($C1224)="FFFFFF",0,1)+IF(getRGB1($D1224)="FFFFFF",0,2)+IF(getRGB1($E1224)="FFFFFF",0,3)+IF(getRGB1($F1224)="FFFFFF",0,4)</f>
        <v>2</v>
      </c>
    </row>
    <row r="1225" spans="1:7" ht="63.75">
      <c r="A1225" t="s">
        <v>6671</v>
      </c>
      <c r="B1225" s="39" t="s">
        <v>4287</v>
      </c>
      <c r="C1225" s="40" t="s">
        <v>4288</v>
      </c>
      <c r="D1225" s="42" t="s">
        <v>4289</v>
      </c>
      <c r="E1225" s="42" t="s">
        <v>4290</v>
      </c>
      <c r="F1225" s="42" t="s">
        <v>4291</v>
      </c>
      <c r="G1225">
        <f>IF(getRGB1($C1225)="FFFFFF",0,1)+IF(getRGB1($D1225)="FFFFFF",0,2)+IF(getRGB1($E1225)="FFFFFF",0,3)+IF(getRGB1($F1225)="FFFFFF",0,4)</f>
        <v>1</v>
      </c>
    </row>
    <row r="1226" spans="1:7" ht="25.5">
      <c r="A1226" t="s">
        <v>6671</v>
      </c>
      <c r="B1226" s="39" t="s">
        <v>4292</v>
      </c>
      <c r="C1226" s="42">
        <v>6</v>
      </c>
      <c r="D1226" s="40">
        <v>4</v>
      </c>
      <c r="E1226" s="42">
        <v>5</v>
      </c>
      <c r="F1226" s="42">
        <v>3</v>
      </c>
      <c r="G1226">
        <f>IF(getRGB1($C1226)="FFFFFF",0,1)+IF(getRGB1($D1226)="FFFFFF",0,2)+IF(getRGB1($E1226)="FFFFFF",0,3)+IF(getRGB1($F1226)="FFFFFF",0,4)</f>
        <v>2</v>
      </c>
    </row>
    <row r="1227" spans="1:7" ht="63.75">
      <c r="A1227" t="s">
        <v>6671</v>
      </c>
      <c r="B1227" s="39" t="s">
        <v>4293</v>
      </c>
      <c r="C1227" s="40">
        <v>24</v>
      </c>
      <c r="D1227" s="42">
        <v>72</v>
      </c>
      <c r="E1227" s="42">
        <v>12</v>
      </c>
      <c r="F1227" s="42">
        <v>48</v>
      </c>
      <c r="G1227">
        <f>IF(getRGB1($C1227)="FFFFFF",0,1)+IF(getRGB1($D1227)="FFFFFF",0,2)+IF(getRGB1($E1227)="FFFFFF",0,3)+IF(getRGB1($F1227)="FFFFFF",0,4)</f>
        <v>1</v>
      </c>
    </row>
    <row r="1228" spans="1:7" ht="63.75">
      <c r="A1228" t="s">
        <v>6671</v>
      </c>
      <c r="B1228" s="39" t="s">
        <v>4294</v>
      </c>
      <c r="C1228" s="40" t="b">
        <v>1</v>
      </c>
      <c r="D1228" s="42" t="b">
        <v>0</v>
      </c>
      <c r="E1228" s="42"/>
      <c r="F1228" s="42"/>
      <c r="G1228">
        <f>IF(getRGB1($C1228)="FFFFFF",0,1)+IF(getRGB1($D1228)="FFFFFF",0,2)+IF(getRGB1($E1228)="FFFFFF",0,3)+IF(getRGB1($F1228)="FFFFFF",0,4)</f>
        <v>1</v>
      </c>
    </row>
    <row r="1229" spans="1:7" ht="51">
      <c r="A1229" t="s">
        <v>6671</v>
      </c>
      <c r="B1229" s="39" t="s">
        <v>4295</v>
      </c>
      <c r="C1229" s="40" t="s">
        <v>4296</v>
      </c>
      <c r="D1229" s="42" t="s">
        <v>4297</v>
      </c>
      <c r="E1229" s="42" t="s">
        <v>4298</v>
      </c>
      <c r="F1229" s="42" t="s">
        <v>4299</v>
      </c>
      <c r="G1229">
        <f>IF(getRGB1($C1229)="FFFFFF",0,1)+IF(getRGB1($D1229)="FFFFFF",0,2)+IF(getRGB1($E1229)="FFFFFF",0,3)+IF(getRGB1($F1229)="FFFFFF",0,4)</f>
        <v>1</v>
      </c>
    </row>
    <row r="1230" spans="1:7" ht="51">
      <c r="A1230" t="s">
        <v>6671</v>
      </c>
      <c r="B1230" s="39" t="s">
        <v>4300</v>
      </c>
      <c r="C1230" s="41" t="s">
        <v>4296</v>
      </c>
      <c r="D1230" s="40" t="s">
        <v>4297</v>
      </c>
      <c r="E1230" s="42" t="s">
        <v>4298</v>
      </c>
      <c r="F1230" s="42" t="s">
        <v>4299</v>
      </c>
      <c r="G1230">
        <f>IF(getRGB1($C1230)="FFFFFF",0,1)+IF(getRGB1($D1230)="FFFFFF",0,2)+IF(getRGB1($E1230)="FFFFFF",0,3)+IF(getRGB1($F1230)="FFFFFF",0,4)</f>
        <v>2</v>
      </c>
    </row>
    <row r="1231" spans="1:7" ht="51">
      <c r="A1231" t="s">
        <v>6671</v>
      </c>
      <c r="B1231" s="39" t="s">
        <v>4301</v>
      </c>
      <c r="C1231" s="41" t="s">
        <v>4296</v>
      </c>
      <c r="D1231" s="41" t="s">
        <v>4297</v>
      </c>
      <c r="E1231" s="40" t="s">
        <v>4298</v>
      </c>
      <c r="F1231" s="42" t="s">
        <v>4299</v>
      </c>
      <c r="G1231">
        <f>IF(getRGB1($C1231)="FFFFFF",0,1)+IF(getRGB1($D1231)="FFFFFF",0,2)+IF(getRGB1($E1231)="FFFFFF",0,3)+IF(getRGB1($F1231)="FFFFFF",0,4)</f>
        <v>3</v>
      </c>
    </row>
    <row r="1232" spans="1:7" ht="51">
      <c r="A1232" t="s">
        <v>6671</v>
      </c>
      <c r="B1232" s="39" t="s">
        <v>4302</v>
      </c>
      <c r="C1232" s="41" t="s">
        <v>4296</v>
      </c>
      <c r="D1232" s="41" t="s">
        <v>4297</v>
      </c>
      <c r="E1232" s="41" t="s">
        <v>4298</v>
      </c>
      <c r="F1232" s="40" t="s">
        <v>4303</v>
      </c>
      <c r="G1232">
        <f>IF(getRGB1($C1232)="FFFFFF",0,1)+IF(getRGB1($D1232)="FFFFFF",0,2)+IF(getRGB1($E1232)="FFFFFF",0,3)+IF(getRGB1($F1232)="FFFFFF",0,4)</f>
        <v>4</v>
      </c>
    </row>
    <row r="1233" spans="1:7" ht="25.5">
      <c r="A1233" t="s">
        <v>6671</v>
      </c>
      <c r="B1233" s="269" t="s">
        <v>4304</v>
      </c>
      <c r="C1233" s="270">
        <v>2</v>
      </c>
      <c r="D1233" s="270">
        <v>3</v>
      </c>
      <c r="E1233" s="270">
        <v>4</v>
      </c>
      <c r="F1233" s="271">
        <v>7</v>
      </c>
      <c r="G1233">
        <f>IF(getRGB1($C1233)="FFFFFF",0,1)+IF(getRGB1($D1233)="FFFFFF",0,2)+IF(getRGB1($E1233)="FFFFFF",0,3)+IF(getRGB1($F1233)="FFFFFF",0,4)</f>
        <v>4</v>
      </c>
    </row>
    <row r="1234" spans="1:7">
      <c r="A1234" t="s">
        <v>6671</v>
      </c>
      <c r="B1234" s="269" t="s">
        <v>4305</v>
      </c>
      <c r="C1234" s="272">
        <v>12</v>
      </c>
      <c r="D1234" s="270">
        <v>24</v>
      </c>
      <c r="E1234" s="270">
        <v>72</v>
      </c>
      <c r="F1234" s="270" t="s">
        <v>209</v>
      </c>
      <c r="G1234">
        <f>IF(getRGB1($C1234)="FFFFFF",0,1)+IF(getRGB1($D1234)="FFFFFF",0,2)+IF(getRGB1($E1234)="FFFFFF",0,3)+IF(getRGB1($F1234)="FFFFFF",0,4)</f>
        <v>1</v>
      </c>
    </row>
    <row r="1235" spans="1:7" ht="25.5">
      <c r="A1235" t="s">
        <v>6671</v>
      </c>
      <c r="B1235" s="269" t="s">
        <v>4306</v>
      </c>
      <c r="C1235" s="270">
        <v>1</v>
      </c>
      <c r="D1235" s="272">
        <v>3</v>
      </c>
      <c r="E1235" s="270">
        <v>2</v>
      </c>
      <c r="F1235" s="270">
        <v>6</v>
      </c>
      <c r="G1235">
        <f>IF(getRGB1($C1235)="FFFFFF",0,1)+IF(getRGB1($D1235)="FFFFFF",0,2)+IF(getRGB1($E1235)="FFFFFF",0,3)+IF(getRGB1($F1235)="FFFFFF",0,4)</f>
        <v>2</v>
      </c>
    </row>
    <row r="1236" spans="1:7" ht="25.5">
      <c r="A1236" t="s">
        <v>6671</v>
      </c>
      <c r="B1236" s="269" t="s">
        <v>4307</v>
      </c>
      <c r="C1236" s="270" t="s">
        <v>4308</v>
      </c>
      <c r="D1236" s="270" t="s">
        <v>4309</v>
      </c>
      <c r="E1236" s="272" t="s">
        <v>4310</v>
      </c>
      <c r="F1236" s="270" t="s">
        <v>4311</v>
      </c>
      <c r="G1236">
        <f>IF(getRGB1($C1236)="FFFFFF",0,1)+IF(getRGB1($D1236)="FFFFFF",0,2)+IF(getRGB1($E1236)="FFFFFF",0,3)+IF(getRGB1($F1236)="FFFFFF",0,4)</f>
        <v>3</v>
      </c>
    </row>
    <row r="1237" spans="1:7">
      <c r="A1237" t="s">
        <v>6671</v>
      </c>
      <c r="B1237" s="273" t="s">
        <v>4312</v>
      </c>
      <c r="C1237" s="270" t="s">
        <v>4313</v>
      </c>
      <c r="D1237" s="270" t="s">
        <v>4314</v>
      </c>
      <c r="E1237" s="270" t="s">
        <v>434</v>
      </c>
      <c r="F1237" s="270" t="s">
        <v>4315</v>
      </c>
      <c r="G1237">
        <f>IF(getRGB1($C1237)="FFFFFF",0,1)+IF(getRGB1($D1237)="FFFFFF",0,2)+IF(getRGB1($E1237)="FFFFFF",0,3)+IF(getRGB1($F1237)="FFFFFF",0,4)</f>
        <v>0</v>
      </c>
    </row>
    <row r="1238" spans="1:7">
      <c r="A1238" t="s">
        <v>6671</v>
      </c>
      <c r="B1238" s="269" t="s">
        <v>4316</v>
      </c>
      <c r="C1238" s="270">
        <v>70</v>
      </c>
      <c r="D1238" s="270">
        <v>60</v>
      </c>
      <c r="E1238" s="272">
        <v>55</v>
      </c>
      <c r="F1238" s="270">
        <v>85</v>
      </c>
      <c r="G1238">
        <f>IF(getRGB1($C1238)="FFFFFF",0,1)+IF(getRGB1($D1238)="FFFFFF",0,2)+IF(getRGB1($E1238)="FFFFFF",0,3)+IF(getRGB1($F1238)="FFFFFF",0,4)</f>
        <v>3</v>
      </c>
    </row>
    <row r="1239" spans="1:7" ht="25.5">
      <c r="A1239" t="s">
        <v>6671</v>
      </c>
      <c r="B1239" s="269" t="s">
        <v>4317</v>
      </c>
      <c r="C1239" s="270">
        <v>2.25</v>
      </c>
      <c r="D1239" s="272">
        <v>1.25</v>
      </c>
      <c r="E1239" s="270">
        <v>5</v>
      </c>
      <c r="F1239" s="270">
        <v>6</v>
      </c>
      <c r="G1239">
        <f>IF(getRGB1($C1239)="FFFFFF",0,1)+IF(getRGB1($D1239)="FFFFFF",0,2)+IF(getRGB1($E1239)="FFFFFF",0,3)+IF(getRGB1($F1239)="FFFFFF",0,4)</f>
        <v>2</v>
      </c>
    </row>
    <row r="1240" spans="1:7" ht="25.5">
      <c r="A1240" t="s">
        <v>6671</v>
      </c>
      <c r="B1240" s="269" t="s">
        <v>4318</v>
      </c>
      <c r="C1240" s="270">
        <v>2.25</v>
      </c>
      <c r="D1240" s="270">
        <v>1.25</v>
      </c>
      <c r="E1240" s="270">
        <v>5</v>
      </c>
      <c r="F1240" s="272">
        <v>6</v>
      </c>
      <c r="G1240">
        <f>IF(getRGB1($C1240)="FFFFFF",0,1)+IF(getRGB1($D1240)="FFFFFF",0,2)+IF(getRGB1($E1240)="FFFFFF",0,3)+IF(getRGB1($F1240)="FFFFFF",0,4)</f>
        <v>4</v>
      </c>
    </row>
    <row r="1241" spans="1:7" ht="25.5">
      <c r="A1241" t="s">
        <v>6671</v>
      </c>
      <c r="B1241" s="269" t="s">
        <v>4319</v>
      </c>
      <c r="C1241" s="270">
        <v>0.65</v>
      </c>
      <c r="D1241" s="272">
        <v>0.35</v>
      </c>
      <c r="E1241" s="270">
        <v>1</v>
      </c>
      <c r="F1241" s="270">
        <v>0</v>
      </c>
      <c r="G1241">
        <f>IF(getRGB1($C1241)="FFFFFF",0,1)+IF(getRGB1($D1241)="FFFFFF",0,2)+IF(getRGB1($E1241)="FFFFFF",0,3)+IF(getRGB1($F1241)="FFFFFF",0,4)</f>
        <v>2</v>
      </c>
    </row>
    <row r="1242" spans="1:7" ht="25.5">
      <c r="A1242" t="s">
        <v>6671</v>
      </c>
      <c r="B1242" s="269" t="s">
        <v>4318</v>
      </c>
      <c r="C1242" s="270">
        <v>0.65</v>
      </c>
      <c r="D1242" s="270">
        <v>0.35</v>
      </c>
      <c r="E1242" s="272">
        <v>1</v>
      </c>
      <c r="F1242" s="270">
        <v>0</v>
      </c>
      <c r="G1242">
        <f>IF(getRGB1($C1242)="FFFFFF",0,1)+IF(getRGB1($D1242)="FFFFFF",0,2)+IF(getRGB1($E1242)="FFFFFF",0,3)+IF(getRGB1($F1242)="FFFFFF",0,4)</f>
        <v>3</v>
      </c>
    </row>
    <row r="1243" spans="1:7" ht="25.5">
      <c r="A1243" t="s">
        <v>6671</v>
      </c>
      <c r="B1243" s="269" t="s">
        <v>4320</v>
      </c>
      <c r="C1243" s="270">
        <v>20</v>
      </c>
      <c r="D1243" s="272">
        <v>30</v>
      </c>
      <c r="E1243" s="270">
        <v>50</v>
      </c>
      <c r="F1243" s="270">
        <v>60</v>
      </c>
      <c r="G1243">
        <f>IF(getRGB1($C1243)="FFFFFF",0,1)+IF(getRGB1($D1243)="FFFFFF",0,2)+IF(getRGB1($E1243)="FFFFFF",0,3)+IF(getRGB1($F1243)="FFFFFF",0,4)</f>
        <v>2</v>
      </c>
    </row>
    <row r="1244" spans="1:7" ht="38.25">
      <c r="A1244" t="s">
        <v>6671</v>
      </c>
      <c r="B1244" s="269" t="s">
        <v>4321</v>
      </c>
      <c r="C1244" s="274">
        <v>43646</v>
      </c>
      <c r="D1244" s="275">
        <v>43616</v>
      </c>
      <c r="E1244" s="274">
        <v>43585</v>
      </c>
      <c r="F1244" s="274">
        <v>43555</v>
      </c>
      <c r="G1244">
        <f>IF(getRGB1($C1244)="FFFFFF",0,1)+IF(getRGB1($D1244)="FFFFFF",0,2)+IF(getRGB1($E1244)="FFFFFF",0,3)+IF(getRGB1($F1244)="FFFFFF",0,4)</f>
        <v>2</v>
      </c>
    </row>
    <row r="1245" spans="1:7" ht="25.5">
      <c r="A1245" t="s">
        <v>6671</v>
      </c>
      <c r="B1245" s="269" t="s">
        <v>4322</v>
      </c>
      <c r="C1245" s="270">
        <v>24</v>
      </c>
      <c r="D1245" s="270">
        <v>48</v>
      </c>
      <c r="E1245" s="272">
        <v>72</v>
      </c>
      <c r="F1245" s="276" t="s">
        <v>4311</v>
      </c>
      <c r="G1245">
        <f>IF(getRGB1($C1245)="FFFFFF",0,1)+IF(getRGB1($D1245)="FFFFFF",0,2)+IF(getRGB1($E1245)="FFFFFF",0,3)+IF(getRGB1($F1245)="FFFFFF",0,4)</f>
        <v>3</v>
      </c>
    </row>
    <row r="1246" spans="1:7" ht="25.5">
      <c r="A1246" t="s">
        <v>6671</v>
      </c>
      <c r="B1246" s="269" t="s">
        <v>4323</v>
      </c>
      <c r="C1246" s="270">
        <v>5</v>
      </c>
      <c r="D1246" s="272">
        <v>10</v>
      </c>
      <c r="E1246" s="270">
        <v>8</v>
      </c>
      <c r="F1246" s="270">
        <v>12</v>
      </c>
      <c r="G1246">
        <f>IF(getRGB1($C1246)="FFFFFF",0,1)+IF(getRGB1($D1246)="FFFFFF",0,2)+IF(getRGB1($E1246)="FFFFFF",0,3)+IF(getRGB1($F1246)="FFFFFF",0,4)</f>
        <v>2</v>
      </c>
    </row>
    <row r="1247" spans="1:7" ht="25.5">
      <c r="A1247" t="s">
        <v>6671</v>
      </c>
      <c r="B1247" s="269" t="s">
        <v>4324</v>
      </c>
      <c r="C1247" s="277" t="s">
        <v>4325</v>
      </c>
      <c r="D1247" s="277" t="s">
        <v>4326</v>
      </c>
      <c r="E1247" s="272" t="s">
        <v>4327</v>
      </c>
      <c r="F1247" s="276" t="s">
        <v>4311</v>
      </c>
      <c r="G1247">
        <f>IF(getRGB1($C1247)="FFFFFF",0,1)+IF(getRGB1($D1247)="FFFFFF",0,2)+IF(getRGB1($E1247)="FFFFFF",0,3)+IF(getRGB1($F1247)="FFFFFF",0,4)</f>
        <v>3</v>
      </c>
    </row>
    <row r="1248" spans="1:7" ht="38.25">
      <c r="A1248" t="s">
        <v>6671</v>
      </c>
      <c r="B1248" s="269" t="s">
        <v>4328</v>
      </c>
      <c r="C1248" s="270">
        <v>5</v>
      </c>
      <c r="D1248" s="270">
        <v>10</v>
      </c>
      <c r="E1248" s="272">
        <v>8</v>
      </c>
      <c r="F1248" s="270">
        <v>12</v>
      </c>
      <c r="G1248">
        <f>IF(getRGB1($C1248)="FFFFFF",0,1)+IF(getRGB1($D1248)="FFFFFF",0,2)+IF(getRGB1($E1248)="FFFFFF",0,3)+IF(getRGB1($F1248)="FFFFFF",0,4)</f>
        <v>3</v>
      </c>
    </row>
    <row r="1249" spans="1:7" ht="51">
      <c r="A1249" t="s">
        <v>6671</v>
      </c>
      <c r="B1249" s="269" t="s">
        <v>4329</v>
      </c>
      <c r="C1249" s="278" t="s">
        <v>4330</v>
      </c>
      <c r="D1249" s="272" t="s">
        <v>4331</v>
      </c>
      <c r="E1249" s="278" t="s">
        <v>4332</v>
      </c>
      <c r="F1249" s="278" t="s">
        <v>4333</v>
      </c>
      <c r="G1249">
        <f>IF(getRGB1($C1249)="FFFFFF",0,1)+IF(getRGB1($D1249)="FFFFFF",0,2)+IF(getRGB1($E1249)="FFFFFF",0,3)+IF(getRGB1($F1249)="FFFFFF",0,4)</f>
        <v>2</v>
      </c>
    </row>
    <row r="1250" spans="1:7" ht="30">
      <c r="A1250" t="s">
        <v>6672</v>
      </c>
      <c r="B1250" s="97" t="s">
        <v>4334</v>
      </c>
      <c r="C1250" s="115" t="s">
        <v>4335</v>
      </c>
      <c r="D1250" s="181" t="s">
        <v>174</v>
      </c>
      <c r="E1250" s="181" t="s">
        <v>73</v>
      </c>
      <c r="F1250" s="181" t="s">
        <v>209</v>
      </c>
      <c r="G1250">
        <f>IF(getRGB1($C1250)="FFFFFF",0,1)+IF(getRGB1($D1250)="FFFFFF",0,2)+IF(getRGB1($E1250)="FFFFFF",0,3)+IF(getRGB1($F1250)="FFFFFF",0,4)</f>
        <v>1</v>
      </c>
    </row>
    <row r="1251" spans="1:7" ht="120">
      <c r="A1251" t="s">
        <v>6672</v>
      </c>
      <c r="B1251" s="97" t="s">
        <v>4336</v>
      </c>
      <c r="C1251" s="113" t="s">
        <v>4337</v>
      </c>
      <c r="D1251" s="113" t="s">
        <v>4338</v>
      </c>
      <c r="E1251" s="113" t="s">
        <v>4339</v>
      </c>
      <c r="F1251" s="115" t="s">
        <v>3313</v>
      </c>
      <c r="G1251">
        <f>IF(getRGB1($C1251)="FFFFFF",0,1)+IF(getRGB1($D1251)="FFFFFF",0,2)+IF(getRGB1($E1251)="FFFFFF",0,3)+IF(getRGB1($F1251)="FFFFFF",0,4)</f>
        <v>4</v>
      </c>
    </row>
    <row r="1252" spans="1:7" ht="60">
      <c r="A1252" t="s">
        <v>6672</v>
      </c>
      <c r="B1252" s="106" t="s">
        <v>4340</v>
      </c>
      <c r="C1252" s="113" t="s">
        <v>4341</v>
      </c>
      <c r="D1252" s="184" t="s">
        <v>4342</v>
      </c>
      <c r="E1252" s="181" t="s">
        <v>4343</v>
      </c>
      <c r="F1252" s="181" t="s">
        <v>209</v>
      </c>
      <c r="G1252">
        <f>IF(getRGB1($C1252)="FFFFFF",0,1)+IF(getRGB1($D1252)="FFFFFF",0,2)+IF(getRGB1($E1252)="FFFFFF",0,3)+IF(getRGB1($F1252)="FFFFFF",0,4)</f>
        <v>2</v>
      </c>
    </row>
    <row r="1253" spans="1:7" ht="30">
      <c r="A1253" t="s">
        <v>6672</v>
      </c>
      <c r="B1253" s="97" t="s">
        <v>4344</v>
      </c>
      <c r="C1253" s="115" t="s">
        <v>4345</v>
      </c>
      <c r="D1253" s="279" t="s">
        <v>4346</v>
      </c>
      <c r="E1253" s="113" t="s">
        <v>4347</v>
      </c>
      <c r="F1253" s="181" t="s">
        <v>2141</v>
      </c>
      <c r="G1253">
        <f>IF(getRGB1($C1253)="FFFFFF",0,1)+IF(getRGB1($D1253)="FFFFFF",0,2)+IF(getRGB1($E1253)="FFFFFF",0,3)+IF(getRGB1($F1253)="FFFFFF",0,4)</f>
        <v>1</v>
      </c>
    </row>
    <row r="1254" spans="1:7" ht="30">
      <c r="A1254" t="s">
        <v>6672</v>
      </c>
      <c r="B1254" s="106" t="s">
        <v>4348</v>
      </c>
      <c r="C1254" s="113">
        <v>20</v>
      </c>
      <c r="D1254" s="184">
        <v>25</v>
      </c>
      <c r="E1254" s="181">
        <v>30</v>
      </c>
      <c r="F1254" s="181" t="s">
        <v>209</v>
      </c>
      <c r="G1254">
        <f>IF(getRGB1($C1254)="FFFFFF",0,1)+IF(getRGB1($D1254)="FFFFFF",0,2)+IF(getRGB1($E1254)="FFFFFF",0,3)+IF(getRGB1($F1254)="FFFFFF",0,4)</f>
        <v>2</v>
      </c>
    </row>
    <row r="1255" spans="1:7" ht="90">
      <c r="A1255" t="s">
        <v>6672</v>
      </c>
      <c r="B1255" s="97" t="s">
        <v>4349</v>
      </c>
      <c r="C1255" s="113" t="s">
        <v>4350</v>
      </c>
      <c r="D1255" s="113" t="s">
        <v>4351</v>
      </c>
      <c r="E1255" s="113" t="s">
        <v>4352</v>
      </c>
      <c r="F1255" s="115" t="s">
        <v>3359</v>
      </c>
      <c r="G1255">
        <f>IF(getRGB1($C1255)="FFFFFF",0,1)+IF(getRGB1($D1255)="FFFFFF",0,2)+IF(getRGB1($E1255)="FFFFFF",0,3)+IF(getRGB1($F1255)="FFFFFF",0,4)</f>
        <v>4</v>
      </c>
    </row>
    <row r="1256" spans="1:7" ht="60">
      <c r="A1256" t="s">
        <v>6672</v>
      </c>
      <c r="B1256" s="97" t="s">
        <v>4353</v>
      </c>
      <c r="C1256" s="113" t="s">
        <v>73</v>
      </c>
      <c r="D1256" s="181" t="s">
        <v>4354</v>
      </c>
      <c r="E1256" s="113" t="s">
        <v>4355</v>
      </c>
      <c r="F1256" s="115" t="s">
        <v>3359</v>
      </c>
      <c r="G1256">
        <f>IF(getRGB1($C1256)="FFFFFF",0,1)+IF(getRGB1($D1256)="FFFFFF",0,2)+IF(getRGB1($E1256)="FFFFFF",0,3)+IF(getRGB1($F1256)="FFFFFF",0,4)</f>
        <v>4</v>
      </c>
    </row>
    <row r="1257" spans="1:7" ht="45">
      <c r="A1257" t="s">
        <v>6672</v>
      </c>
      <c r="B1257" s="106" t="s">
        <v>4356</v>
      </c>
      <c r="C1257" s="115" t="s">
        <v>4357</v>
      </c>
      <c r="D1257" s="181" t="s">
        <v>4358</v>
      </c>
      <c r="E1257" s="181" t="s">
        <v>4359</v>
      </c>
      <c r="F1257" s="181" t="s">
        <v>209</v>
      </c>
      <c r="G1257">
        <f>IF(getRGB1($C1257)="FFFFFF",0,1)+IF(getRGB1($D1257)="FFFFFF",0,2)+IF(getRGB1($E1257)="FFFFFF",0,3)+IF(getRGB1($F1257)="FFFFFF",0,4)</f>
        <v>1</v>
      </c>
    </row>
    <row r="1258" spans="1:7" ht="45">
      <c r="A1258" t="s">
        <v>6672</v>
      </c>
      <c r="B1258" s="106" t="s">
        <v>4360</v>
      </c>
      <c r="C1258" s="113">
        <v>20</v>
      </c>
      <c r="D1258" s="181">
        <v>25</v>
      </c>
      <c r="E1258" s="181">
        <v>30</v>
      </c>
      <c r="F1258" s="184">
        <v>35</v>
      </c>
      <c r="G1258">
        <f>IF(getRGB1($C1258)="FFFFFF",0,1)+IF(getRGB1($D1258)="FFFFFF",0,2)+IF(getRGB1($E1258)="FFFFFF",0,3)+IF(getRGB1($F1258)="FFFFFF",0,4)</f>
        <v>4</v>
      </c>
    </row>
    <row r="1259" spans="1:7" ht="30">
      <c r="A1259" t="s">
        <v>6672</v>
      </c>
      <c r="B1259" s="106" t="s">
        <v>4361</v>
      </c>
      <c r="C1259" s="113" t="s">
        <v>4362</v>
      </c>
      <c r="D1259" s="184" t="s">
        <v>4363</v>
      </c>
      <c r="E1259" s="181" t="s">
        <v>4364</v>
      </c>
      <c r="F1259" s="181" t="s">
        <v>209</v>
      </c>
      <c r="G1259">
        <f>IF(getRGB1($C1259)="FFFFFF",0,1)+IF(getRGB1($D1259)="FFFFFF",0,2)+IF(getRGB1($E1259)="FFFFFF",0,3)+IF(getRGB1($F1259)="FFFFFF",0,4)</f>
        <v>2</v>
      </c>
    </row>
    <row r="1260" spans="1:7" ht="60">
      <c r="A1260" t="s">
        <v>6672</v>
      </c>
      <c r="B1260" s="106" t="s">
        <v>4365</v>
      </c>
      <c r="C1260" s="115" t="s">
        <v>4366</v>
      </c>
      <c r="D1260" s="181" t="s">
        <v>73</v>
      </c>
      <c r="E1260" s="181" t="s">
        <v>177</v>
      </c>
      <c r="F1260" s="181" t="s">
        <v>179</v>
      </c>
      <c r="G1260">
        <f>IF(getRGB1($C1260)="FFFFFF",0,1)+IF(getRGB1($D1260)="FFFFFF",0,2)+IF(getRGB1($E1260)="FFFFFF",0,3)+IF(getRGB1($F1260)="FFFFFF",0,4)</f>
        <v>1</v>
      </c>
    </row>
    <row r="1261" spans="1:7">
      <c r="A1261" t="s">
        <v>6672</v>
      </c>
      <c r="B1261" s="280" t="s">
        <v>4367</v>
      </c>
      <c r="C1261" s="281">
        <v>62</v>
      </c>
      <c r="D1261" s="281">
        <v>63</v>
      </c>
      <c r="E1261" s="281">
        <v>61</v>
      </c>
      <c r="F1261" s="115">
        <v>14</v>
      </c>
      <c r="G1261">
        <f>IF(getRGB1($C1261)="FFFFFF",0,1)+IF(getRGB1($D1261)="FFFFFF",0,2)+IF(getRGB1($E1261)="FFFFFF",0,3)+IF(getRGB1($F1261)="FFFFFF",0,4)</f>
        <v>4</v>
      </c>
    </row>
    <row r="1262" spans="1:7">
      <c r="A1262" t="s">
        <v>6672</v>
      </c>
      <c r="B1262" s="187" t="s">
        <v>4368</v>
      </c>
      <c r="C1262" s="282" t="s">
        <v>4366</v>
      </c>
      <c r="D1262" s="283" t="s">
        <v>73</v>
      </c>
      <c r="E1262" s="283" t="s">
        <v>177</v>
      </c>
      <c r="F1262" s="283" t="s">
        <v>179</v>
      </c>
      <c r="G1262">
        <f>IF(getRGB1($C1262)="FFFFFF",0,1)+IF(getRGB1($D1262)="FFFFFF",0,2)+IF(getRGB1($E1262)="FFFFFF",0,3)+IF(getRGB1($F1262)="FFFFFF",0,4)</f>
        <v>1</v>
      </c>
    </row>
    <row r="1263" spans="1:7" ht="60">
      <c r="A1263" t="s">
        <v>6672</v>
      </c>
      <c r="B1263" s="106" t="s">
        <v>4369</v>
      </c>
      <c r="C1263" s="181" t="s">
        <v>177</v>
      </c>
      <c r="D1263" s="181" t="s">
        <v>4370</v>
      </c>
      <c r="E1263" s="107" t="s">
        <v>4371</v>
      </c>
      <c r="F1263" s="181" t="s">
        <v>179</v>
      </c>
      <c r="G1263">
        <f>IF(getRGB1($C1263)="FFFFFF",0,1)+IF(getRGB1($D1263)="FFFFFF",0,2)+IF(getRGB1($E1263)="FFFFFF",0,3)+IF(getRGB1($F1263)="FFFFFF",0,4)</f>
        <v>3</v>
      </c>
    </row>
    <row r="1264" spans="1:7" ht="36">
      <c r="A1264" t="s">
        <v>6673</v>
      </c>
      <c r="B1264" s="166" t="s">
        <v>4372</v>
      </c>
      <c r="C1264" s="279" t="s">
        <v>4373</v>
      </c>
      <c r="D1264" s="284" t="s">
        <v>4374</v>
      </c>
      <c r="E1264" s="279" t="s">
        <v>4375</v>
      </c>
      <c r="F1264" s="279" t="s">
        <v>4376</v>
      </c>
      <c r="G1264">
        <f>IF(getRGB1($C1264)="FFFFFF",0,1)+IF(getRGB1($D1264)="FFFFFF",0,2)+IF(getRGB1($E1264)="FFFFFF",0,3)+IF(getRGB1($F1264)="FFFFFF",0,4)</f>
        <v>2</v>
      </c>
    </row>
    <row r="1265" spans="1:7" ht="24">
      <c r="A1265" t="s">
        <v>6673</v>
      </c>
      <c r="B1265" s="166" t="s">
        <v>4377</v>
      </c>
      <c r="C1265" s="284" t="s">
        <v>4378</v>
      </c>
      <c r="D1265" s="279" t="s">
        <v>4379</v>
      </c>
      <c r="E1265" s="279" t="s">
        <v>4380</v>
      </c>
      <c r="F1265" s="279" t="s">
        <v>4381</v>
      </c>
      <c r="G1265">
        <f>IF(getRGB1($C1265)="FFFFFF",0,1)+IF(getRGB1($D1265)="FFFFFF",0,2)+IF(getRGB1($E1265)="FFFFFF",0,3)+IF(getRGB1($F1265)="FFFFFF",0,4)</f>
        <v>1</v>
      </c>
    </row>
    <row r="1266" spans="1:7" ht="36">
      <c r="A1266" t="s">
        <v>6673</v>
      </c>
      <c r="B1266" s="166" t="s">
        <v>4382</v>
      </c>
      <c r="C1266" s="284" t="s">
        <v>4383</v>
      </c>
      <c r="D1266" s="279" t="s">
        <v>4384</v>
      </c>
      <c r="E1266" s="279" t="s">
        <v>4385</v>
      </c>
      <c r="F1266" s="279" t="s">
        <v>4386</v>
      </c>
      <c r="G1266">
        <f>IF(getRGB1($C1266)="FFFFFF",0,1)+IF(getRGB1($D1266)="FFFFFF",0,2)+IF(getRGB1($E1266)="FFFFFF",0,3)+IF(getRGB1($F1266)="FFFFFF",0,4)</f>
        <v>1</v>
      </c>
    </row>
    <row r="1267" spans="1:7" ht="36">
      <c r="A1267" t="s">
        <v>6673</v>
      </c>
      <c r="B1267" s="166" t="s">
        <v>4387</v>
      </c>
      <c r="C1267" s="279" t="s">
        <v>4383</v>
      </c>
      <c r="D1267" s="284" t="s">
        <v>4384</v>
      </c>
      <c r="E1267" s="279" t="s">
        <v>4385</v>
      </c>
      <c r="F1267" s="279" t="s">
        <v>4388</v>
      </c>
      <c r="G1267">
        <f>IF(getRGB1($C1267)="FFFFFF",0,1)+IF(getRGB1($D1267)="FFFFFF",0,2)+IF(getRGB1($E1267)="FFFFFF",0,3)+IF(getRGB1($F1267)="FFFFFF",0,4)</f>
        <v>2</v>
      </c>
    </row>
    <row r="1268" spans="1:7" ht="36">
      <c r="A1268" t="s">
        <v>6673</v>
      </c>
      <c r="B1268" s="166" t="s">
        <v>4389</v>
      </c>
      <c r="C1268" s="279" t="s">
        <v>4383</v>
      </c>
      <c r="D1268" s="279" t="s">
        <v>4384</v>
      </c>
      <c r="E1268" s="284" t="s">
        <v>4385</v>
      </c>
      <c r="F1268" s="279" t="s">
        <v>4390</v>
      </c>
      <c r="G1268">
        <f>IF(getRGB1($C1268)="FFFFFF",0,1)+IF(getRGB1($D1268)="FFFFFF",0,2)+IF(getRGB1($E1268)="FFFFFF",0,3)+IF(getRGB1($F1268)="FFFFFF",0,4)</f>
        <v>3</v>
      </c>
    </row>
    <row r="1269" spans="1:7" ht="24">
      <c r="A1269" t="s">
        <v>6673</v>
      </c>
      <c r="B1269" s="166" t="s">
        <v>4391</v>
      </c>
      <c r="C1269" s="284" t="s">
        <v>4392</v>
      </c>
      <c r="D1269" s="279" t="s">
        <v>4393</v>
      </c>
      <c r="E1269" s="279" t="s">
        <v>4394</v>
      </c>
      <c r="F1269" s="279" t="s">
        <v>4388</v>
      </c>
      <c r="G1269">
        <f>IF(getRGB1($C1269)="FFFFFF",0,1)+IF(getRGB1($D1269)="FFFFFF",0,2)+IF(getRGB1($E1269)="FFFFFF",0,3)+IF(getRGB1($F1269)="FFFFFF",0,4)</f>
        <v>1</v>
      </c>
    </row>
    <row r="1270" spans="1:7">
      <c r="A1270" t="s">
        <v>6673</v>
      </c>
      <c r="B1270" s="166" t="s">
        <v>4395</v>
      </c>
      <c r="C1270" s="279" t="s">
        <v>4396</v>
      </c>
      <c r="D1270" s="279" t="s">
        <v>4397</v>
      </c>
      <c r="E1270" s="284" t="s">
        <v>2074</v>
      </c>
      <c r="F1270" s="279" t="s">
        <v>4388</v>
      </c>
      <c r="G1270">
        <f>IF(getRGB1($C1270)="FFFFFF",0,1)+IF(getRGB1($D1270)="FFFFFF",0,2)+IF(getRGB1($E1270)="FFFFFF",0,3)+IF(getRGB1($F1270)="FFFFFF",0,4)</f>
        <v>3</v>
      </c>
    </row>
    <row r="1271" spans="1:7" ht="45.75">
      <c r="A1271" t="s">
        <v>6674</v>
      </c>
      <c r="B1271" s="285" t="s">
        <v>4398</v>
      </c>
      <c r="C1271" s="286" t="s">
        <v>993</v>
      </c>
      <c r="D1271" s="287" t="s">
        <v>994</v>
      </c>
      <c r="E1271" s="287" t="s">
        <v>995</v>
      </c>
      <c r="F1271" s="287" t="s">
        <v>328</v>
      </c>
      <c r="G1271">
        <f>IF(getRGB1($C1271)="FFFFFF",0,1)+IF(getRGB1($D1271)="FFFFFF",0,2)+IF(getRGB1($E1271)="FFFFFF",0,3)+IF(getRGB1($F1271)="FFFFFF",0,4)</f>
        <v>1</v>
      </c>
    </row>
    <row r="1272" spans="1:7" ht="30.75">
      <c r="A1272" t="s">
        <v>6674</v>
      </c>
      <c r="B1272" s="285" t="s">
        <v>4399</v>
      </c>
      <c r="C1272" s="287" t="s">
        <v>4400</v>
      </c>
      <c r="D1272" s="286" t="s">
        <v>4401</v>
      </c>
      <c r="E1272" s="287"/>
      <c r="F1272" s="287"/>
      <c r="G1272">
        <f>IF(getRGB1($C1272)="FFFFFF",0,1)+IF(getRGB1($D1272)="FFFFFF",0,2)+IF(getRGB1($E1272)="FFFFFF",0,3)+IF(getRGB1($F1272)="FFFFFF",0,4)</f>
        <v>2</v>
      </c>
    </row>
    <row r="1273" spans="1:7" ht="32.25">
      <c r="A1273" t="s">
        <v>6674</v>
      </c>
      <c r="B1273" s="285" t="s">
        <v>4402</v>
      </c>
      <c r="C1273" s="286" t="s">
        <v>4403</v>
      </c>
      <c r="D1273" s="287" t="s">
        <v>4404</v>
      </c>
      <c r="E1273" s="287" t="s">
        <v>4405</v>
      </c>
      <c r="F1273" s="287" t="s">
        <v>4406</v>
      </c>
      <c r="G1273">
        <f>IF(getRGB1($C1273)="FFFFFF",0,1)+IF(getRGB1($D1273)="FFFFFF",0,2)+IF(getRGB1($E1273)="FFFFFF",0,3)+IF(getRGB1($F1273)="FFFFFF",0,4)</f>
        <v>1</v>
      </c>
    </row>
    <row r="1274" spans="1:7" ht="60.75">
      <c r="A1274" t="s">
        <v>6674</v>
      </c>
      <c r="B1274" s="285" t="s">
        <v>4407</v>
      </c>
      <c r="C1274" s="287" t="s">
        <v>4408</v>
      </c>
      <c r="D1274" s="287" t="s">
        <v>4409</v>
      </c>
      <c r="E1274" s="287" t="s">
        <v>4410</v>
      </c>
      <c r="F1274" s="286" t="s">
        <v>4411</v>
      </c>
      <c r="G1274">
        <f>IF(getRGB1($C1274)="FFFFFF",0,1)+IF(getRGB1($D1274)="FFFFFF",0,2)+IF(getRGB1($E1274)="FFFFFF",0,3)+IF(getRGB1($F1274)="FFFFFF",0,4)</f>
        <v>4</v>
      </c>
    </row>
    <row r="1275" spans="1:7" ht="45.75">
      <c r="A1275" t="s">
        <v>6674</v>
      </c>
      <c r="B1275" s="285" t="s">
        <v>4412</v>
      </c>
      <c r="C1275" s="286" t="s">
        <v>4413</v>
      </c>
      <c r="D1275" s="287" t="s">
        <v>4414</v>
      </c>
      <c r="E1275" s="287" t="s">
        <v>4415</v>
      </c>
      <c r="F1275" s="287" t="s">
        <v>4416</v>
      </c>
      <c r="G1275">
        <f>IF(getRGB1($C1275)="FFFFFF",0,1)+IF(getRGB1($D1275)="FFFFFF",0,2)+IF(getRGB1($E1275)="FFFFFF",0,3)+IF(getRGB1($F1275)="FFFFFF",0,4)</f>
        <v>1</v>
      </c>
    </row>
    <row r="1276" spans="1:7" ht="15.75">
      <c r="A1276" t="s">
        <v>6674</v>
      </c>
      <c r="B1276" s="285" t="s">
        <v>4417</v>
      </c>
      <c r="C1276" s="288">
        <v>0.8</v>
      </c>
      <c r="D1276" s="289">
        <v>0.75</v>
      </c>
      <c r="E1276" s="288">
        <v>0.85</v>
      </c>
      <c r="F1276" s="288">
        <v>0.6</v>
      </c>
      <c r="G1276">
        <f>IF(getRGB1($C1276)="FFFFFF",0,1)+IF(getRGB1($D1276)="FFFFFF",0,2)+IF(getRGB1($E1276)="FFFFFF",0,3)+IF(getRGB1($F1276)="FFFFFF",0,4)</f>
        <v>2</v>
      </c>
    </row>
    <row r="1277" spans="1:7" ht="30.75">
      <c r="A1277" t="s">
        <v>6674</v>
      </c>
      <c r="B1277" s="285" t="s">
        <v>4418</v>
      </c>
      <c r="C1277" s="287" t="s">
        <v>4419</v>
      </c>
      <c r="D1277" s="287" t="s">
        <v>4420</v>
      </c>
      <c r="E1277" s="286" t="s">
        <v>3406</v>
      </c>
      <c r="F1277" s="287" t="s">
        <v>4421</v>
      </c>
      <c r="G1277">
        <f>IF(getRGB1($C1277)="FFFFFF",0,1)+IF(getRGB1($D1277)="FFFFFF",0,2)+IF(getRGB1($E1277)="FFFFFF",0,3)+IF(getRGB1($F1277)="FFFFFF",0,4)</f>
        <v>3</v>
      </c>
    </row>
    <row r="1278" spans="1:7" ht="45.75">
      <c r="A1278" t="s">
        <v>6674</v>
      </c>
      <c r="B1278" s="285" t="s">
        <v>4422</v>
      </c>
      <c r="C1278" s="287" t="s">
        <v>4423</v>
      </c>
      <c r="D1278" s="287" t="s">
        <v>4424</v>
      </c>
      <c r="E1278" s="287" t="s">
        <v>4425</v>
      </c>
      <c r="F1278" s="286" t="s">
        <v>4426</v>
      </c>
      <c r="G1278">
        <f>IF(getRGB1($C1278)="FFFFFF",0,1)+IF(getRGB1($D1278)="FFFFFF",0,2)+IF(getRGB1($E1278)="FFFFFF",0,3)+IF(getRGB1($F1278)="FFFFFF",0,4)</f>
        <v>4</v>
      </c>
    </row>
    <row r="1279" spans="1:7" ht="15.75">
      <c r="A1279" t="s">
        <v>6674</v>
      </c>
      <c r="B1279" s="285" t="s">
        <v>4427</v>
      </c>
      <c r="C1279" s="287" t="s">
        <v>4428</v>
      </c>
      <c r="D1279" s="287" t="s">
        <v>4429</v>
      </c>
      <c r="E1279" s="287" t="s">
        <v>4430</v>
      </c>
      <c r="F1279" s="286" t="s">
        <v>4431</v>
      </c>
      <c r="G1279">
        <f>IF(getRGB1($C1279)="FFFFFF",0,1)+IF(getRGB1($D1279)="FFFFFF",0,2)+IF(getRGB1($E1279)="FFFFFF",0,3)+IF(getRGB1($F1279)="FFFFFF",0,4)</f>
        <v>4</v>
      </c>
    </row>
    <row r="1280" spans="1:7" ht="30.75">
      <c r="A1280" t="s">
        <v>6674</v>
      </c>
      <c r="B1280" s="285" t="s">
        <v>4432</v>
      </c>
      <c r="C1280" s="286" t="s">
        <v>4433</v>
      </c>
      <c r="D1280" s="287" t="s">
        <v>4400</v>
      </c>
      <c r="E1280" s="287" t="s">
        <v>4434</v>
      </c>
      <c r="F1280" s="287" t="s">
        <v>4435</v>
      </c>
      <c r="G1280">
        <f>IF(getRGB1($C1280)="FFFFFF",0,1)+IF(getRGB1($D1280)="FFFFFF",0,2)+IF(getRGB1($E1280)="FFFFFF",0,3)+IF(getRGB1($F1280)="FFFFFF",0,4)</f>
        <v>1</v>
      </c>
    </row>
    <row r="1281" spans="1:7" ht="30.75">
      <c r="A1281" t="s">
        <v>6674</v>
      </c>
      <c r="B1281" s="285" t="s">
        <v>4436</v>
      </c>
      <c r="C1281" s="287" t="s">
        <v>4437</v>
      </c>
      <c r="D1281" s="287" t="s">
        <v>4438</v>
      </c>
      <c r="E1281" s="286" t="s">
        <v>4439</v>
      </c>
      <c r="F1281" s="287" t="s">
        <v>4440</v>
      </c>
      <c r="G1281">
        <f>IF(getRGB1($C1281)="FFFFFF",0,1)+IF(getRGB1($D1281)="FFFFFF",0,2)+IF(getRGB1($E1281)="FFFFFF",0,3)+IF(getRGB1($F1281)="FFFFFF",0,4)</f>
        <v>3</v>
      </c>
    </row>
    <row r="1282" spans="1:7" ht="30.75">
      <c r="A1282" t="s">
        <v>6674</v>
      </c>
      <c r="B1282" s="285" t="s">
        <v>4441</v>
      </c>
      <c r="C1282" s="287" t="s">
        <v>4420</v>
      </c>
      <c r="D1282" s="286" t="s">
        <v>4423</v>
      </c>
      <c r="E1282" s="287" t="s">
        <v>1230</v>
      </c>
      <c r="F1282" s="287" t="s">
        <v>4421</v>
      </c>
      <c r="G1282">
        <f>IF(getRGB1($C1282)="FFFFFF",0,1)+IF(getRGB1($D1282)="FFFFFF",0,2)+IF(getRGB1($E1282)="FFFFFF",0,3)+IF(getRGB1($F1282)="FFFFFF",0,4)</f>
        <v>2</v>
      </c>
    </row>
    <row r="1283" spans="1:7" ht="15.75">
      <c r="A1283" t="s">
        <v>6674</v>
      </c>
      <c r="B1283" s="285" t="s">
        <v>4442</v>
      </c>
      <c r="C1283" s="286" t="s">
        <v>2480</v>
      </c>
      <c r="D1283" s="287" t="s">
        <v>2120</v>
      </c>
      <c r="E1283" s="287" t="s">
        <v>2121</v>
      </c>
      <c r="F1283" s="287" t="s">
        <v>328</v>
      </c>
      <c r="G1283">
        <f>IF(getRGB1($C1283)="FFFFFF",0,1)+IF(getRGB1($D1283)="FFFFFF",0,2)+IF(getRGB1($E1283)="FFFFFF",0,3)+IF(getRGB1($F1283)="FFFFFF",0,4)</f>
        <v>1</v>
      </c>
    </row>
    <row r="1284" spans="1:7" ht="15.75">
      <c r="A1284" t="s">
        <v>6674</v>
      </c>
      <c r="B1284" s="285" t="s">
        <v>4443</v>
      </c>
      <c r="C1284" s="286" t="s">
        <v>2480</v>
      </c>
      <c r="D1284" s="287" t="s">
        <v>2120</v>
      </c>
      <c r="E1284" s="287" t="s">
        <v>2121</v>
      </c>
      <c r="F1284" s="287" t="s">
        <v>328</v>
      </c>
      <c r="G1284">
        <f>IF(getRGB1($C1284)="FFFFFF",0,1)+IF(getRGB1($D1284)="FFFFFF",0,2)+IF(getRGB1($E1284)="FFFFFF",0,3)+IF(getRGB1($F1284)="FFFFFF",0,4)</f>
        <v>1</v>
      </c>
    </row>
    <row r="1285" spans="1:7" ht="15.75">
      <c r="A1285" t="s">
        <v>6674</v>
      </c>
      <c r="B1285" s="285" t="s">
        <v>4444</v>
      </c>
      <c r="C1285" s="286" t="s">
        <v>2480</v>
      </c>
      <c r="D1285" s="287" t="s">
        <v>2120</v>
      </c>
      <c r="E1285" s="287" t="s">
        <v>2121</v>
      </c>
      <c r="F1285" s="287" t="s">
        <v>328</v>
      </c>
      <c r="G1285">
        <f>IF(getRGB1($C1285)="FFFFFF",0,1)+IF(getRGB1($D1285)="FFFFFF",0,2)+IF(getRGB1($E1285)="FFFFFF",0,3)+IF(getRGB1($F1285)="FFFFFF",0,4)</f>
        <v>1</v>
      </c>
    </row>
    <row r="1286" spans="1:7" ht="15.75">
      <c r="A1286" t="s">
        <v>6674</v>
      </c>
      <c r="B1286" s="285" t="s">
        <v>4445</v>
      </c>
      <c r="C1286" s="286" t="s">
        <v>2480</v>
      </c>
      <c r="D1286" s="287" t="s">
        <v>2120</v>
      </c>
      <c r="E1286" s="287" t="s">
        <v>2121</v>
      </c>
      <c r="F1286" s="287" t="s">
        <v>328</v>
      </c>
      <c r="G1286">
        <f>IF(getRGB1($C1286)="FFFFFF",0,1)+IF(getRGB1($D1286)="FFFFFF",0,2)+IF(getRGB1($E1286)="FFFFFF",0,3)+IF(getRGB1($F1286)="FFFFFF",0,4)</f>
        <v>1</v>
      </c>
    </row>
    <row r="1287" spans="1:7" ht="15.75">
      <c r="A1287" t="s">
        <v>6674</v>
      </c>
      <c r="B1287" s="285" t="s">
        <v>4446</v>
      </c>
      <c r="C1287" s="287" t="s">
        <v>2480</v>
      </c>
      <c r="D1287" s="286" t="s">
        <v>2120</v>
      </c>
      <c r="E1287" s="287" t="s">
        <v>2121</v>
      </c>
      <c r="F1287" s="287" t="s">
        <v>328</v>
      </c>
      <c r="G1287">
        <f>IF(getRGB1($C1287)="FFFFFF",0,1)+IF(getRGB1($D1287)="FFFFFF",0,2)+IF(getRGB1($E1287)="FFFFFF",0,3)+IF(getRGB1($F1287)="FFFFFF",0,4)</f>
        <v>2</v>
      </c>
    </row>
    <row r="1288" spans="1:7" ht="15.75">
      <c r="A1288" t="s">
        <v>6674</v>
      </c>
      <c r="B1288" s="285" t="s">
        <v>4447</v>
      </c>
      <c r="C1288" s="287" t="s">
        <v>2480</v>
      </c>
      <c r="D1288" s="286" t="s">
        <v>2120</v>
      </c>
      <c r="E1288" s="287" t="s">
        <v>2121</v>
      </c>
      <c r="F1288" s="287" t="s">
        <v>328</v>
      </c>
      <c r="G1288">
        <f>IF(getRGB1($C1288)="FFFFFF",0,1)+IF(getRGB1($D1288)="FFFFFF",0,2)+IF(getRGB1($E1288)="FFFFFF",0,3)+IF(getRGB1($F1288)="FFFFFF",0,4)</f>
        <v>2</v>
      </c>
    </row>
    <row r="1289" spans="1:7" ht="15.75">
      <c r="A1289" t="s">
        <v>6674</v>
      </c>
      <c r="B1289" s="285" t="s">
        <v>4448</v>
      </c>
      <c r="C1289" s="287" t="s">
        <v>2480</v>
      </c>
      <c r="D1289" s="287" t="s">
        <v>2120</v>
      </c>
      <c r="E1289" s="286" t="s">
        <v>2121</v>
      </c>
      <c r="F1289" s="287" t="s">
        <v>328</v>
      </c>
      <c r="G1289">
        <f>IF(getRGB1($C1289)="FFFFFF",0,1)+IF(getRGB1($D1289)="FFFFFF",0,2)+IF(getRGB1($E1289)="FFFFFF",0,3)+IF(getRGB1($F1289)="FFFFFF",0,4)</f>
        <v>3</v>
      </c>
    </row>
    <row r="1290" spans="1:7" ht="45">
      <c r="A1290" t="s">
        <v>6674</v>
      </c>
      <c r="B1290" s="290" t="s">
        <v>4449</v>
      </c>
      <c r="C1290" s="291">
        <v>0.15</v>
      </c>
      <c r="D1290" s="292">
        <v>0.2</v>
      </c>
      <c r="E1290" s="292">
        <v>0.1</v>
      </c>
      <c r="F1290" s="292">
        <v>0.12</v>
      </c>
      <c r="G1290">
        <f>IF(getRGB1($C1290)="FFFFFF",0,1)+IF(getRGB1($D1290)="FFFFFF",0,2)+IF(getRGB1($E1290)="FFFFFF",0,3)+IF(getRGB1($F1290)="FFFFFF",0,4)</f>
        <v>1</v>
      </c>
    </row>
    <row r="1291" spans="1:7" ht="30.75">
      <c r="A1291" t="s">
        <v>6674</v>
      </c>
      <c r="B1291" s="285" t="s">
        <v>4450</v>
      </c>
      <c r="C1291" s="286" t="s">
        <v>4451</v>
      </c>
      <c r="D1291" s="287" t="s">
        <v>4452</v>
      </c>
      <c r="E1291" s="287" t="s">
        <v>4453</v>
      </c>
      <c r="F1291" s="287" t="s">
        <v>328</v>
      </c>
      <c r="G1291">
        <f>IF(getRGB1($C1291)="FFFFFF",0,1)+IF(getRGB1($D1291)="FFFFFF",0,2)+IF(getRGB1($E1291)="FFFFFF",0,3)+IF(getRGB1($F1291)="FFFFFF",0,4)</f>
        <v>1</v>
      </c>
    </row>
    <row r="1292" spans="1:7" ht="45.75">
      <c r="A1292" t="s">
        <v>6674</v>
      </c>
      <c r="B1292" s="285" t="s">
        <v>4454</v>
      </c>
      <c r="C1292" s="287" t="s">
        <v>2480</v>
      </c>
      <c r="D1292" s="286" t="s">
        <v>4455</v>
      </c>
      <c r="E1292" s="287" t="s">
        <v>2120</v>
      </c>
      <c r="F1292" s="287" t="s">
        <v>2121</v>
      </c>
      <c r="G1292">
        <f>IF(getRGB1($C1292)="FFFFFF",0,1)+IF(getRGB1($D1292)="FFFFFF",0,2)+IF(getRGB1($E1292)="FFFFFF",0,3)+IF(getRGB1($F1292)="FFFFFF",0,4)</f>
        <v>2</v>
      </c>
    </row>
    <row r="1293" spans="1:7" ht="15.75">
      <c r="A1293" t="s">
        <v>6674</v>
      </c>
      <c r="B1293" s="285" t="s">
        <v>4456</v>
      </c>
      <c r="C1293" s="286" t="s">
        <v>2480</v>
      </c>
      <c r="D1293" s="287" t="s">
        <v>4455</v>
      </c>
      <c r="E1293" s="287" t="s">
        <v>2120</v>
      </c>
      <c r="F1293" s="287" t="s">
        <v>2121</v>
      </c>
      <c r="G1293">
        <f>IF(getRGB1($C1293)="FFFFFF",0,1)+IF(getRGB1($D1293)="FFFFFF",0,2)+IF(getRGB1($E1293)="FFFFFF",0,3)+IF(getRGB1($F1293)="FFFFFF",0,4)</f>
        <v>1</v>
      </c>
    </row>
    <row r="1294" spans="1:7" ht="15.75">
      <c r="A1294" t="s">
        <v>6674</v>
      </c>
      <c r="B1294" s="285" t="s">
        <v>4457</v>
      </c>
      <c r="C1294" s="287" t="s">
        <v>4455</v>
      </c>
      <c r="D1294" s="286" t="s">
        <v>2480</v>
      </c>
      <c r="E1294" s="287" t="s">
        <v>2120</v>
      </c>
      <c r="F1294" s="287" t="s">
        <v>2121</v>
      </c>
      <c r="G1294">
        <f>IF(getRGB1($C1294)="FFFFFF",0,1)+IF(getRGB1($D1294)="FFFFFF",0,2)+IF(getRGB1($E1294)="FFFFFF",0,3)+IF(getRGB1($F1294)="FFFFFF",0,4)</f>
        <v>2</v>
      </c>
    </row>
    <row r="1295" spans="1:7" ht="15.75">
      <c r="A1295" t="s">
        <v>6674</v>
      </c>
      <c r="B1295" s="285" t="s">
        <v>4458</v>
      </c>
      <c r="C1295" s="287" t="s">
        <v>4455</v>
      </c>
      <c r="D1295" s="287" t="s">
        <v>2480</v>
      </c>
      <c r="E1295" s="286" t="s">
        <v>2120</v>
      </c>
      <c r="F1295" s="287" t="s">
        <v>2121</v>
      </c>
      <c r="G1295">
        <f>IF(getRGB1($C1295)="FFFFFF",0,1)+IF(getRGB1($D1295)="FFFFFF",0,2)+IF(getRGB1($E1295)="FFFFFF",0,3)+IF(getRGB1($F1295)="FFFFFF",0,4)</f>
        <v>3</v>
      </c>
    </row>
    <row r="1296" spans="1:7" ht="15.75">
      <c r="A1296" t="s">
        <v>6674</v>
      </c>
      <c r="B1296" s="285" t="s">
        <v>4459</v>
      </c>
      <c r="C1296" s="287" t="s">
        <v>4455</v>
      </c>
      <c r="D1296" s="287" t="s">
        <v>2480</v>
      </c>
      <c r="E1296" s="287" t="s">
        <v>2120</v>
      </c>
      <c r="F1296" s="286" t="s">
        <v>2121</v>
      </c>
      <c r="G1296">
        <f>IF(getRGB1($C1296)="FFFFFF",0,1)+IF(getRGB1($D1296)="FFFFFF",0,2)+IF(getRGB1($E1296)="FFFFFF",0,3)+IF(getRGB1($F1296)="FFFFFF",0,4)</f>
        <v>4</v>
      </c>
    </row>
    <row r="1297" spans="1:7" ht="30.75">
      <c r="A1297" t="s">
        <v>6674</v>
      </c>
      <c r="B1297" s="285" t="s">
        <v>4460</v>
      </c>
      <c r="C1297" s="287" t="s">
        <v>2339</v>
      </c>
      <c r="D1297" s="287" t="s">
        <v>4461</v>
      </c>
      <c r="E1297" s="286" t="s">
        <v>4462</v>
      </c>
      <c r="F1297" s="287" t="s">
        <v>4431</v>
      </c>
      <c r="G1297">
        <f>IF(getRGB1($C1297)="FFFFFF",0,1)+IF(getRGB1($D1297)="FFFFFF",0,2)+IF(getRGB1($E1297)="FFFFFF",0,3)+IF(getRGB1($F1297)="FFFFFF",0,4)</f>
        <v>3</v>
      </c>
    </row>
    <row r="1298" spans="1:7" ht="45.75">
      <c r="A1298" t="s">
        <v>6674</v>
      </c>
      <c r="B1298" s="285" t="s">
        <v>4463</v>
      </c>
      <c r="C1298" s="286" t="s">
        <v>4464</v>
      </c>
      <c r="D1298" s="287" t="s">
        <v>4465</v>
      </c>
      <c r="E1298" s="287"/>
      <c r="F1298" s="287"/>
      <c r="G1298">
        <f>IF(getRGB1($C1298)="FFFFFF",0,1)+IF(getRGB1($D1298)="FFFFFF",0,2)+IF(getRGB1($E1298)="FFFFFF",0,3)+IF(getRGB1($F1298)="FFFFFF",0,4)</f>
        <v>1</v>
      </c>
    </row>
    <row r="1299" spans="1:7" ht="45.75">
      <c r="A1299" t="s">
        <v>6674</v>
      </c>
      <c r="B1299" s="285" t="s">
        <v>4466</v>
      </c>
      <c r="C1299" s="287" t="s">
        <v>4464</v>
      </c>
      <c r="D1299" s="286" t="s">
        <v>4465</v>
      </c>
      <c r="E1299" s="287"/>
      <c r="F1299" s="287"/>
      <c r="G1299">
        <f>IF(getRGB1($C1299)="FFFFFF",0,1)+IF(getRGB1($D1299)="FFFFFF",0,2)+IF(getRGB1($E1299)="FFFFFF",0,3)+IF(getRGB1($F1299)="FFFFFF",0,4)</f>
        <v>2</v>
      </c>
    </row>
    <row r="1300" spans="1:7" ht="15.75">
      <c r="A1300" t="s">
        <v>6674</v>
      </c>
      <c r="B1300" s="285" t="s">
        <v>4467</v>
      </c>
      <c r="C1300" s="286" t="s">
        <v>4468</v>
      </c>
      <c r="D1300" s="287" t="s">
        <v>4469</v>
      </c>
      <c r="E1300" s="287" t="s">
        <v>4470</v>
      </c>
      <c r="F1300" s="287" t="s">
        <v>4471</v>
      </c>
      <c r="G1300">
        <f>IF(getRGB1($C1300)="FFFFFF",0,1)+IF(getRGB1($D1300)="FFFFFF",0,2)+IF(getRGB1($E1300)="FFFFFF",0,3)+IF(getRGB1($F1300)="FFFFFF",0,4)</f>
        <v>1</v>
      </c>
    </row>
    <row r="1301" spans="1:7" ht="15.75">
      <c r="A1301" t="s">
        <v>6674</v>
      </c>
      <c r="B1301" s="285" t="s">
        <v>4472</v>
      </c>
      <c r="C1301" s="287" t="s">
        <v>4468</v>
      </c>
      <c r="D1301" s="286" t="s">
        <v>4469</v>
      </c>
      <c r="E1301" s="287" t="s">
        <v>4470</v>
      </c>
      <c r="F1301" s="287" t="s">
        <v>4471</v>
      </c>
      <c r="G1301">
        <f>IF(getRGB1($C1301)="FFFFFF",0,1)+IF(getRGB1($D1301)="FFFFFF",0,2)+IF(getRGB1($E1301)="FFFFFF",0,3)+IF(getRGB1($F1301)="FFFFFF",0,4)</f>
        <v>2</v>
      </c>
    </row>
    <row r="1302" spans="1:7" ht="75.75">
      <c r="A1302" t="s">
        <v>6674</v>
      </c>
      <c r="B1302" s="285" t="s">
        <v>4473</v>
      </c>
      <c r="C1302" s="286" t="s">
        <v>4474</v>
      </c>
      <c r="D1302" s="287" t="s">
        <v>4475</v>
      </c>
      <c r="E1302" s="287" t="s">
        <v>4476</v>
      </c>
      <c r="F1302" s="287" t="s">
        <v>4477</v>
      </c>
      <c r="G1302">
        <f>IF(getRGB1($C1302)="FFFFFF",0,1)+IF(getRGB1($D1302)="FFFFFF",0,2)+IF(getRGB1($E1302)="FFFFFF",0,3)+IF(getRGB1($F1302)="FFFFFF",0,4)</f>
        <v>1</v>
      </c>
    </row>
    <row r="1303" spans="1:7" ht="75.75">
      <c r="A1303" t="s">
        <v>6674</v>
      </c>
      <c r="B1303" s="285" t="s">
        <v>4478</v>
      </c>
      <c r="C1303" s="287" t="s">
        <v>4475</v>
      </c>
      <c r="D1303" s="287" t="s">
        <v>4479</v>
      </c>
      <c r="E1303" s="287" t="s">
        <v>4476</v>
      </c>
      <c r="F1303" s="286" t="s">
        <v>3313</v>
      </c>
      <c r="G1303">
        <f>IF(getRGB1($C1303)="FFFFFF",0,1)+IF(getRGB1($D1303)="FFFFFF",0,2)+IF(getRGB1($E1303)="FFFFFF",0,3)+IF(getRGB1($F1303)="FFFFFF",0,4)</f>
        <v>4</v>
      </c>
    </row>
    <row r="1304" spans="1:7" ht="60.75">
      <c r="A1304" t="s">
        <v>6674</v>
      </c>
      <c r="B1304" s="293" t="s">
        <v>4480</v>
      </c>
      <c r="C1304" s="294" t="s">
        <v>4475</v>
      </c>
      <c r="D1304" s="295" t="s">
        <v>4481</v>
      </c>
      <c r="E1304" s="295"/>
      <c r="F1304" s="295"/>
      <c r="G1304">
        <f>IF(getRGB1($C1304)="FFFFFF",0,1)+IF(getRGB1($D1304)="FFFFFF",0,2)+IF(getRGB1($E1304)="FFFFFF",0,3)+IF(getRGB1($F1304)="FFFFFF",0,4)</f>
        <v>1</v>
      </c>
    </row>
    <row r="1305" spans="1:7" ht="45.75">
      <c r="A1305" t="s">
        <v>6674</v>
      </c>
      <c r="B1305" s="285" t="s">
        <v>4482</v>
      </c>
      <c r="C1305" s="287" t="s">
        <v>4483</v>
      </c>
      <c r="D1305" s="287" t="s">
        <v>4484</v>
      </c>
      <c r="E1305" s="287" t="s">
        <v>4485</v>
      </c>
      <c r="F1305" s="286" t="s">
        <v>4426</v>
      </c>
      <c r="G1305">
        <f>IF(getRGB1($C1305)="FFFFFF",0,1)+IF(getRGB1($D1305)="FFFFFF",0,2)+IF(getRGB1($E1305)="FFFFFF",0,3)+IF(getRGB1($F1305)="FFFFFF",0,4)</f>
        <v>4</v>
      </c>
    </row>
    <row r="1306" spans="1:7" ht="15.75">
      <c r="A1306" t="s">
        <v>6674</v>
      </c>
      <c r="B1306" s="285" t="s">
        <v>4486</v>
      </c>
      <c r="C1306" s="296" t="s">
        <v>1086</v>
      </c>
      <c r="D1306" s="297" t="s">
        <v>1168</v>
      </c>
      <c r="E1306" s="297" t="s">
        <v>1085</v>
      </c>
      <c r="F1306" s="297" t="s">
        <v>2336</v>
      </c>
      <c r="G1306">
        <f>IF(getRGB1($C1306)="FFFFFF",0,1)+IF(getRGB1($D1306)="FFFFFF",0,2)+IF(getRGB1($E1306)="FFFFFF",0,3)+IF(getRGB1($F1306)="FFFFFF",0,4)</f>
        <v>1</v>
      </c>
    </row>
    <row r="1307" spans="1:7" ht="30.75">
      <c r="A1307" t="s">
        <v>6674</v>
      </c>
      <c r="B1307" s="285" t="s">
        <v>4487</v>
      </c>
      <c r="C1307" s="287" t="s">
        <v>4488</v>
      </c>
      <c r="D1307" s="286" t="s">
        <v>4489</v>
      </c>
      <c r="E1307" s="287" t="s">
        <v>4490</v>
      </c>
      <c r="F1307" s="287" t="s">
        <v>318</v>
      </c>
      <c r="G1307">
        <f>IF(getRGB1($C1307)="FFFFFF",0,1)+IF(getRGB1($D1307)="FFFFFF",0,2)+IF(getRGB1($E1307)="FFFFFF",0,3)+IF(getRGB1($F1307)="FFFFFF",0,4)</f>
        <v>2</v>
      </c>
    </row>
    <row r="1308" spans="1:7" ht="30.75">
      <c r="A1308" t="s">
        <v>6674</v>
      </c>
      <c r="B1308" s="285" t="s">
        <v>4491</v>
      </c>
      <c r="C1308" s="287" t="s">
        <v>4488</v>
      </c>
      <c r="D1308" s="287" t="s">
        <v>4489</v>
      </c>
      <c r="E1308" s="286" t="s">
        <v>4492</v>
      </c>
      <c r="F1308" s="287" t="s">
        <v>318</v>
      </c>
      <c r="G1308">
        <f>IF(getRGB1($C1308)="FFFFFF",0,1)+IF(getRGB1($D1308)="FFFFFF",0,2)+IF(getRGB1($E1308)="FFFFFF",0,3)+IF(getRGB1($F1308)="FFFFFF",0,4)</f>
        <v>3</v>
      </c>
    </row>
    <row r="1309" spans="1:7" ht="45.75">
      <c r="A1309" t="s">
        <v>6674</v>
      </c>
      <c r="B1309" s="285" t="s">
        <v>4493</v>
      </c>
      <c r="C1309" s="286" t="s">
        <v>4494</v>
      </c>
      <c r="D1309" s="287" t="s">
        <v>4495</v>
      </c>
      <c r="E1309" s="287" t="s">
        <v>4496</v>
      </c>
      <c r="F1309" s="287" t="s">
        <v>4497</v>
      </c>
      <c r="G1309">
        <f>IF(getRGB1($C1309)="FFFFFF",0,1)+IF(getRGB1($D1309)="FFFFFF",0,2)+IF(getRGB1($E1309)="FFFFFF",0,3)+IF(getRGB1($F1309)="FFFFFF",0,4)</f>
        <v>1</v>
      </c>
    </row>
    <row r="1310" spans="1:7" ht="30.75">
      <c r="A1310" t="s">
        <v>6674</v>
      </c>
      <c r="B1310" s="285" t="s">
        <v>4498</v>
      </c>
      <c r="C1310" s="287" t="s">
        <v>2122</v>
      </c>
      <c r="D1310" s="286" t="s">
        <v>4471</v>
      </c>
      <c r="E1310" s="287" t="s">
        <v>4499</v>
      </c>
      <c r="F1310" s="287" t="s">
        <v>4500</v>
      </c>
      <c r="G1310">
        <f>IF(getRGB1($C1310)="FFFFFF",0,1)+IF(getRGB1($D1310)="FFFFFF",0,2)+IF(getRGB1($E1310)="FFFFFF",0,3)+IF(getRGB1($F1310)="FFFFFF",0,4)</f>
        <v>2</v>
      </c>
    </row>
    <row r="1311" spans="1:7" ht="45.75">
      <c r="A1311" t="s">
        <v>6674</v>
      </c>
      <c r="B1311" s="285" t="s">
        <v>4501</v>
      </c>
      <c r="C1311" s="286" t="s">
        <v>4502</v>
      </c>
      <c r="D1311" s="287" t="s">
        <v>4503</v>
      </c>
      <c r="E1311" s="287" t="s">
        <v>4504</v>
      </c>
      <c r="F1311" s="287" t="s">
        <v>4505</v>
      </c>
      <c r="G1311">
        <f>IF(getRGB1($C1311)="FFFFFF",0,1)+IF(getRGB1($D1311)="FFFFFF",0,2)+IF(getRGB1($E1311)="FFFFFF",0,3)+IF(getRGB1($F1311)="FFFFFF",0,4)</f>
        <v>1</v>
      </c>
    </row>
    <row r="1312" spans="1:7" ht="30.75">
      <c r="A1312" t="s">
        <v>6674</v>
      </c>
      <c r="B1312" s="285" t="s">
        <v>4506</v>
      </c>
      <c r="C1312" s="288">
        <v>0.85</v>
      </c>
      <c r="D1312" s="288">
        <v>0.95</v>
      </c>
      <c r="E1312" s="289">
        <v>0.9</v>
      </c>
      <c r="F1312" s="288">
        <v>1</v>
      </c>
      <c r="G1312">
        <f>IF(getRGB1($C1312)="FFFFFF",0,1)+IF(getRGB1($D1312)="FFFFFF",0,2)+IF(getRGB1($E1312)="FFFFFF",0,3)+IF(getRGB1($F1312)="FFFFFF",0,4)</f>
        <v>3</v>
      </c>
    </row>
    <row r="1313" spans="1:7" ht="15.75">
      <c r="A1313" t="s">
        <v>6674</v>
      </c>
      <c r="B1313" s="285" t="s">
        <v>4507</v>
      </c>
      <c r="C1313" s="298">
        <v>5.28E-2</v>
      </c>
      <c r="D1313" s="299">
        <v>6.2799999999999995E-2</v>
      </c>
      <c r="E1313" s="299">
        <v>5.8900000000000001E-2</v>
      </c>
      <c r="F1313" s="288">
        <v>0.14000000000000001</v>
      </c>
      <c r="G1313">
        <f>IF(getRGB1($C1313)="FFFFFF",0,1)+IF(getRGB1($D1313)="FFFFFF",0,2)+IF(getRGB1($E1313)="FFFFFF",0,3)+IF(getRGB1($F1313)="FFFFFF",0,4)</f>
        <v>1</v>
      </c>
    </row>
    <row r="1314" spans="1:7" ht="15.75">
      <c r="A1314" t="s">
        <v>6674</v>
      </c>
      <c r="B1314" s="285" t="s">
        <v>4508</v>
      </c>
      <c r="C1314" s="288">
        <v>0.05</v>
      </c>
      <c r="D1314" s="289">
        <v>0.1</v>
      </c>
      <c r="E1314" s="288">
        <v>0.15</v>
      </c>
      <c r="F1314" s="288">
        <v>0.2</v>
      </c>
      <c r="G1314">
        <f>IF(getRGB1($C1314)="FFFFFF",0,1)+IF(getRGB1($D1314)="FFFFFF",0,2)+IF(getRGB1($E1314)="FFFFFF",0,3)+IF(getRGB1($F1314)="FFFFFF",0,4)</f>
        <v>2</v>
      </c>
    </row>
    <row r="1315" spans="1:7" ht="15.75">
      <c r="A1315" t="s">
        <v>6674</v>
      </c>
      <c r="B1315" s="285" t="s">
        <v>4509</v>
      </c>
      <c r="C1315" s="286" t="s">
        <v>4510</v>
      </c>
      <c r="D1315" s="287" t="s">
        <v>4511</v>
      </c>
      <c r="E1315" s="287" t="s">
        <v>4512</v>
      </c>
      <c r="F1315" s="287" t="s">
        <v>328</v>
      </c>
      <c r="G1315">
        <f>IF(getRGB1($C1315)="FFFFFF",0,1)+IF(getRGB1($D1315)="FFFFFF",0,2)+IF(getRGB1($E1315)="FFFFFF",0,3)+IF(getRGB1($F1315)="FFFFFF",0,4)</f>
        <v>1</v>
      </c>
    </row>
    <row r="1316" spans="1:7" ht="15.75">
      <c r="A1316" t="s">
        <v>6674</v>
      </c>
      <c r="B1316" s="285" t="s">
        <v>4513</v>
      </c>
      <c r="C1316" s="287" t="s">
        <v>4514</v>
      </c>
      <c r="D1316" s="287" t="s">
        <v>4515</v>
      </c>
      <c r="E1316" s="287" t="s">
        <v>4516</v>
      </c>
      <c r="F1316" s="286" t="s">
        <v>4517</v>
      </c>
      <c r="G1316">
        <f>IF(getRGB1($C1316)="FFFFFF",0,1)+IF(getRGB1($D1316)="FFFFFF",0,2)+IF(getRGB1($E1316)="FFFFFF",0,3)+IF(getRGB1($F1316)="FFFFFF",0,4)</f>
        <v>4</v>
      </c>
    </row>
    <row r="1317" spans="1:7" ht="15.75">
      <c r="A1317" t="s">
        <v>6674</v>
      </c>
      <c r="B1317" s="285" t="s">
        <v>4518</v>
      </c>
      <c r="C1317" s="287" t="s">
        <v>4519</v>
      </c>
      <c r="D1317" s="287" t="s">
        <v>4520</v>
      </c>
      <c r="E1317" s="287" t="s">
        <v>1743</v>
      </c>
      <c r="F1317" s="286" t="s">
        <v>4426</v>
      </c>
      <c r="G1317">
        <f>IF(getRGB1($C1317)="FFFFFF",0,1)+IF(getRGB1($D1317)="FFFFFF",0,2)+IF(getRGB1($E1317)="FFFFFF",0,3)+IF(getRGB1($F1317)="FFFFFF",0,4)</f>
        <v>4</v>
      </c>
    </row>
    <row r="1318" spans="1:7" ht="15.75">
      <c r="A1318" t="s">
        <v>6674</v>
      </c>
      <c r="B1318" s="285" t="s">
        <v>4521</v>
      </c>
      <c r="C1318" s="287" t="s">
        <v>4522</v>
      </c>
      <c r="D1318" s="287" t="s">
        <v>4523</v>
      </c>
      <c r="E1318" s="286" t="s">
        <v>1230</v>
      </c>
      <c r="F1318" s="287" t="s">
        <v>328</v>
      </c>
      <c r="G1318">
        <f>IF(getRGB1($C1318)="FFFFFF",0,1)+IF(getRGB1($D1318)="FFFFFF",0,2)+IF(getRGB1($E1318)="FFFFFF",0,3)+IF(getRGB1($F1318)="FFFFFF",0,4)</f>
        <v>3</v>
      </c>
    </row>
    <row r="1319" spans="1:7" ht="45.75">
      <c r="A1319" t="s">
        <v>6674</v>
      </c>
      <c r="B1319" s="285" t="s">
        <v>4524</v>
      </c>
      <c r="C1319" s="286" t="s">
        <v>4525</v>
      </c>
      <c r="D1319" s="287" t="s">
        <v>4503</v>
      </c>
      <c r="E1319" s="287" t="s">
        <v>4526</v>
      </c>
      <c r="F1319" s="287" t="s">
        <v>4505</v>
      </c>
      <c r="G1319">
        <f>IF(getRGB1($C1319)="FFFFFF",0,1)+IF(getRGB1($D1319)="FFFFFF",0,2)+IF(getRGB1($E1319)="FFFFFF",0,3)+IF(getRGB1($F1319)="FFFFFF",0,4)</f>
        <v>1</v>
      </c>
    </row>
    <row r="1320" spans="1:7" ht="30.75">
      <c r="A1320" t="s">
        <v>6674</v>
      </c>
      <c r="B1320" s="285" t="s">
        <v>4527</v>
      </c>
      <c r="C1320" s="287" t="s">
        <v>4528</v>
      </c>
      <c r="D1320" s="287" t="s">
        <v>4529</v>
      </c>
      <c r="E1320" s="286" t="s">
        <v>4530</v>
      </c>
      <c r="F1320" s="287" t="s">
        <v>4529</v>
      </c>
      <c r="G1320">
        <f>IF(getRGB1($C1320)="FFFFFF",0,1)+IF(getRGB1($D1320)="FFFFFF",0,2)+IF(getRGB1($E1320)="FFFFFF",0,3)+IF(getRGB1($F1320)="FFFFFF",0,4)</f>
        <v>3</v>
      </c>
    </row>
    <row r="1321" spans="1:7" ht="30.75">
      <c r="A1321" t="s">
        <v>6674</v>
      </c>
      <c r="B1321" s="285" t="s">
        <v>4531</v>
      </c>
      <c r="C1321" s="287" t="s">
        <v>4532</v>
      </c>
      <c r="D1321" s="287" t="s">
        <v>4533</v>
      </c>
      <c r="E1321" s="286" t="s">
        <v>4534</v>
      </c>
      <c r="F1321" s="287" t="s">
        <v>328</v>
      </c>
      <c r="G1321">
        <f>IF(getRGB1($C1321)="FFFFFF",0,1)+IF(getRGB1($D1321)="FFFFFF",0,2)+IF(getRGB1($E1321)="FFFFFF",0,3)+IF(getRGB1($F1321)="FFFFFF",0,4)</f>
        <v>3</v>
      </c>
    </row>
    <row r="1322" spans="1:7" ht="45.75">
      <c r="A1322" t="s">
        <v>6674</v>
      </c>
      <c r="B1322" s="285" t="s">
        <v>4535</v>
      </c>
      <c r="C1322" s="289" t="s">
        <v>4536</v>
      </c>
      <c r="D1322" s="287" t="s">
        <v>4537</v>
      </c>
      <c r="E1322" s="287" t="s">
        <v>4538</v>
      </c>
      <c r="F1322" s="288" t="s">
        <v>4539</v>
      </c>
      <c r="G1322">
        <f>IF(getRGB1($C1322)="FFFFFF",0,1)+IF(getRGB1($D1322)="FFFFFF",0,2)+IF(getRGB1($E1322)="FFFFFF",0,3)+IF(getRGB1($F1322)="FFFFFF",0,4)</f>
        <v>1</v>
      </c>
    </row>
    <row r="1323" spans="1:7" ht="30.75">
      <c r="A1323" t="s">
        <v>6674</v>
      </c>
      <c r="B1323" s="285" t="s">
        <v>4540</v>
      </c>
      <c r="C1323" s="286">
        <v>10</v>
      </c>
      <c r="D1323" s="287">
        <v>20</v>
      </c>
      <c r="E1323" s="287">
        <v>25</v>
      </c>
      <c r="F1323" s="287">
        <v>50</v>
      </c>
      <c r="G1323">
        <f>IF(getRGB1($C1323)="FFFFFF",0,1)+IF(getRGB1($D1323)="FFFFFF",0,2)+IF(getRGB1($E1323)="FFFFFF",0,3)+IF(getRGB1($F1323)="FFFFFF",0,4)</f>
        <v>1</v>
      </c>
    </row>
    <row r="1324" spans="1:7" ht="45.75">
      <c r="A1324" t="s">
        <v>6674</v>
      </c>
      <c r="B1324" s="285" t="s">
        <v>4541</v>
      </c>
      <c r="C1324" s="287" t="s">
        <v>4542</v>
      </c>
      <c r="D1324" s="286" t="s">
        <v>4543</v>
      </c>
      <c r="E1324" s="287" t="s">
        <v>4544</v>
      </c>
      <c r="F1324" s="287" t="s">
        <v>4545</v>
      </c>
      <c r="G1324">
        <f>IF(getRGB1($C1324)="FFFFFF",0,1)+IF(getRGB1($D1324)="FFFFFF",0,2)+IF(getRGB1($E1324)="FFFFFF",0,3)+IF(getRGB1($F1324)="FFFFFF",0,4)</f>
        <v>2</v>
      </c>
    </row>
    <row r="1325" spans="1:7" ht="45.75">
      <c r="A1325" t="s">
        <v>6674</v>
      </c>
      <c r="B1325" s="285" t="s">
        <v>4546</v>
      </c>
      <c r="C1325" s="286" t="s">
        <v>4547</v>
      </c>
      <c r="D1325" s="287" t="s">
        <v>4548</v>
      </c>
      <c r="E1325" s="287" t="s">
        <v>4549</v>
      </c>
      <c r="F1325" s="287" t="s">
        <v>4550</v>
      </c>
      <c r="G1325">
        <f>IF(getRGB1($C1325)="FFFFFF",0,1)+IF(getRGB1($D1325)="FFFFFF",0,2)+IF(getRGB1($E1325)="FFFFFF",0,3)+IF(getRGB1($F1325)="FFFFFF",0,4)</f>
        <v>1</v>
      </c>
    </row>
    <row r="1326" spans="1:7" ht="30.75">
      <c r="A1326" t="s">
        <v>6674</v>
      </c>
      <c r="B1326" s="285" t="s">
        <v>4551</v>
      </c>
      <c r="C1326" s="286" t="s">
        <v>4552</v>
      </c>
      <c r="D1326" s="287" t="s">
        <v>4553</v>
      </c>
      <c r="E1326" s="287" t="s">
        <v>4554</v>
      </c>
      <c r="F1326" s="287" t="s">
        <v>4555</v>
      </c>
      <c r="G1326">
        <f>IF(getRGB1($C1326)="FFFFFF",0,1)+IF(getRGB1($D1326)="FFFFFF",0,2)+IF(getRGB1($E1326)="FFFFFF",0,3)+IF(getRGB1($F1326)="FFFFFF",0,4)</f>
        <v>1</v>
      </c>
    </row>
    <row r="1327" spans="1:7" ht="45.75">
      <c r="A1327" t="s">
        <v>6674</v>
      </c>
      <c r="B1327" s="285" t="s">
        <v>4556</v>
      </c>
      <c r="C1327" s="287" t="s">
        <v>4557</v>
      </c>
      <c r="D1327" s="286" t="s">
        <v>4558</v>
      </c>
      <c r="E1327" s="287" t="s">
        <v>4559</v>
      </c>
      <c r="F1327" s="287" t="s">
        <v>4560</v>
      </c>
      <c r="G1327">
        <f>IF(getRGB1($C1327)="FFFFFF",0,1)+IF(getRGB1($D1327)="FFFFFF",0,2)+IF(getRGB1($E1327)="FFFFFF",0,3)+IF(getRGB1($F1327)="FFFFFF",0,4)</f>
        <v>2</v>
      </c>
    </row>
    <row r="1328" spans="1:7" ht="15.75">
      <c r="A1328" t="s">
        <v>6674</v>
      </c>
      <c r="B1328" s="285" t="s">
        <v>4561</v>
      </c>
      <c r="C1328" s="289">
        <v>0.35</v>
      </c>
      <c r="D1328" s="288">
        <v>0.22</v>
      </c>
      <c r="E1328" s="288">
        <v>0.38</v>
      </c>
      <c r="F1328" s="287" t="s">
        <v>328</v>
      </c>
      <c r="G1328">
        <f>IF(getRGB1($C1328)="FFFFFF",0,1)+IF(getRGB1($D1328)="FFFFFF",0,2)+IF(getRGB1($E1328)="FFFFFF",0,3)+IF(getRGB1($F1328)="FFFFFF",0,4)</f>
        <v>1</v>
      </c>
    </row>
    <row r="1329" spans="1:7" ht="15.75">
      <c r="A1329" t="s">
        <v>6674</v>
      </c>
      <c r="B1329" s="285" t="s">
        <v>4562</v>
      </c>
      <c r="C1329" s="289">
        <v>0.22</v>
      </c>
      <c r="D1329" s="288">
        <v>0.24</v>
      </c>
      <c r="E1329" s="288">
        <v>0.28000000000000003</v>
      </c>
      <c r="F1329" s="288">
        <v>0.33</v>
      </c>
      <c r="G1329">
        <f>IF(getRGB1($C1329)="FFFFFF",0,1)+IF(getRGB1($D1329)="FFFFFF",0,2)+IF(getRGB1($E1329)="FFFFFF",0,3)+IF(getRGB1($F1329)="FFFFFF",0,4)</f>
        <v>1</v>
      </c>
    </row>
    <row r="1330" spans="1:7" ht="15.75">
      <c r="A1330" t="s">
        <v>6674</v>
      </c>
      <c r="B1330" s="285" t="s">
        <v>4563</v>
      </c>
      <c r="C1330" s="288">
        <v>0.22</v>
      </c>
      <c r="D1330" s="288">
        <v>0.24</v>
      </c>
      <c r="E1330" s="288">
        <v>0.28000000000000003</v>
      </c>
      <c r="F1330" s="289">
        <v>0.33</v>
      </c>
      <c r="G1330">
        <f>IF(getRGB1($C1330)="FFFFFF",0,1)+IF(getRGB1($D1330)="FFFFFF",0,2)+IF(getRGB1($E1330)="FFFFFF",0,3)+IF(getRGB1($F1330)="FFFFFF",0,4)</f>
        <v>4</v>
      </c>
    </row>
    <row r="1331" spans="1:7" ht="15.75">
      <c r="A1331" t="s">
        <v>6674</v>
      </c>
      <c r="B1331" s="285" t="s">
        <v>4564</v>
      </c>
      <c r="C1331" s="299">
        <v>0.02</v>
      </c>
      <c r="D1331" s="299">
        <v>1.4999999999999999E-2</v>
      </c>
      <c r="E1331" s="286" t="s">
        <v>4565</v>
      </c>
      <c r="F1331" s="287" t="s">
        <v>328</v>
      </c>
      <c r="G1331">
        <f>IF(getRGB1($C1331)="FFFFFF",0,1)+IF(getRGB1($D1331)="FFFFFF",0,2)+IF(getRGB1($E1331)="FFFFFF",0,3)+IF(getRGB1($F1331)="FFFFFF",0,4)</f>
        <v>3</v>
      </c>
    </row>
    <row r="1332" spans="1:7" ht="30.75">
      <c r="A1332" t="s">
        <v>6674</v>
      </c>
      <c r="B1332" s="285" t="s">
        <v>4566</v>
      </c>
      <c r="C1332" s="298">
        <v>8.5000000000000006E-2</v>
      </c>
      <c r="D1332" s="299">
        <v>7.4999999999999997E-2</v>
      </c>
      <c r="E1332" s="287" t="s">
        <v>4565</v>
      </c>
      <c r="F1332" s="287" t="s">
        <v>328</v>
      </c>
      <c r="G1332">
        <f>IF(getRGB1($C1332)="FFFFFF",0,1)+IF(getRGB1($D1332)="FFFFFF",0,2)+IF(getRGB1($E1332)="FFFFFF",0,3)+IF(getRGB1($F1332)="FFFFFF",0,4)</f>
        <v>1</v>
      </c>
    </row>
    <row r="1333" spans="1:7" ht="30.75">
      <c r="A1333" t="s">
        <v>6674</v>
      </c>
      <c r="B1333" s="285" t="s">
        <v>4567</v>
      </c>
      <c r="C1333" s="289">
        <v>0.7</v>
      </c>
      <c r="D1333" s="288">
        <v>0.8</v>
      </c>
      <c r="E1333" s="288">
        <v>0.6</v>
      </c>
      <c r="F1333" s="288">
        <v>0.75</v>
      </c>
      <c r="G1333">
        <f>IF(getRGB1($C1333)="FFFFFF",0,1)+IF(getRGB1($D1333)="FFFFFF",0,2)+IF(getRGB1($E1333)="FFFFFF",0,3)+IF(getRGB1($F1333)="FFFFFF",0,4)</f>
        <v>1</v>
      </c>
    </row>
    <row r="1334" spans="1:7" ht="30.75">
      <c r="A1334" t="s">
        <v>6674</v>
      </c>
      <c r="B1334" s="285" t="s">
        <v>4568</v>
      </c>
      <c r="C1334" s="289">
        <v>0.6</v>
      </c>
      <c r="D1334" s="288">
        <v>0.8</v>
      </c>
      <c r="E1334" s="288">
        <v>0.7</v>
      </c>
      <c r="F1334" s="288">
        <v>0.75</v>
      </c>
      <c r="G1334">
        <f>IF(getRGB1($C1334)="FFFFFF",0,1)+IF(getRGB1($D1334)="FFFFFF",0,2)+IF(getRGB1($E1334)="FFFFFF",0,3)+IF(getRGB1($F1334)="FFFFFF",0,4)</f>
        <v>1</v>
      </c>
    </row>
    <row r="1335" spans="1:7" ht="30.75">
      <c r="A1335" t="s">
        <v>6674</v>
      </c>
      <c r="B1335" s="285" t="s">
        <v>4569</v>
      </c>
      <c r="C1335" s="288">
        <v>0.7</v>
      </c>
      <c r="D1335" s="289">
        <v>0.8</v>
      </c>
      <c r="E1335" s="288">
        <v>0.6</v>
      </c>
      <c r="F1335" s="288">
        <v>0.75</v>
      </c>
      <c r="G1335">
        <f>IF(getRGB1($C1335)="FFFFFF",0,1)+IF(getRGB1($D1335)="FFFFFF",0,2)+IF(getRGB1($E1335)="FFFFFF",0,3)+IF(getRGB1($F1335)="FFFFFF",0,4)</f>
        <v>2</v>
      </c>
    </row>
    <row r="1336" spans="1:7" ht="30.75">
      <c r="A1336" t="s">
        <v>6674</v>
      </c>
      <c r="B1336" s="285" t="s">
        <v>4570</v>
      </c>
      <c r="C1336" s="288">
        <v>0.12</v>
      </c>
      <c r="D1336" s="288">
        <v>0.15</v>
      </c>
      <c r="E1336" s="286" t="s">
        <v>4571</v>
      </c>
      <c r="F1336" s="287" t="s">
        <v>328</v>
      </c>
      <c r="G1336">
        <f>IF(getRGB1($C1336)="FFFFFF",0,1)+IF(getRGB1($D1336)="FFFFFF",0,2)+IF(getRGB1($E1336)="FFFFFF",0,3)+IF(getRGB1($F1336)="FFFFFF",0,4)</f>
        <v>3</v>
      </c>
    </row>
    <row r="1337" spans="1:7" ht="30.75">
      <c r="A1337" t="s">
        <v>6674</v>
      </c>
      <c r="B1337" s="285" t="s">
        <v>4572</v>
      </c>
      <c r="C1337" s="288">
        <v>0.12</v>
      </c>
      <c r="D1337" s="288">
        <v>0.15</v>
      </c>
      <c r="E1337" s="286" t="s">
        <v>4573</v>
      </c>
      <c r="F1337" s="288">
        <v>0.11</v>
      </c>
      <c r="G1337">
        <f>IF(getRGB1($C1337)="FFFFFF",0,1)+IF(getRGB1($D1337)="FFFFFF",0,2)+IF(getRGB1($E1337)="FFFFFF",0,3)+IF(getRGB1($F1337)="FFFFFF",0,4)</f>
        <v>3</v>
      </c>
    </row>
    <row r="1338" spans="1:7" ht="30.75">
      <c r="A1338" t="s">
        <v>6674</v>
      </c>
      <c r="B1338" s="285" t="s">
        <v>4574</v>
      </c>
      <c r="C1338" s="288">
        <v>0.12</v>
      </c>
      <c r="D1338" s="288">
        <v>0.11</v>
      </c>
      <c r="E1338" s="286" t="s">
        <v>4575</v>
      </c>
      <c r="F1338" s="287" t="s">
        <v>328</v>
      </c>
      <c r="G1338">
        <f>IF(getRGB1($C1338)="FFFFFF",0,1)+IF(getRGB1($D1338)="FFFFFF",0,2)+IF(getRGB1($E1338)="FFFFFF",0,3)+IF(getRGB1($F1338)="FFFFFF",0,4)</f>
        <v>3</v>
      </c>
    </row>
    <row r="1339" spans="1:7" ht="30.75">
      <c r="A1339" t="s">
        <v>6674</v>
      </c>
      <c r="B1339" s="285" t="s">
        <v>4576</v>
      </c>
      <c r="C1339" s="289">
        <v>0.12</v>
      </c>
      <c r="D1339" s="288">
        <v>0.15</v>
      </c>
      <c r="E1339" s="287" t="s">
        <v>4573</v>
      </c>
      <c r="F1339" s="288">
        <v>0.11</v>
      </c>
      <c r="G1339">
        <f>IF(getRGB1($C1339)="FFFFFF",0,1)+IF(getRGB1($D1339)="FFFFFF",0,2)+IF(getRGB1($E1339)="FFFFFF",0,3)+IF(getRGB1($F1339)="FFFFFF",0,4)</f>
        <v>1</v>
      </c>
    </row>
    <row r="1340" spans="1:7" ht="30.75">
      <c r="A1340" t="s">
        <v>6674</v>
      </c>
      <c r="B1340" s="285" t="s">
        <v>4577</v>
      </c>
      <c r="C1340" s="286" t="s">
        <v>4578</v>
      </c>
      <c r="D1340" s="287" t="s">
        <v>4579</v>
      </c>
      <c r="E1340" s="287" t="s">
        <v>4580</v>
      </c>
      <c r="F1340" s="287" t="s">
        <v>4581</v>
      </c>
      <c r="G1340">
        <f>IF(getRGB1($C1340)="FFFFFF",0,1)+IF(getRGB1($D1340)="FFFFFF",0,2)+IF(getRGB1($E1340)="FFFFFF",0,3)+IF(getRGB1($F1340)="FFFFFF",0,4)</f>
        <v>1</v>
      </c>
    </row>
    <row r="1341" spans="1:7" ht="30.75">
      <c r="A1341" t="s">
        <v>6674</v>
      </c>
      <c r="B1341" s="285" t="s">
        <v>4582</v>
      </c>
      <c r="C1341" s="286" t="s">
        <v>4583</v>
      </c>
      <c r="D1341" s="287" t="s">
        <v>4579</v>
      </c>
      <c r="E1341" s="287" t="s">
        <v>4580</v>
      </c>
      <c r="F1341" s="287" t="s">
        <v>4581</v>
      </c>
      <c r="G1341">
        <f>IF(getRGB1($C1341)="FFFFFF",0,1)+IF(getRGB1($D1341)="FFFFFF",0,2)+IF(getRGB1($E1341)="FFFFFF",0,3)+IF(getRGB1($F1341)="FFFFFF",0,4)</f>
        <v>1</v>
      </c>
    </row>
    <row r="1342" spans="1:7" ht="30.75">
      <c r="A1342" t="s">
        <v>6674</v>
      </c>
      <c r="B1342" s="285" t="s">
        <v>4584</v>
      </c>
      <c r="C1342" s="287" t="s">
        <v>4585</v>
      </c>
      <c r="D1342" s="286" t="s">
        <v>4586</v>
      </c>
      <c r="E1342" s="287" t="s">
        <v>4587</v>
      </c>
      <c r="F1342" s="287" t="s">
        <v>4588</v>
      </c>
      <c r="G1342">
        <f>IF(getRGB1($C1342)="FFFFFF",0,1)+IF(getRGB1($D1342)="FFFFFF",0,2)+IF(getRGB1($E1342)="FFFFFF",0,3)+IF(getRGB1($F1342)="FFFFFF",0,4)</f>
        <v>2</v>
      </c>
    </row>
    <row r="1343" spans="1:7" ht="45.75">
      <c r="A1343" t="s">
        <v>6674</v>
      </c>
      <c r="B1343" s="285" t="s">
        <v>4589</v>
      </c>
      <c r="C1343" s="287" t="s">
        <v>4590</v>
      </c>
      <c r="D1343" s="287" t="s">
        <v>4591</v>
      </c>
      <c r="E1343" s="286" t="s">
        <v>4592</v>
      </c>
      <c r="F1343" s="287" t="s">
        <v>328</v>
      </c>
      <c r="G1343">
        <f>IF(getRGB1($C1343)="FFFFFF",0,1)+IF(getRGB1($D1343)="FFFFFF",0,2)+IF(getRGB1($E1343)="FFFFFF",0,3)+IF(getRGB1($F1343)="FFFFFF",0,4)</f>
        <v>3</v>
      </c>
    </row>
    <row r="1344" spans="1:7" ht="15.75">
      <c r="A1344" t="s">
        <v>6674</v>
      </c>
      <c r="B1344" s="285" t="s">
        <v>4593</v>
      </c>
      <c r="C1344" s="287" t="s">
        <v>4594</v>
      </c>
      <c r="D1344" s="287" t="s">
        <v>4595</v>
      </c>
      <c r="E1344" s="286" t="s">
        <v>4596</v>
      </c>
      <c r="F1344" s="287" t="s">
        <v>4597</v>
      </c>
      <c r="G1344">
        <f>IF(getRGB1($C1344)="FFFFFF",0,1)+IF(getRGB1($D1344)="FFFFFF",0,2)+IF(getRGB1($E1344)="FFFFFF",0,3)+IF(getRGB1($F1344)="FFFFFF",0,4)</f>
        <v>3</v>
      </c>
    </row>
    <row r="1345" spans="1:7" ht="30.75">
      <c r="A1345" t="s">
        <v>6674</v>
      </c>
      <c r="B1345" s="285" t="s">
        <v>4598</v>
      </c>
      <c r="C1345" s="286" t="s">
        <v>4599</v>
      </c>
      <c r="D1345" s="287" t="s">
        <v>4600</v>
      </c>
      <c r="E1345" s="287" t="s">
        <v>4601</v>
      </c>
      <c r="F1345" s="287" t="s">
        <v>4602</v>
      </c>
      <c r="G1345">
        <f>IF(getRGB1($C1345)="FFFFFF",0,1)+IF(getRGB1($D1345)="FFFFFF",0,2)+IF(getRGB1($E1345)="FFFFFF",0,3)+IF(getRGB1($F1345)="FFFFFF",0,4)</f>
        <v>1</v>
      </c>
    </row>
    <row r="1346" spans="1:7" ht="15.75">
      <c r="A1346" t="s">
        <v>6674</v>
      </c>
      <c r="B1346" s="285" t="s">
        <v>4603</v>
      </c>
      <c r="C1346" s="288">
        <v>0.15</v>
      </c>
      <c r="D1346" s="289">
        <v>0.1</v>
      </c>
      <c r="E1346" s="288">
        <v>0.12</v>
      </c>
      <c r="F1346" s="288">
        <v>0.08</v>
      </c>
      <c r="G1346">
        <f>IF(getRGB1($C1346)="FFFFFF",0,1)+IF(getRGB1($D1346)="FFFFFF",0,2)+IF(getRGB1($E1346)="FFFFFF",0,3)+IF(getRGB1($F1346)="FFFFFF",0,4)</f>
        <v>2</v>
      </c>
    </row>
    <row r="1347" spans="1:7" ht="30.75">
      <c r="A1347" t="s">
        <v>6674</v>
      </c>
      <c r="B1347" s="285" t="s">
        <v>4604</v>
      </c>
      <c r="C1347" s="286" t="s">
        <v>4605</v>
      </c>
      <c r="D1347" s="287" t="s">
        <v>4606</v>
      </c>
      <c r="E1347" s="287" t="s">
        <v>4607</v>
      </c>
      <c r="F1347" s="287" t="s">
        <v>4608</v>
      </c>
      <c r="G1347">
        <f>IF(getRGB1($C1347)="FFFFFF",0,1)+IF(getRGB1($D1347)="FFFFFF",0,2)+IF(getRGB1($E1347)="FFFFFF",0,3)+IF(getRGB1($F1347)="FFFFFF",0,4)</f>
        <v>1</v>
      </c>
    </row>
    <row r="1348" spans="1:7" ht="30.75">
      <c r="A1348" t="s">
        <v>6674</v>
      </c>
      <c r="B1348" s="285" t="s">
        <v>4609</v>
      </c>
      <c r="C1348" s="288">
        <v>0.8</v>
      </c>
      <c r="D1348" s="288">
        <v>0.9</v>
      </c>
      <c r="E1348" s="289">
        <v>0.85</v>
      </c>
      <c r="F1348" s="288">
        <v>0.75</v>
      </c>
      <c r="G1348">
        <f>IF(getRGB1($C1348)="FFFFFF",0,1)+IF(getRGB1($D1348)="FFFFFF",0,2)+IF(getRGB1($E1348)="FFFFFF",0,3)+IF(getRGB1($F1348)="FFFFFF",0,4)</f>
        <v>3</v>
      </c>
    </row>
    <row r="1349" spans="1:7" ht="30.75">
      <c r="A1349" t="s">
        <v>6674</v>
      </c>
      <c r="B1349" s="285" t="s">
        <v>4610</v>
      </c>
      <c r="C1349" s="288">
        <v>0.15</v>
      </c>
      <c r="D1349" s="288">
        <v>0.08</v>
      </c>
      <c r="E1349" s="289">
        <v>0.1</v>
      </c>
      <c r="F1349" s="288">
        <v>0.12</v>
      </c>
      <c r="G1349">
        <f>IF(getRGB1($C1349)="FFFFFF",0,1)+IF(getRGB1($D1349)="FFFFFF",0,2)+IF(getRGB1($E1349)="FFFFFF",0,3)+IF(getRGB1($F1349)="FFFFFF",0,4)</f>
        <v>3</v>
      </c>
    </row>
    <row r="1350" spans="1:7" ht="30.75">
      <c r="A1350" t="s">
        <v>6674</v>
      </c>
      <c r="B1350" s="285" t="s">
        <v>4611</v>
      </c>
      <c r="C1350" s="286" t="s">
        <v>4612</v>
      </c>
      <c r="D1350" s="287" t="s">
        <v>4613</v>
      </c>
      <c r="E1350" s="287" t="s">
        <v>4614</v>
      </c>
      <c r="F1350" s="287" t="s">
        <v>4608</v>
      </c>
      <c r="G1350">
        <f>IF(getRGB1($C1350)="FFFFFF",0,1)+IF(getRGB1($D1350)="FFFFFF",0,2)+IF(getRGB1($E1350)="FFFFFF",0,3)+IF(getRGB1($F1350)="FFFFFF",0,4)</f>
        <v>1</v>
      </c>
    </row>
    <row r="1351" spans="1:7" ht="15.75">
      <c r="A1351" t="s">
        <v>6674</v>
      </c>
      <c r="B1351" s="285" t="s">
        <v>4615</v>
      </c>
      <c r="C1351" s="288">
        <v>0.15</v>
      </c>
      <c r="D1351" s="288">
        <v>0.08</v>
      </c>
      <c r="E1351" s="288">
        <v>0.1</v>
      </c>
      <c r="F1351" s="289">
        <v>0.12</v>
      </c>
      <c r="G1351">
        <f>IF(getRGB1($C1351)="FFFFFF",0,1)+IF(getRGB1($D1351)="FFFFFF",0,2)+IF(getRGB1($E1351)="FFFFFF",0,3)+IF(getRGB1($F1351)="FFFFFF",0,4)</f>
        <v>4</v>
      </c>
    </row>
    <row r="1352" spans="1:7" ht="30.75">
      <c r="A1352" t="s">
        <v>6674</v>
      </c>
      <c r="B1352" s="285" t="s">
        <v>4616</v>
      </c>
      <c r="C1352" s="288">
        <v>0.7</v>
      </c>
      <c r="D1352" s="289">
        <v>0.9</v>
      </c>
      <c r="E1352" s="288">
        <v>0.6</v>
      </c>
      <c r="F1352" s="288">
        <v>0.8</v>
      </c>
      <c r="G1352">
        <f>IF(getRGB1($C1352)="FFFFFF",0,1)+IF(getRGB1($D1352)="FFFFFF",0,2)+IF(getRGB1($E1352)="FFFFFF",0,3)+IF(getRGB1($F1352)="FFFFFF",0,4)</f>
        <v>2</v>
      </c>
    </row>
    <row r="1353" spans="1:7" ht="30">
      <c r="A1353" t="s">
        <v>6675</v>
      </c>
      <c r="B1353" s="300" t="s">
        <v>4617</v>
      </c>
      <c r="C1353" s="301">
        <v>0.05</v>
      </c>
      <c r="D1353" s="301">
        <v>0.03</v>
      </c>
      <c r="E1353" s="302" t="s">
        <v>4618</v>
      </c>
      <c r="F1353" s="303" t="s">
        <v>4619</v>
      </c>
      <c r="G1353">
        <f>IF(getRGB1($C1353)="FFFFFF",0,1)+IF(getRGB1($D1353)="FFFFFF",0,2)+IF(getRGB1($E1353)="FFFFFF",0,3)+IF(getRGB1($F1353)="FFFFFF",0,4)</f>
        <v>4</v>
      </c>
    </row>
    <row r="1354" spans="1:7" ht="30">
      <c r="A1354" t="s">
        <v>6675</v>
      </c>
      <c r="B1354" s="300" t="s">
        <v>4620</v>
      </c>
      <c r="C1354" s="303" t="s">
        <v>4621</v>
      </c>
      <c r="D1354" s="302" t="s">
        <v>4622</v>
      </c>
      <c r="E1354" s="302" t="s">
        <v>4623</v>
      </c>
      <c r="F1354" s="302" t="s">
        <v>209</v>
      </c>
      <c r="G1354">
        <f>IF(getRGB1($C1354)="FFFFFF",0,1)+IF(getRGB1($D1354)="FFFFFF",0,2)+IF(getRGB1($E1354)="FFFFFF",0,3)+IF(getRGB1($F1354)="FFFFFF",0,4)</f>
        <v>1</v>
      </c>
    </row>
    <row r="1355" spans="1:7" ht="60">
      <c r="A1355" t="s">
        <v>6675</v>
      </c>
      <c r="B1355" s="300" t="s">
        <v>4624</v>
      </c>
      <c r="C1355" s="303" t="s">
        <v>4621</v>
      </c>
      <c r="D1355" s="302" t="s">
        <v>4622</v>
      </c>
      <c r="E1355" s="302" t="s">
        <v>4623</v>
      </c>
      <c r="F1355" s="302" t="s">
        <v>209</v>
      </c>
      <c r="G1355">
        <f>IF(getRGB1($C1355)="FFFFFF",0,1)+IF(getRGB1($D1355)="FFFFFF",0,2)+IF(getRGB1($E1355)="FFFFFF",0,3)+IF(getRGB1($F1355)="FFFFFF",0,4)</f>
        <v>1</v>
      </c>
    </row>
    <row r="1356" spans="1:7" ht="45">
      <c r="A1356" t="s">
        <v>6675</v>
      </c>
      <c r="B1356" s="300" t="s">
        <v>4625</v>
      </c>
      <c r="C1356" s="302" t="s">
        <v>74</v>
      </c>
      <c r="D1356" s="302" t="s">
        <v>174</v>
      </c>
      <c r="E1356" s="303" t="s">
        <v>3301</v>
      </c>
      <c r="F1356" s="302" t="s">
        <v>3313</v>
      </c>
      <c r="G1356">
        <f>IF(getRGB1($C1356)="FFFFFF",0,1)+IF(getRGB1($D1356)="FFFFFF",0,2)+IF(getRGB1($E1356)="FFFFFF",0,3)+IF(getRGB1($F1356)="FFFFFF",0,4)</f>
        <v>3</v>
      </c>
    </row>
    <row r="1357" spans="1:7" ht="105">
      <c r="A1357" t="s">
        <v>6675</v>
      </c>
      <c r="B1357" s="300" t="s">
        <v>4626</v>
      </c>
      <c r="C1357" s="302" t="s">
        <v>4627</v>
      </c>
      <c r="D1357" s="302" t="s">
        <v>1743</v>
      </c>
      <c r="E1357" s="303" t="s">
        <v>2074</v>
      </c>
      <c r="F1357" s="302" t="s">
        <v>209</v>
      </c>
      <c r="G1357">
        <f>IF(getRGB1($C1357)="FFFFFF",0,1)+IF(getRGB1($D1357)="FFFFFF",0,2)+IF(getRGB1($E1357)="FFFFFF",0,3)+IF(getRGB1($F1357)="FFFFFF",0,4)</f>
        <v>3</v>
      </c>
    </row>
    <row r="1358" spans="1:7" ht="45">
      <c r="A1358" t="s">
        <v>6675</v>
      </c>
      <c r="B1358" s="300" t="s">
        <v>4628</v>
      </c>
      <c r="C1358" s="303" t="s">
        <v>4629</v>
      </c>
      <c r="D1358" s="302" t="s">
        <v>4630</v>
      </c>
      <c r="E1358" s="302" t="s">
        <v>4631</v>
      </c>
      <c r="F1358" s="302" t="s">
        <v>4632</v>
      </c>
      <c r="G1358">
        <f>IF(getRGB1($C1358)="FFFFFF",0,1)+IF(getRGB1($D1358)="FFFFFF",0,2)+IF(getRGB1($E1358)="FFFFFF",0,3)+IF(getRGB1($F1358)="FFFFFF",0,4)</f>
        <v>1</v>
      </c>
    </row>
    <row r="1359" spans="1:7" ht="60">
      <c r="A1359" t="s">
        <v>6675</v>
      </c>
      <c r="B1359" s="300" t="s">
        <v>4633</v>
      </c>
      <c r="C1359" s="303" t="s">
        <v>4634</v>
      </c>
      <c r="D1359" s="302" t="s">
        <v>4635</v>
      </c>
      <c r="E1359" s="302" t="s">
        <v>4636</v>
      </c>
      <c r="F1359" s="302" t="s">
        <v>209</v>
      </c>
      <c r="G1359">
        <f>IF(getRGB1($C1359)="FFFFFF",0,1)+IF(getRGB1($D1359)="FFFFFF",0,2)+IF(getRGB1($E1359)="FFFFFF",0,3)+IF(getRGB1($F1359)="FFFFFF",0,4)</f>
        <v>1</v>
      </c>
    </row>
    <row r="1360" spans="1:7" ht="60">
      <c r="A1360" t="s">
        <v>6675</v>
      </c>
      <c r="B1360" s="300" t="s">
        <v>4637</v>
      </c>
      <c r="C1360" s="303" t="s">
        <v>4638</v>
      </c>
      <c r="D1360" s="302" t="s">
        <v>4639</v>
      </c>
      <c r="E1360" s="302" t="s">
        <v>4640</v>
      </c>
      <c r="F1360" s="302" t="s">
        <v>4641</v>
      </c>
      <c r="G1360">
        <f>IF(getRGB1($C1360)="FFFFFF",0,1)+IF(getRGB1($D1360)="FFFFFF",0,2)+IF(getRGB1($E1360)="FFFFFF",0,3)+IF(getRGB1($F1360)="FFFFFF",0,4)</f>
        <v>1</v>
      </c>
    </row>
    <row r="1361" spans="1:7" ht="45">
      <c r="A1361" t="s">
        <v>6675</v>
      </c>
      <c r="B1361" s="300" t="s">
        <v>4642</v>
      </c>
      <c r="C1361" s="303" t="b">
        <v>1</v>
      </c>
      <c r="D1361" s="302" t="b">
        <v>0</v>
      </c>
      <c r="E1361" s="302"/>
      <c r="F1361" s="302"/>
      <c r="G1361">
        <f>IF(getRGB1($C1361)="FFFFFF",0,1)+IF(getRGB1($D1361)="FFFFFF",0,2)+IF(getRGB1($E1361)="FFFFFF",0,3)+IF(getRGB1($F1361)="FFFFFF",0,4)</f>
        <v>1</v>
      </c>
    </row>
    <row r="1362" spans="1:7" ht="60">
      <c r="A1362" t="s">
        <v>6675</v>
      </c>
      <c r="B1362" s="300" t="s">
        <v>4643</v>
      </c>
      <c r="C1362" s="303" t="b">
        <v>1</v>
      </c>
      <c r="D1362" s="302" t="b">
        <v>0</v>
      </c>
      <c r="E1362" s="302"/>
      <c r="F1362" s="302"/>
      <c r="G1362">
        <f>IF(getRGB1($C1362)="FFFFFF",0,1)+IF(getRGB1($D1362)="FFFFFF",0,2)+IF(getRGB1($E1362)="FFFFFF",0,3)+IF(getRGB1($F1362)="FFFFFF",0,4)</f>
        <v>1</v>
      </c>
    </row>
    <row r="1363" spans="1:7" ht="30">
      <c r="A1363" t="s">
        <v>6675</v>
      </c>
      <c r="B1363" s="300" t="s">
        <v>4644</v>
      </c>
      <c r="C1363" s="126" t="b">
        <v>1</v>
      </c>
      <c r="D1363" s="303" t="b">
        <v>0</v>
      </c>
      <c r="E1363" s="302"/>
      <c r="F1363" s="302"/>
      <c r="G1363">
        <f>IF(getRGB1($C1363)="FFFFFF",0,1)+IF(getRGB1($D1363)="FFFFFF",0,2)+IF(getRGB1($E1363)="FFFFFF",0,3)+IF(getRGB1($F1363)="FFFFFF",0,4)</f>
        <v>2</v>
      </c>
    </row>
    <row r="1364" spans="1:7" ht="30">
      <c r="A1364" t="s">
        <v>6675</v>
      </c>
      <c r="B1364" s="304" t="s">
        <v>4645</v>
      </c>
      <c r="C1364" s="305" t="s">
        <v>4646</v>
      </c>
      <c r="D1364" s="306" t="s">
        <v>4647</v>
      </c>
      <c r="E1364" s="307" t="s">
        <v>4648</v>
      </c>
      <c r="F1364" s="305" t="s">
        <v>209</v>
      </c>
      <c r="G1364">
        <f>IF(getRGB1($C1364)="FFFFFF",0,1)+IF(getRGB1($D1364)="FFFFFF",0,2)+IF(getRGB1($E1364)="FFFFFF",0,3)+IF(getRGB1($F1364)="FFFFFF",0,4)</f>
        <v>3</v>
      </c>
    </row>
    <row r="1365" spans="1:7" ht="30">
      <c r="A1365" t="s">
        <v>6675</v>
      </c>
      <c r="B1365" s="304" t="s">
        <v>4649</v>
      </c>
      <c r="C1365" s="305" t="s">
        <v>4646</v>
      </c>
      <c r="D1365" s="306" t="s">
        <v>4647</v>
      </c>
      <c r="E1365" s="307" t="s">
        <v>4648</v>
      </c>
      <c r="F1365" s="480" t="s">
        <v>209</v>
      </c>
      <c r="G1365">
        <f>IF(getRGB1($C1365)="FFFFFF",0,1)+IF(getRGB1($D1365)="FFFFFF",0,2)+IF(getRGB1($E1365)="FFFFFF",0,3)+IF(getRGB1($F1365)="FFFFFF",0,4)</f>
        <v>3</v>
      </c>
    </row>
    <row r="1366" spans="1:7" ht="30">
      <c r="A1366" t="s">
        <v>6675</v>
      </c>
      <c r="B1366" s="304" t="s">
        <v>4650</v>
      </c>
      <c r="C1366" s="305" t="s">
        <v>4646</v>
      </c>
      <c r="D1366" s="306" t="s">
        <v>4647</v>
      </c>
      <c r="E1366" s="307" t="s">
        <v>4648</v>
      </c>
      <c r="F1366" s="305" t="s">
        <v>209</v>
      </c>
      <c r="G1366">
        <f>IF(getRGB1($C1366)="FFFFFF",0,1)+IF(getRGB1($D1366)="FFFFFF",0,2)+IF(getRGB1($E1366)="FFFFFF",0,3)+IF(getRGB1($F1366)="FFFFFF",0,4)</f>
        <v>3</v>
      </c>
    </row>
    <row r="1367" spans="1:7" ht="45">
      <c r="A1367" t="s">
        <v>6675</v>
      </c>
      <c r="B1367" s="304" t="s">
        <v>4651</v>
      </c>
      <c r="C1367" s="305" t="s">
        <v>4646</v>
      </c>
      <c r="D1367" s="306" t="s">
        <v>4647</v>
      </c>
      <c r="E1367" s="307" t="s">
        <v>4648</v>
      </c>
      <c r="F1367" s="305" t="s">
        <v>209</v>
      </c>
      <c r="G1367">
        <f>IF(getRGB1($C1367)="FFFFFF",0,1)+IF(getRGB1($D1367)="FFFFFF",0,2)+IF(getRGB1($E1367)="FFFFFF",0,3)+IF(getRGB1($F1367)="FFFFFF",0,4)</f>
        <v>3</v>
      </c>
    </row>
    <row r="1368" spans="1:7" ht="30">
      <c r="A1368" t="s">
        <v>6675</v>
      </c>
      <c r="B1368" s="308" t="s">
        <v>4652</v>
      </c>
      <c r="C1368" s="309">
        <v>2</v>
      </c>
      <c r="D1368" s="125" t="s">
        <v>4653</v>
      </c>
      <c r="E1368" s="309">
        <v>4</v>
      </c>
      <c r="F1368" s="309">
        <v>5</v>
      </c>
      <c r="G1368">
        <f>IF(getRGB1($C1368)="FFFFFF",0,1)+IF(getRGB1($D1368)="FFFFFF",0,2)+IF(getRGB1($E1368)="FFFFFF",0,3)+IF(getRGB1($F1368)="FFFFFF",0,4)</f>
        <v>2</v>
      </c>
    </row>
    <row r="1369" spans="1:7" ht="30">
      <c r="A1369" t="s">
        <v>6675</v>
      </c>
      <c r="B1369" s="308" t="s">
        <v>4654</v>
      </c>
      <c r="C1369" s="125" t="s">
        <v>74</v>
      </c>
      <c r="D1369" s="309" t="s">
        <v>73</v>
      </c>
      <c r="E1369" s="309" t="s">
        <v>3231</v>
      </c>
      <c r="F1369" s="309" t="s">
        <v>184</v>
      </c>
      <c r="G1369">
        <f>IF(getRGB1($C1369)="FFFFFF",0,1)+IF(getRGB1($D1369)="FFFFFF",0,2)+IF(getRGB1($E1369)="FFFFFF",0,3)+IF(getRGB1($F1369)="FFFFFF",0,4)</f>
        <v>1</v>
      </c>
    </row>
    <row r="1370" spans="1:7" ht="30">
      <c r="A1370" t="s">
        <v>6675</v>
      </c>
      <c r="B1370" s="308" t="s">
        <v>4655</v>
      </c>
      <c r="C1370" s="309" t="s">
        <v>4656</v>
      </c>
      <c r="D1370" s="309" t="s">
        <v>4657</v>
      </c>
      <c r="E1370" s="125" t="s">
        <v>74</v>
      </c>
      <c r="F1370" s="309" t="s">
        <v>4658</v>
      </c>
      <c r="G1370">
        <f>IF(getRGB1($C1370)="FFFFFF",0,1)+IF(getRGB1($D1370)="FFFFFF",0,2)+IF(getRGB1($E1370)="FFFFFF",0,3)+IF(getRGB1($F1370)="FFFFFF",0,4)</f>
        <v>3</v>
      </c>
    </row>
    <row r="1371" spans="1:7" ht="30">
      <c r="A1371" t="s">
        <v>6675</v>
      </c>
      <c r="B1371" s="308" t="s">
        <v>4659</v>
      </c>
      <c r="C1371" s="309" t="s">
        <v>4660</v>
      </c>
      <c r="D1371" s="309" t="s">
        <v>4661</v>
      </c>
      <c r="E1371" s="309" t="s">
        <v>4662</v>
      </c>
      <c r="F1371" s="125" t="s">
        <v>1725</v>
      </c>
      <c r="G1371">
        <f>IF(getRGB1($C1371)="FFFFFF",0,1)+IF(getRGB1($D1371)="FFFFFF",0,2)+IF(getRGB1($E1371)="FFFFFF",0,3)+IF(getRGB1($F1371)="FFFFFF",0,4)</f>
        <v>4</v>
      </c>
    </row>
    <row r="1372" spans="1:7" ht="30">
      <c r="A1372" t="s">
        <v>6675</v>
      </c>
      <c r="B1372" s="308" t="s">
        <v>4663</v>
      </c>
      <c r="C1372" s="125" t="s">
        <v>4664</v>
      </c>
      <c r="D1372" s="126" t="s">
        <v>4665</v>
      </c>
      <c r="E1372" s="126" t="s">
        <v>4666</v>
      </c>
      <c r="F1372" s="126" t="s">
        <v>209</v>
      </c>
      <c r="G1372">
        <f>IF(getRGB1($C1372)="FFFFFF",0,1)+IF(getRGB1($D1372)="FFFFFF",0,2)+IF(getRGB1($E1372)="FFFFFF",0,3)+IF(getRGB1($F1372)="FFFFFF",0,4)</f>
        <v>1</v>
      </c>
    </row>
    <row r="1373" spans="1:7" ht="60">
      <c r="A1373" t="s">
        <v>6675</v>
      </c>
      <c r="B1373" s="308" t="s">
        <v>4667</v>
      </c>
      <c r="C1373" s="126" t="s">
        <v>4668</v>
      </c>
      <c r="D1373" s="126" t="s">
        <v>4669</v>
      </c>
      <c r="E1373" s="126" t="s">
        <v>4670</v>
      </c>
      <c r="F1373" s="125" t="s">
        <v>1725</v>
      </c>
      <c r="G1373">
        <f>IF(getRGB1($C1373)="FFFFFF",0,1)+IF(getRGB1($D1373)="FFFFFF",0,2)+IF(getRGB1($E1373)="FFFFFF",0,3)+IF(getRGB1($F1373)="FFFFFF",0,4)</f>
        <v>4</v>
      </c>
    </row>
    <row r="1374" spans="1:7" ht="30">
      <c r="A1374" t="s">
        <v>6675</v>
      </c>
      <c r="B1374" s="308" t="s">
        <v>4671</v>
      </c>
      <c r="C1374" s="125" t="s">
        <v>4672</v>
      </c>
      <c r="D1374" s="126" t="s">
        <v>4673</v>
      </c>
      <c r="E1374" s="126" t="s">
        <v>4674</v>
      </c>
      <c r="F1374" s="126" t="s">
        <v>3313</v>
      </c>
      <c r="G1374">
        <f>IF(getRGB1($C1374)="FFFFFF",0,1)+IF(getRGB1($D1374)="FFFFFF",0,2)+IF(getRGB1($E1374)="FFFFFF",0,3)+IF(getRGB1($F1374)="FFFFFF",0,4)</f>
        <v>1</v>
      </c>
    </row>
    <row r="1375" spans="1:7">
      <c r="A1375" t="s">
        <v>6675</v>
      </c>
      <c r="B1375" s="308" t="s">
        <v>4675</v>
      </c>
      <c r="C1375" s="126" t="s">
        <v>4676</v>
      </c>
      <c r="D1375" s="126" t="s">
        <v>4677</v>
      </c>
      <c r="E1375" s="125" t="s">
        <v>4666</v>
      </c>
      <c r="F1375" s="126" t="s">
        <v>209</v>
      </c>
      <c r="G1375">
        <f>IF(getRGB1($C1375)="FFFFFF",0,1)+IF(getRGB1($D1375)="FFFFFF",0,2)+IF(getRGB1($E1375)="FFFFFF",0,3)+IF(getRGB1($F1375)="FFFFFF",0,4)</f>
        <v>3</v>
      </c>
    </row>
    <row r="1376" spans="1:7" ht="30">
      <c r="A1376" t="s">
        <v>6675</v>
      </c>
      <c r="B1376" s="308" t="s">
        <v>4678</v>
      </c>
      <c r="C1376" s="126" t="s">
        <v>4679</v>
      </c>
      <c r="D1376" s="126" t="s">
        <v>4680</v>
      </c>
      <c r="E1376" s="126" t="s">
        <v>4681</v>
      </c>
      <c r="F1376" s="125" t="s">
        <v>3313</v>
      </c>
      <c r="G1376">
        <f>IF(getRGB1($C1376)="FFFFFF",0,1)+IF(getRGB1($D1376)="FFFFFF",0,2)+IF(getRGB1($E1376)="FFFFFF",0,3)+IF(getRGB1($F1376)="FFFFFF",0,4)</f>
        <v>4</v>
      </c>
    </row>
    <row r="1377" spans="1:7">
      <c r="A1377" t="s">
        <v>6675</v>
      </c>
      <c r="B1377" s="308" t="s">
        <v>4682</v>
      </c>
      <c r="C1377" s="126">
        <v>3</v>
      </c>
      <c r="D1377" s="126">
        <v>4</v>
      </c>
      <c r="E1377" s="125">
        <v>5</v>
      </c>
      <c r="F1377" s="126">
        <v>6</v>
      </c>
      <c r="G1377">
        <f>IF(getRGB1($C1377)="FFFFFF",0,1)+IF(getRGB1($D1377)="FFFFFF",0,2)+IF(getRGB1($E1377)="FFFFFF",0,3)+IF(getRGB1($F1377)="FFFFFF",0,4)</f>
        <v>3</v>
      </c>
    </row>
    <row r="1378" spans="1:7" ht="30.75">
      <c r="A1378" t="s">
        <v>6675</v>
      </c>
      <c r="B1378" s="310" t="s">
        <v>4683</v>
      </c>
      <c r="C1378" s="126" t="s">
        <v>4684</v>
      </c>
      <c r="D1378" s="125" t="s">
        <v>4685</v>
      </c>
      <c r="E1378" s="126" t="s">
        <v>4686</v>
      </c>
      <c r="F1378" s="126" t="s">
        <v>4687</v>
      </c>
      <c r="G1378">
        <f>IF(getRGB1($C1378)="FFFFFF",0,1)+IF(getRGB1($D1378)="FFFFFF",0,2)+IF(getRGB1($E1378)="FFFFFF",0,3)+IF(getRGB1($F1378)="FFFFFF",0,4)</f>
        <v>2</v>
      </c>
    </row>
    <row r="1379" spans="1:7" ht="15.75">
      <c r="A1379" t="s">
        <v>6675</v>
      </c>
      <c r="B1379" s="310" t="s">
        <v>4688</v>
      </c>
      <c r="C1379" s="126">
        <v>57</v>
      </c>
      <c r="D1379" s="125">
        <v>61</v>
      </c>
      <c r="E1379" s="126">
        <v>69</v>
      </c>
      <c r="F1379" s="126">
        <v>78</v>
      </c>
      <c r="G1379">
        <f>IF(getRGB1($C1379)="FFFFFF",0,1)+IF(getRGB1($D1379)="FFFFFF",0,2)+IF(getRGB1($E1379)="FFFFFF",0,3)+IF(getRGB1($F1379)="FFFFFF",0,4)</f>
        <v>2</v>
      </c>
    </row>
    <row r="1380" spans="1:7" ht="45">
      <c r="A1380" t="s">
        <v>6675</v>
      </c>
      <c r="B1380" s="310" t="s">
        <v>4689</v>
      </c>
      <c r="C1380" s="126" t="s">
        <v>4690</v>
      </c>
      <c r="D1380" s="126" t="s">
        <v>4691</v>
      </c>
      <c r="E1380" s="126" t="s">
        <v>4692</v>
      </c>
      <c r="F1380" s="125" t="s">
        <v>3313</v>
      </c>
      <c r="G1380">
        <f>IF(getRGB1($C1380)="FFFFFF",0,1)+IF(getRGB1($D1380)="FFFFFF",0,2)+IF(getRGB1($E1380)="FFFFFF",0,3)+IF(getRGB1($F1380)="FFFFFF",0,4)</f>
        <v>4</v>
      </c>
    </row>
    <row r="1381" spans="1:7">
      <c r="A1381" t="s">
        <v>6675</v>
      </c>
      <c r="B1381" s="308" t="s">
        <v>4693</v>
      </c>
      <c r="C1381" s="309" t="s">
        <v>3466</v>
      </c>
      <c r="D1381" s="125" t="s">
        <v>3540</v>
      </c>
      <c r="E1381" s="309" t="s">
        <v>3444</v>
      </c>
      <c r="F1381" s="309" t="s">
        <v>4694</v>
      </c>
      <c r="G1381">
        <f>IF(getRGB1($C1381)="FFFFFF",0,1)+IF(getRGB1($D1381)="FFFFFF",0,2)+IF(getRGB1($E1381)="FFFFFF",0,3)+IF(getRGB1($F1381)="FFFFFF",0,4)</f>
        <v>2</v>
      </c>
    </row>
    <row r="1382" spans="1:7" ht="30">
      <c r="A1382" t="s">
        <v>6675</v>
      </c>
      <c r="B1382" s="308" t="s">
        <v>4695</v>
      </c>
      <c r="C1382" s="125" t="s">
        <v>4696</v>
      </c>
      <c r="D1382" s="309" t="s">
        <v>4697</v>
      </c>
      <c r="E1382" s="309" t="s">
        <v>4698</v>
      </c>
      <c r="F1382" s="309" t="s">
        <v>4699</v>
      </c>
      <c r="G1382">
        <f>IF(getRGB1($C1382)="FFFFFF",0,1)+IF(getRGB1($D1382)="FFFFFF",0,2)+IF(getRGB1($E1382)="FFFFFF",0,3)+IF(getRGB1($F1382)="FFFFFF",0,4)</f>
        <v>1</v>
      </c>
    </row>
    <row r="1383" spans="1:7" ht="45">
      <c r="A1383" t="s">
        <v>6675</v>
      </c>
      <c r="B1383" s="308" t="s">
        <v>4700</v>
      </c>
      <c r="C1383" s="309" t="s">
        <v>4701</v>
      </c>
      <c r="D1383" s="309" t="s">
        <v>4702</v>
      </c>
      <c r="E1383" s="309" t="s">
        <v>4703</v>
      </c>
      <c r="F1383" s="125" t="s">
        <v>4704</v>
      </c>
      <c r="G1383">
        <f>IF(getRGB1($C1383)="FFFFFF",0,1)+IF(getRGB1($D1383)="FFFFFF",0,2)+IF(getRGB1($E1383)="FFFFFF",0,3)+IF(getRGB1($F1383)="FFFFFF",0,4)</f>
        <v>4</v>
      </c>
    </row>
    <row r="1384" spans="1:7" ht="30">
      <c r="A1384" t="s">
        <v>6675</v>
      </c>
      <c r="B1384" s="311" t="s">
        <v>4705</v>
      </c>
      <c r="C1384" s="312" t="s">
        <v>4706</v>
      </c>
      <c r="D1384" s="313" t="s">
        <v>4707</v>
      </c>
      <c r="E1384" s="312" t="s">
        <v>4708</v>
      </c>
      <c r="F1384" s="312" t="s">
        <v>4709</v>
      </c>
      <c r="G1384">
        <f>IF(getRGB1($C1384)="FFFFFF",0,1)+IF(getRGB1($D1384)="FFFFFF",0,2)+IF(getRGB1($E1384)="FFFFFF",0,3)+IF(getRGB1($F1384)="FFFFFF",0,4)</f>
        <v>2</v>
      </c>
    </row>
    <row r="1385" spans="1:7" ht="45">
      <c r="A1385" t="s">
        <v>6675</v>
      </c>
      <c r="B1385" s="311" t="s">
        <v>4710</v>
      </c>
      <c r="C1385" s="312" t="s">
        <v>4711</v>
      </c>
      <c r="D1385" s="313" t="s">
        <v>4712</v>
      </c>
      <c r="E1385" s="312" t="s">
        <v>4713</v>
      </c>
      <c r="F1385" s="312" t="s">
        <v>4714</v>
      </c>
      <c r="G1385">
        <f>IF(getRGB1($C1385)="FFFFFF",0,1)+IF(getRGB1($D1385)="FFFFFF",0,2)+IF(getRGB1($E1385)="FFFFFF",0,3)+IF(getRGB1($F1385)="FFFFFF",0,4)</f>
        <v>2</v>
      </c>
    </row>
    <row r="1386" spans="1:7" ht="60">
      <c r="A1386" t="s">
        <v>6675</v>
      </c>
      <c r="B1386" s="308" t="s">
        <v>4715</v>
      </c>
      <c r="C1386" s="309" t="s">
        <v>4716</v>
      </c>
      <c r="D1386" s="125" t="s">
        <v>4717</v>
      </c>
      <c r="E1386" s="309" t="s">
        <v>4718</v>
      </c>
      <c r="F1386" s="309" t="s">
        <v>4719</v>
      </c>
      <c r="G1386">
        <f>IF(getRGB1($C1386)="FFFFFF",0,1)+IF(getRGB1($D1386)="FFFFFF",0,2)+IF(getRGB1($E1386)="FFFFFF",0,3)+IF(getRGB1($F1386)="FFFFFF",0,4)</f>
        <v>2</v>
      </c>
    </row>
    <row r="1387" spans="1:7" ht="45">
      <c r="A1387" t="s">
        <v>6675</v>
      </c>
      <c r="B1387" s="308" t="s">
        <v>4720</v>
      </c>
      <c r="C1387" s="309" t="s">
        <v>4717</v>
      </c>
      <c r="D1387" s="309" t="s">
        <v>4721</v>
      </c>
      <c r="E1387" s="125" t="s">
        <v>4722</v>
      </c>
      <c r="F1387" s="309" t="s">
        <v>4723</v>
      </c>
      <c r="G1387">
        <f>IF(getRGB1($C1387)="FFFFFF",0,1)+IF(getRGB1($D1387)="FFFFFF",0,2)+IF(getRGB1($E1387)="FFFFFF",0,3)+IF(getRGB1($F1387)="FFFFFF",0,4)</f>
        <v>3</v>
      </c>
    </row>
    <row r="1388" spans="1:7" ht="45">
      <c r="A1388" t="s">
        <v>6675</v>
      </c>
      <c r="B1388" s="311" t="s">
        <v>4724</v>
      </c>
      <c r="C1388" s="312" t="s">
        <v>4725</v>
      </c>
      <c r="D1388" s="312" t="s">
        <v>4726</v>
      </c>
      <c r="E1388" s="313" t="s">
        <v>4727</v>
      </c>
      <c r="F1388" s="312" t="s">
        <v>4728</v>
      </c>
      <c r="G1388">
        <f>IF(getRGB1($C1388)="FFFFFF",0,1)+IF(getRGB1($D1388)="FFFFFF",0,2)+IF(getRGB1($E1388)="FFFFFF",0,3)+IF(getRGB1($F1388)="FFFFFF",0,4)</f>
        <v>3</v>
      </c>
    </row>
    <row r="1389" spans="1:7" ht="45">
      <c r="A1389" t="s">
        <v>6675</v>
      </c>
      <c r="B1389" s="311" t="s">
        <v>4729</v>
      </c>
      <c r="C1389" s="309" t="s">
        <v>4730</v>
      </c>
      <c r="D1389" s="125" t="s">
        <v>4731</v>
      </c>
      <c r="E1389" s="309" t="s">
        <v>4721</v>
      </c>
      <c r="F1389" s="309" t="s">
        <v>4723</v>
      </c>
      <c r="G1389">
        <f>IF(getRGB1($C1389)="FFFFFF",0,1)+IF(getRGB1($D1389)="FFFFFF",0,2)+IF(getRGB1($E1389)="FFFFFF",0,3)+IF(getRGB1($F1389)="FFFFFF",0,4)</f>
        <v>2</v>
      </c>
    </row>
    <row r="1390" spans="1:7" ht="45">
      <c r="A1390" t="s">
        <v>6675</v>
      </c>
      <c r="B1390" s="308" t="s">
        <v>4732</v>
      </c>
      <c r="C1390" s="309" t="s">
        <v>4730</v>
      </c>
      <c r="D1390" s="125" t="s">
        <v>4731</v>
      </c>
      <c r="E1390" s="309" t="s">
        <v>4721</v>
      </c>
      <c r="F1390" s="309" t="s">
        <v>4719</v>
      </c>
      <c r="G1390">
        <f>IF(getRGB1($C1390)="FFFFFF",0,1)+IF(getRGB1($D1390)="FFFFFF",0,2)+IF(getRGB1($E1390)="FFFFFF",0,3)+IF(getRGB1($F1390)="FFFFFF",0,4)</f>
        <v>2</v>
      </c>
    </row>
    <row r="1391" spans="1:7" ht="45">
      <c r="A1391" t="s">
        <v>6675</v>
      </c>
      <c r="B1391" s="308" t="s">
        <v>4733</v>
      </c>
      <c r="C1391" s="309" t="s">
        <v>4734</v>
      </c>
      <c r="D1391" s="309" t="s">
        <v>4731</v>
      </c>
      <c r="E1391" s="309" t="s">
        <v>4721</v>
      </c>
      <c r="F1391" s="125" t="s">
        <v>4722</v>
      </c>
      <c r="G1391">
        <f>IF(getRGB1($C1391)="FFFFFF",0,1)+IF(getRGB1($D1391)="FFFFFF",0,2)+IF(getRGB1($E1391)="FFFFFF",0,3)+IF(getRGB1($F1391)="FFFFFF",0,4)</f>
        <v>4</v>
      </c>
    </row>
    <row r="1392" spans="1:7" ht="30">
      <c r="A1392" t="s">
        <v>6675</v>
      </c>
      <c r="B1392" s="308" t="s">
        <v>4735</v>
      </c>
      <c r="C1392" s="309" t="s">
        <v>4736</v>
      </c>
      <c r="D1392" s="309" t="s">
        <v>4737</v>
      </c>
      <c r="E1392" s="125" t="s">
        <v>4738</v>
      </c>
      <c r="F1392" s="309" t="s">
        <v>4719</v>
      </c>
      <c r="G1392">
        <f>IF(getRGB1($C1392)="FFFFFF",0,1)+IF(getRGB1($D1392)="FFFFFF",0,2)+IF(getRGB1($E1392)="FFFFFF",0,3)+IF(getRGB1($F1392)="FFFFFF",0,4)</f>
        <v>3</v>
      </c>
    </row>
    <row r="1393" spans="1:7" ht="30">
      <c r="A1393" t="s">
        <v>6675</v>
      </c>
      <c r="B1393" s="308" t="s">
        <v>4739</v>
      </c>
      <c r="C1393" s="309" t="s">
        <v>4740</v>
      </c>
      <c r="D1393" s="309" t="s">
        <v>4741</v>
      </c>
      <c r="E1393" s="309" t="s">
        <v>4742</v>
      </c>
      <c r="F1393" s="125" t="s">
        <v>4743</v>
      </c>
      <c r="G1393">
        <f>IF(getRGB1($C1393)="FFFFFF",0,1)+IF(getRGB1($D1393)="FFFFFF",0,2)+IF(getRGB1($E1393)="FFFFFF",0,3)+IF(getRGB1($F1393)="FFFFFF",0,4)</f>
        <v>4</v>
      </c>
    </row>
    <row r="1394" spans="1:7" ht="30">
      <c r="A1394" t="s">
        <v>6675</v>
      </c>
      <c r="B1394" s="308" t="s">
        <v>4744</v>
      </c>
      <c r="C1394" s="309" t="s">
        <v>1203</v>
      </c>
      <c r="D1394" s="126" t="s">
        <v>4745</v>
      </c>
      <c r="E1394" s="309" t="s">
        <v>4719</v>
      </c>
      <c r="F1394" s="125" t="s">
        <v>4746</v>
      </c>
      <c r="G1394">
        <f>IF(getRGB1($C1394)="FFFFFF",0,1)+IF(getRGB1($D1394)="FFFFFF",0,2)+IF(getRGB1($E1394)="FFFFFF",0,3)+IF(getRGB1($F1394)="FFFFFF",0,4)</f>
        <v>4</v>
      </c>
    </row>
    <row r="1395" spans="1:7" ht="30">
      <c r="A1395" t="s">
        <v>6675</v>
      </c>
      <c r="B1395" s="308" t="s">
        <v>4747</v>
      </c>
      <c r="C1395" s="125" t="s">
        <v>1203</v>
      </c>
      <c r="D1395" s="309" t="s">
        <v>4745</v>
      </c>
      <c r="E1395" s="309" t="s">
        <v>4719</v>
      </c>
      <c r="F1395" s="309" t="s">
        <v>4748</v>
      </c>
      <c r="G1395">
        <f>IF(getRGB1($C1395)="FFFFFF",0,1)+IF(getRGB1($D1395)="FFFFFF",0,2)+IF(getRGB1($E1395)="FFFFFF",0,3)+IF(getRGB1($F1395)="FFFFFF",0,4)</f>
        <v>1</v>
      </c>
    </row>
    <row r="1396" spans="1:7">
      <c r="A1396" t="s">
        <v>6675</v>
      </c>
      <c r="B1396" s="308" t="s">
        <v>4749</v>
      </c>
      <c r="C1396" s="309" t="s">
        <v>3473</v>
      </c>
      <c r="D1396" s="309" t="s">
        <v>3471</v>
      </c>
      <c r="E1396" s="125" t="s">
        <v>3472</v>
      </c>
      <c r="F1396" s="309" t="s">
        <v>3539</v>
      </c>
      <c r="G1396">
        <f>IF(getRGB1($C1396)="FFFFFF",0,1)+IF(getRGB1($D1396)="FFFFFF",0,2)+IF(getRGB1($E1396)="FFFFFF",0,3)+IF(getRGB1($F1396)="FFFFFF",0,4)</f>
        <v>3</v>
      </c>
    </row>
    <row r="1397" spans="1:7" ht="30">
      <c r="A1397" t="s">
        <v>6675</v>
      </c>
      <c r="B1397" s="308" t="s">
        <v>4750</v>
      </c>
      <c r="C1397" s="309">
        <v>1948</v>
      </c>
      <c r="D1397" s="125">
        <v>1975</v>
      </c>
      <c r="E1397" s="309">
        <v>1991</v>
      </c>
      <c r="F1397" s="309" t="s">
        <v>4751</v>
      </c>
      <c r="G1397">
        <f>IF(getRGB1($C1397)="FFFFFF",0,1)+IF(getRGB1($D1397)="FFFFFF",0,2)+IF(getRGB1($E1397)="FFFFFF",0,3)+IF(getRGB1($F1397)="FFFFFF",0,4)</f>
        <v>2</v>
      </c>
    </row>
    <row r="1398" spans="1:7">
      <c r="A1398" t="s">
        <v>6675</v>
      </c>
      <c r="B1398" s="308" t="s">
        <v>4752</v>
      </c>
      <c r="C1398" s="309" t="s">
        <v>74</v>
      </c>
      <c r="D1398" s="125" t="s">
        <v>76</v>
      </c>
      <c r="E1398" s="309" t="s">
        <v>270</v>
      </c>
      <c r="F1398" s="309" t="s">
        <v>73</v>
      </c>
      <c r="G1398">
        <f>IF(getRGB1($C1398)="FFFFFF",0,1)+IF(getRGB1($D1398)="FFFFFF",0,2)+IF(getRGB1($E1398)="FFFFFF",0,3)+IF(getRGB1($F1398)="FFFFFF",0,4)</f>
        <v>2</v>
      </c>
    </row>
    <row r="1399" spans="1:7" ht="30">
      <c r="A1399" t="s">
        <v>6675</v>
      </c>
      <c r="B1399" s="308" t="s">
        <v>4753</v>
      </c>
      <c r="C1399" s="309" t="s">
        <v>74</v>
      </c>
      <c r="D1399" s="309" t="s">
        <v>73</v>
      </c>
      <c r="E1399" s="309" t="s">
        <v>76</v>
      </c>
      <c r="F1399" s="125" t="s">
        <v>270</v>
      </c>
      <c r="G1399">
        <f>IF(getRGB1($C1399)="FFFFFF",0,1)+IF(getRGB1($D1399)="FFFFFF",0,2)+IF(getRGB1($E1399)="FFFFFF",0,3)+IF(getRGB1($F1399)="FFFFFF",0,4)</f>
        <v>4</v>
      </c>
    </row>
    <row r="1400" spans="1:7" ht="30">
      <c r="A1400" t="s">
        <v>6675</v>
      </c>
      <c r="B1400" s="311" t="s">
        <v>4754</v>
      </c>
      <c r="C1400" s="313" t="s">
        <v>74</v>
      </c>
      <c r="D1400" s="309" t="s">
        <v>73</v>
      </c>
      <c r="E1400" s="309" t="s">
        <v>177</v>
      </c>
      <c r="F1400" s="309" t="s">
        <v>4755</v>
      </c>
      <c r="G1400">
        <f>IF(getRGB1($C1400)="FFFFFF",0,1)+IF(getRGB1($D1400)="FFFFFF",0,2)+IF(getRGB1($E1400)="FFFFFF",0,3)+IF(getRGB1($F1400)="FFFFFF",0,4)</f>
        <v>1</v>
      </c>
    </row>
    <row r="1401" spans="1:7" ht="30">
      <c r="A1401" t="s">
        <v>6675</v>
      </c>
      <c r="B1401" s="308" t="s">
        <v>4655</v>
      </c>
      <c r="C1401" s="309" t="s">
        <v>4656</v>
      </c>
      <c r="D1401" s="309" t="s">
        <v>4657</v>
      </c>
      <c r="E1401" s="125" t="s">
        <v>74</v>
      </c>
      <c r="F1401" s="309" t="s">
        <v>4658</v>
      </c>
      <c r="G1401">
        <f>IF(getRGB1($C1401)="FFFFFF",0,1)+IF(getRGB1($D1401)="FFFFFF",0,2)+IF(getRGB1($E1401)="FFFFFF",0,3)+IF(getRGB1($F1401)="FFFFFF",0,4)</f>
        <v>3</v>
      </c>
    </row>
    <row r="1402" spans="1:7" ht="30">
      <c r="A1402" t="s">
        <v>6675</v>
      </c>
      <c r="B1402" s="308" t="s">
        <v>4756</v>
      </c>
      <c r="C1402" s="309" t="s">
        <v>73</v>
      </c>
      <c r="D1402" s="309" t="s">
        <v>4757</v>
      </c>
      <c r="E1402" s="309" t="s">
        <v>4758</v>
      </c>
      <c r="F1402" s="125" t="s">
        <v>4755</v>
      </c>
      <c r="G1402">
        <f>IF(getRGB1($C1402)="FFFFFF",0,1)+IF(getRGB1($D1402)="FFFFFF",0,2)+IF(getRGB1($E1402)="FFFFFF",0,3)+IF(getRGB1($F1402)="FFFFFF",0,4)</f>
        <v>4</v>
      </c>
    </row>
    <row r="1403" spans="1:7" ht="30">
      <c r="A1403" t="s">
        <v>6675</v>
      </c>
      <c r="B1403" s="308" t="s">
        <v>4759</v>
      </c>
      <c r="C1403" s="125" t="s">
        <v>74</v>
      </c>
      <c r="D1403" s="309" t="s">
        <v>73</v>
      </c>
      <c r="E1403" s="309" t="s">
        <v>177</v>
      </c>
      <c r="F1403" s="309" t="s">
        <v>4760</v>
      </c>
      <c r="G1403">
        <f>IF(getRGB1($C1403)="FFFFFF",0,1)+IF(getRGB1($D1403)="FFFFFF",0,2)+IF(getRGB1($E1403)="FFFFFF",0,3)+IF(getRGB1($F1403)="FFFFFF",0,4)</f>
        <v>1</v>
      </c>
    </row>
    <row r="1404" spans="1:7" ht="45">
      <c r="A1404" t="s">
        <v>6675</v>
      </c>
      <c r="B1404" s="308" t="s">
        <v>4761</v>
      </c>
      <c r="C1404" s="309" t="s">
        <v>74</v>
      </c>
      <c r="D1404" s="125" t="s">
        <v>73</v>
      </c>
      <c r="E1404" s="309" t="s">
        <v>177</v>
      </c>
      <c r="F1404" s="309" t="s">
        <v>4658</v>
      </c>
      <c r="G1404">
        <f>IF(getRGB1($C1404)="FFFFFF",0,1)+IF(getRGB1($D1404)="FFFFFF",0,2)+IF(getRGB1($E1404)="FFFFFF",0,3)+IF(getRGB1($F1404)="FFFFFF",0,4)</f>
        <v>2</v>
      </c>
    </row>
    <row r="1405" spans="1:7" ht="30">
      <c r="A1405" t="s">
        <v>6675</v>
      </c>
      <c r="B1405" s="308" t="s">
        <v>4762</v>
      </c>
      <c r="C1405" s="309" t="s">
        <v>4763</v>
      </c>
      <c r="D1405" s="309" t="s">
        <v>1203</v>
      </c>
      <c r="E1405" s="309" t="s">
        <v>4764</v>
      </c>
      <c r="F1405" s="125" t="s">
        <v>2808</v>
      </c>
      <c r="G1405">
        <f>IF(getRGB1($C1405)="FFFFFF",0,1)+IF(getRGB1($D1405)="FFFFFF",0,2)+IF(getRGB1($E1405)="FFFFFF",0,3)+IF(getRGB1($F1405)="FFFFFF",0,4)</f>
        <v>4</v>
      </c>
    </row>
    <row r="1406" spans="1:7">
      <c r="A1406" t="s">
        <v>6675</v>
      </c>
      <c r="B1406" s="314" t="s">
        <v>4765</v>
      </c>
      <c r="C1406" s="309">
        <v>3</v>
      </c>
      <c r="D1406" s="125">
        <v>4</v>
      </c>
      <c r="E1406" s="309">
        <v>5</v>
      </c>
      <c r="F1406" s="309">
        <v>6</v>
      </c>
      <c r="G1406">
        <f>IF(getRGB1($C1406)="FFFFFF",0,1)+IF(getRGB1($D1406)="FFFFFF",0,2)+IF(getRGB1($E1406)="FFFFFF",0,3)+IF(getRGB1($F1406)="FFFFFF",0,4)</f>
        <v>2</v>
      </c>
    </row>
    <row r="1407" spans="1:7" ht="30">
      <c r="A1407" t="s">
        <v>6675</v>
      </c>
      <c r="B1407" s="308" t="s">
        <v>4766</v>
      </c>
      <c r="C1407" s="309" t="s">
        <v>4767</v>
      </c>
      <c r="D1407" s="309" t="s">
        <v>4768</v>
      </c>
      <c r="E1407" s="309" t="s">
        <v>4769</v>
      </c>
      <c r="F1407" s="125" t="s">
        <v>4770</v>
      </c>
      <c r="G1407">
        <f>IF(getRGB1($C1407)="FFFFFF",0,1)+IF(getRGB1($D1407)="FFFFFF",0,2)+IF(getRGB1($E1407)="FFFFFF",0,3)+IF(getRGB1($F1407)="FFFFFF",0,4)</f>
        <v>4</v>
      </c>
    </row>
    <row r="1408" spans="1:7">
      <c r="A1408" t="s">
        <v>6675</v>
      </c>
      <c r="B1408" s="308" t="s">
        <v>4771</v>
      </c>
      <c r="C1408" s="125" t="s">
        <v>4772</v>
      </c>
      <c r="D1408" s="309" t="s">
        <v>4767</v>
      </c>
      <c r="E1408" s="309" t="s">
        <v>4768</v>
      </c>
      <c r="F1408" s="309" t="s">
        <v>4769</v>
      </c>
      <c r="G1408">
        <f>IF(getRGB1($C1408)="FFFFFF",0,1)+IF(getRGB1($D1408)="FFFFFF",0,2)+IF(getRGB1($E1408)="FFFFFF",0,3)+IF(getRGB1($F1408)="FFFFFF",0,4)</f>
        <v>1</v>
      </c>
    </row>
    <row r="1409" spans="1:7" ht="30">
      <c r="A1409" t="s">
        <v>6675</v>
      </c>
      <c r="B1409" s="308" t="s">
        <v>4773</v>
      </c>
      <c r="C1409" s="309">
        <v>400</v>
      </c>
      <c r="D1409" s="309">
        <v>500</v>
      </c>
      <c r="E1409" s="125">
        <v>600</v>
      </c>
      <c r="F1409" s="309">
        <v>1000</v>
      </c>
      <c r="G1409">
        <f>IF(getRGB1($C1409)="FFFFFF",0,1)+IF(getRGB1($D1409)="FFFFFF",0,2)+IF(getRGB1($E1409)="FFFFFF",0,3)+IF(getRGB1($F1409)="FFFFFF",0,4)</f>
        <v>3</v>
      </c>
    </row>
    <row r="1410" spans="1:7">
      <c r="A1410" t="s">
        <v>6675</v>
      </c>
      <c r="B1410" s="308" t="s">
        <v>4774</v>
      </c>
      <c r="C1410" s="309" t="s">
        <v>4775</v>
      </c>
      <c r="D1410" s="309" t="s">
        <v>4776</v>
      </c>
      <c r="E1410" s="309" t="s">
        <v>83</v>
      </c>
      <c r="F1410" s="125" t="s">
        <v>4777</v>
      </c>
      <c r="G1410">
        <f>IF(getRGB1($C1410)="FFFFFF",0,1)+IF(getRGB1($D1410)="FFFFFF",0,2)+IF(getRGB1($E1410)="FFFFFF",0,3)+IF(getRGB1($F1410)="FFFFFF",0,4)</f>
        <v>4</v>
      </c>
    </row>
    <row r="1411" spans="1:7" ht="30">
      <c r="A1411" t="s">
        <v>6675</v>
      </c>
      <c r="B1411" s="314" t="s">
        <v>4778</v>
      </c>
      <c r="C1411" s="315">
        <v>0.65</v>
      </c>
      <c r="D1411" s="127">
        <v>0.75</v>
      </c>
      <c r="E1411" s="315">
        <v>0.85</v>
      </c>
      <c r="F1411" s="128">
        <v>0.61</v>
      </c>
      <c r="G1411">
        <f>IF(getRGB1($C1411)="FFFFFF",0,1)+IF(getRGB1($D1411)="FFFFFF",0,2)+IF(getRGB1($E1411)="FFFFFF",0,3)+IF(getRGB1($F1411)="FFFFFF",0,4)</f>
        <v>4</v>
      </c>
    </row>
    <row r="1412" spans="1:7">
      <c r="A1412" t="s">
        <v>6675</v>
      </c>
      <c r="B1412" s="308" t="s">
        <v>4779</v>
      </c>
      <c r="C1412" s="309" t="s">
        <v>4780</v>
      </c>
      <c r="D1412" s="309" t="s">
        <v>4781</v>
      </c>
      <c r="E1412" s="125" t="s">
        <v>4782</v>
      </c>
      <c r="F1412" s="309" t="s">
        <v>4783</v>
      </c>
      <c r="G1412">
        <f>IF(getRGB1($C1412)="FFFFFF",0,1)+IF(getRGB1($D1412)="FFFFFF",0,2)+IF(getRGB1($E1412)="FFFFFF",0,3)+IF(getRGB1($F1412)="FFFFFF",0,4)</f>
        <v>3</v>
      </c>
    </row>
    <row r="1413" spans="1:7" ht="30">
      <c r="A1413" t="s">
        <v>6675</v>
      </c>
      <c r="B1413" s="308" t="s">
        <v>4784</v>
      </c>
      <c r="C1413" s="309" t="s">
        <v>4785</v>
      </c>
      <c r="D1413" s="125" t="s">
        <v>4786</v>
      </c>
      <c r="E1413" s="309" t="s">
        <v>4787</v>
      </c>
      <c r="F1413" s="309" t="s">
        <v>4719</v>
      </c>
      <c r="G1413">
        <f>IF(getRGB1($C1413)="FFFFFF",0,1)+IF(getRGB1($D1413)="FFFFFF",0,2)+IF(getRGB1($E1413)="FFFFFF",0,3)+IF(getRGB1($F1413)="FFFFFF",0,4)</f>
        <v>2</v>
      </c>
    </row>
    <row r="1414" spans="1:7" ht="30">
      <c r="A1414" t="s">
        <v>6675</v>
      </c>
      <c r="B1414" s="308" t="s">
        <v>4788</v>
      </c>
      <c r="C1414" s="125" t="s">
        <v>4785</v>
      </c>
      <c r="D1414" s="309" t="s">
        <v>4786</v>
      </c>
      <c r="E1414" s="309" t="s">
        <v>4787</v>
      </c>
      <c r="F1414" s="309" t="s">
        <v>4719</v>
      </c>
      <c r="G1414">
        <f>IF(getRGB1($C1414)="FFFFFF",0,1)+IF(getRGB1($D1414)="FFFFFF",0,2)+IF(getRGB1($E1414)="FFFFFF",0,3)+IF(getRGB1($F1414)="FFFFFF",0,4)</f>
        <v>1</v>
      </c>
    </row>
    <row r="1415" spans="1:7" ht="30">
      <c r="A1415" t="s">
        <v>6675</v>
      </c>
      <c r="B1415" s="308" t="s">
        <v>4789</v>
      </c>
      <c r="C1415" s="125" t="s">
        <v>4785</v>
      </c>
      <c r="D1415" s="309" t="s">
        <v>4786</v>
      </c>
      <c r="E1415" s="309" t="s">
        <v>4787</v>
      </c>
      <c r="F1415" s="309" t="s">
        <v>4719</v>
      </c>
      <c r="G1415">
        <f>IF(getRGB1($C1415)="FFFFFF",0,1)+IF(getRGB1($D1415)="FFFFFF",0,2)+IF(getRGB1($E1415)="FFFFFF",0,3)+IF(getRGB1($F1415)="FFFFFF",0,4)</f>
        <v>1</v>
      </c>
    </row>
    <row r="1416" spans="1:7" ht="30">
      <c r="A1416" t="s">
        <v>6675</v>
      </c>
      <c r="B1416" s="308" t="s">
        <v>4790</v>
      </c>
      <c r="C1416" s="125" t="s">
        <v>4785</v>
      </c>
      <c r="D1416" s="309" t="s">
        <v>4786</v>
      </c>
      <c r="E1416" s="309" t="s">
        <v>4787</v>
      </c>
      <c r="F1416" s="309" t="s">
        <v>4719</v>
      </c>
      <c r="G1416">
        <f>IF(getRGB1($C1416)="FFFFFF",0,1)+IF(getRGB1($D1416)="FFFFFF",0,2)+IF(getRGB1($E1416)="FFFFFF",0,3)+IF(getRGB1($F1416)="FFFFFF",0,4)</f>
        <v>1</v>
      </c>
    </row>
    <row r="1417" spans="1:7" ht="30">
      <c r="A1417" t="s">
        <v>6675</v>
      </c>
      <c r="B1417" s="308" t="s">
        <v>4791</v>
      </c>
      <c r="C1417" s="309" t="s">
        <v>1073</v>
      </c>
      <c r="D1417" s="309" t="s">
        <v>4792</v>
      </c>
      <c r="E1417" s="309" t="s">
        <v>4793</v>
      </c>
      <c r="F1417" s="125" t="s">
        <v>4794</v>
      </c>
      <c r="G1417">
        <f>IF(getRGB1($C1417)="FFFFFF",0,1)+IF(getRGB1($D1417)="FFFFFF",0,2)+IF(getRGB1($E1417)="FFFFFF",0,3)+IF(getRGB1($F1417)="FFFFFF",0,4)</f>
        <v>4</v>
      </c>
    </row>
    <row r="1418" spans="1:7" ht="45">
      <c r="A1418" t="s">
        <v>6675</v>
      </c>
      <c r="B1418" s="308" t="s">
        <v>4795</v>
      </c>
      <c r="C1418" s="309" t="s">
        <v>4716</v>
      </c>
      <c r="D1418" s="125" t="s">
        <v>4717</v>
      </c>
      <c r="E1418" s="309" t="s">
        <v>4796</v>
      </c>
      <c r="F1418" s="309" t="s">
        <v>209</v>
      </c>
      <c r="G1418">
        <f>IF(getRGB1($C1418)="FFFFFF",0,1)+IF(getRGB1($D1418)="FFFFFF",0,2)+IF(getRGB1($E1418)="FFFFFF",0,3)+IF(getRGB1($F1418)="FFFFFF",0,4)</f>
        <v>2</v>
      </c>
    </row>
    <row r="1419" spans="1:7" ht="45">
      <c r="A1419" t="s">
        <v>6675</v>
      </c>
      <c r="B1419" s="308" t="s">
        <v>4797</v>
      </c>
      <c r="C1419" s="309" t="s">
        <v>4716</v>
      </c>
      <c r="D1419" s="309" t="s">
        <v>4717</v>
      </c>
      <c r="E1419" s="309" t="s">
        <v>4796</v>
      </c>
      <c r="F1419" s="125" t="s">
        <v>4798</v>
      </c>
      <c r="G1419">
        <f>IF(getRGB1($C1419)="FFFFFF",0,1)+IF(getRGB1($D1419)="FFFFFF",0,2)+IF(getRGB1($E1419)="FFFFFF",0,3)+IF(getRGB1($F1419)="FFFFFF",0,4)</f>
        <v>4</v>
      </c>
    </row>
    <row r="1420" spans="1:7" ht="30">
      <c r="A1420" t="s">
        <v>6675</v>
      </c>
      <c r="B1420" s="308" t="s">
        <v>4659</v>
      </c>
      <c r="C1420" s="309" t="s">
        <v>4660</v>
      </c>
      <c r="D1420" s="309" t="s">
        <v>4661</v>
      </c>
      <c r="E1420" s="309" t="s">
        <v>4662</v>
      </c>
      <c r="F1420" s="125" t="s">
        <v>1725</v>
      </c>
      <c r="G1420">
        <f>IF(getRGB1($C1420)="FFFFFF",0,1)+IF(getRGB1($D1420)="FFFFFF",0,2)+IF(getRGB1($E1420)="FFFFFF",0,3)+IF(getRGB1($F1420)="FFFFFF",0,4)</f>
        <v>4</v>
      </c>
    </row>
    <row r="1421" spans="1:7" ht="45">
      <c r="A1421" t="s">
        <v>6675</v>
      </c>
      <c r="B1421" s="316" t="s">
        <v>4799</v>
      </c>
      <c r="C1421" s="309" t="s">
        <v>4716</v>
      </c>
      <c r="D1421" s="309" t="s">
        <v>4717</v>
      </c>
      <c r="E1421" s="125" t="s">
        <v>4796</v>
      </c>
      <c r="F1421" s="126" t="s">
        <v>4798</v>
      </c>
      <c r="G1421">
        <f>IF(getRGB1($C1421)="FFFFFF",0,1)+IF(getRGB1($D1421)="FFFFFF",0,2)+IF(getRGB1($E1421)="FFFFFF",0,3)+IF(getRGB1($F1421)="FFFFFF",0,4)</f>
        <v>3</v>
      </c>
    </row>
    <row r="1422" spans="1:7" ht="30">
      <c r="A1422" t="s">
        <v>6675</v>
      </c>
      <c r="B1422" s="308" t="s">
        <v>4645</v>
      </c>
      <c r="C1422" s="309" t="s">
        <v>4646</v>
      </c>
      <c r="D1422" s="309" t="s">
        <v>4647</v>
      </c>
      <c r="E1422" s="125" t="s">
        <v>4648</v>
      </c>
      <c r="F1422" s="309" t="s">
        <v>209</v>
      </c>
      <c r="G1422">
        <f>IF(getRGB1($C1422)="FFFFFF",0,1)+IF(getRGB1($D1422)="FFFFFF",0,2)+IF(getRGB1($E1422)="FFFFFF",0,3)+IF(getRGB1($F1422)="FFFFFF",0,4)</f>
        <v>3</v>
      </c>
    </row>
    <row r="1423" spans="1:7" ht="30">
      <c r="A1423" t="s">
        <v>6675</v>
      </c>
      <c r="B1423" s="304" t="s">
        <v>4649</v>
      </c>
      <c r="C1423" s="305" t="s">
        <v>4646</v>
      </c>
      <c r="D1423" s="307" t="s">
        <v>4647</v>
      </c>
      <c r="E1423" s="305" t="s">
        <v>4648</v>
      </c>
      <c r="F1423" s="306" t="s">
        <v>209</v>
      </c>
      <c r="G1423">
        <f>IF(getRGB1($C1423)="FFFFFF",0,1)+IF(getRGB1($D1423)="FFFFFF",0,2)+IF(getRGB1($E1423)="FFFFFF",0,3)+IF(getRGB1($F1423)="FFFFFF",0,4)</f>
        <v>2</v>
      </c>
    </row>
    <row r="1424" spans="1:7" ht="30">
      <c r="A1424" t="s">
        <v>6675</v>
      </c>
      <c r="B1424" s="304" t="s">
        <v>4650</v>
      </c>
      <c r="C1424" s="305" t="s">
        <v>4646</v>
      </c>
      <c r="D1424" s="307" t="s">
        <v>4647</v>
      </c>
      <c r="E1424" s="305" t="s">
        <v>4648</v>
      </c>
      <c r="F1424" s="305" t="s">
        <v>209</v>
      </c>
      <c r="G1424">
        <f>IF(getRGB1($C1424)="FFFFFF",0,1)+IF(getRGB1($D1424)="FFFFFF",0,2)+IF(getRGB1($E1424)="FFFFFF",0,3)+IF(getRGB1($F1424)="FFFFFF",0,4)</f>
        <v>2</v>
      </c>
    </row>
    <row r="1425" spans="1:7" ht="45">
      <c r="A1425" t="s">
        <v>6675</v>
      </c>
      <c r="B1425" s="304" t="s">
        <v>4651</v>
      </c>
      <c r="C1425" s="305" t="s">
        <v>4646</v>
      </c>
      <c r="D1425" s="307" t="s">
        <v>4647</v>
      </c>
      <c r="E1425" s="305" t="s">
        <v>4648</v>
      </c>
      <c r="F1425" s="305" t="s">
        <v>209</v>
      </c>
      <c r="G1425">
        <f>IF(getRGB1($C1425)="FFFFFF",0,1)+IF(getRGB1($D1425)="FFFFFF",0,2)+IF(getRGB1($E1425)="FFFFFF",0,3)+IF(getRGB1($F1425)="FFFFFF",0,4)</f>
        <v>2</v>
      </c>
    </row>
    <row r="1426" spans="1:7" ht="30">
      <c r="A1426" t="s">
        <v>6675</v>
      </c>
      <c r="B1426" s="308" t="s">
        <v>4652</v>
      </c>
      <c r="C1426" s="309">
        <v>2</v>
      </c>
      <c r="D1426" s="125">
        <v>3</v>
      </c>
      <c r="E1426" s="309">
        <v>4</v>
      </c>
      <c r="F1426" s="309">
        <v>5</v>
      </c>
      <c r="G1426">
        <f>IF(getRGB1($C1426)="FFFFFF",0,1)+IF(getRGB1($D1426)="FFFFFF",0,2)+IF(getRGB1($E1426)="FFFFFF",0,3)+IF(getRGB1($F1426)="FFFFFF",0,4)</f>
        <v>2</v>
      </c>
    </row>
    <row r="1427" spans="1:7" ht="45">
      <c r="A1427" t="s">
        <v>6675</v>
      </c>
      <c r="B1427" s="308" t="s">
        <v>4800</v>
      </c>
      <c r="C1427" s="125">
        <v>62</v>
      </c>
      <c r="D1427" s="309">
        <v>63</v>
      </c>
      <c r="E1427" s="309">
        <v>66</v>
      </c>
      <c r="F1427" s="309" t="s">
        <v>1437</v>
      </c>
      <c r="G1427">
        <f>IF(getRGB1($C1427)="FFFFFF",0,1)+IF(getRGB1($D1427)="FFFFFF",0,2)+IF(getRGB1($E1427)="FFFFFF",0,3)+IF(getRGB1($F1427)="FFFFFF",0,4)</f>
        <v>1</v>
      </c>
    </row>
    <row r="1428" spans="1:7" ht="30">
      <c r="A1428" t="s">
        <v>6675</v>
      </c>
      <c r="B1428" s="308" t="s">
        <v>4801</v>
      </c>
      <c r="C1428" s="309">
        <v>2</v>
      </c>
      <c r="D1428" s="309">
        <v>3</v>
      </c>
      <c r="E1428" s="309">
        <v>4</v>
      </c>
      <c r="F1428" s="125">
        <v>5</v>
      </c>
      <c r="G1428">
        <f>IF(getRGB1($C1428)="FFFFFF",0,1)+IF(getRGB1($D1428)="FFFFFF",0,2)+IF(getRGB1($E1428)="FFFFFF",0,3)+IF(getRGB1($F1428)="FFFFFF",0,4)</f>
        <v>4</v>
      </c>
    </row>
    <row r="1429" spans="1:7" ht="30">
      <c r="A1429" t="s">
        <v>6675</v>
      </c>
      <c r="B1429" s="304" t="s">
        <v>4802</v>
      </c>
      <c r="C1429" s="307">
        <v>5</v>
      </c>
      <c r="D1429" s="306">
        <v>2</v>
      </c>
      <c r="E1429" s="305">
        <v>3</v>
      </c>
      <c r="F1429" s="305">
        <v>4</v>
      </c>
      <c r="G1429">
        <f>IF(getRGB1($C1429)="FFFFFF",0,1)+IF(getRGB1($D1429)="FFFFFF",0,2)+IF(getRGB1($E1429)="FFFFFF",0,3)+IF(getRGB1($F1429)="FFFFFF",0,4)</f>
        <v>1</v>
      </c>
    </row>
    <row r="1430" spans="1:7">
      <c r="A1430" t="s">
        <v>6675</v>
      </c>
      <c r="B1430" s="304" t="s">
        <v>4803</v>
      </c>
      <c r="C1430" s="307" t="s">
        <v>4804</v>
      </c>
      <c r="D1430" s="306" t="s">
        <v>4805</v>
      </c>
      <c r="E1430" s="306" t="s">
        <v>4806</v>
      </c>
      <c r="F1430" s="305" t="s">
        <v>4807</v>
      </c>
      <c r="G1430">
        <f>IF(getRGB1($C1430)="FFFFFF",0,1)+IF(getRGB1($D1430)="FFFFFF",0,2)+IF(getRGB1($E1430)="FFFFFF",0,3)+IF(getRGB1($F1430)="FFFFFF",0,4)</f>
        <v>1</v>
      </c>
    </row>
    <row r="1431" spans="1:7">
      <c r="A1431" t="s">
        <v>6675</v>
      </c>
      <c r="B1431" s="308" t="s">
        <v>4808</v>
      </c>
      <c r="C1431" s="309" t="s">
        <v>4809</v>
      </c>
      <c r="D1431" s="125" t="s">
        <v>4810</v>
      </c>
      <c r="E1431" s="309" t="s">
        <v>4811</v>
      </c>
      <c r="F1431" s="309" t="s">
        <v>209</v>
      </c>
      <c r="G1431">
        <f>IF(getRGB1($C1431)="FFFFFF",0,1)+IF(getRGB1($D1431)="FFFFFF",0,2)+IF(getRGB1($E1431)="FFFFFF",0,3)+IF(getRGB1($F1431)="FFFFFF",0,4)</f>
        <v>2</v>
      </c>
    </row>
    <row r="1432" spans="1:7">
      <c r="A1432" t="s">
        <v>6675</v>
      </c>
      <c r="B1432" s="308" t="s">
        <v>4812</v>
      </c>
      <c r="C1432" s="309" t="s">
        <v>179</v>
      </c>
      <c r="D1432" s="309" t="s">
        <v>557</v>
      </c>
      <c r="E1432" s="125" t="s">
        <v>76</v>
      </c>
      <c r="F1432" s="309" t="s">
        <v>4813</v>
      </c>
      <c r="G1432">
        <f>IF(getRGB1($C1432)="FFFFFF",0,1)+IF(getRGB1($D1432)="FFFFFF",0,2)+IF(getRGB1($E1432)="FFFFFF",0,3)+IF(getRGB1($F1432)="FFFFFF",0,4)</f>
        <v>3</v>
      </c>
    </row>
    <row r="1433" spans="1:7">
      <c r="A1433" t="s">
        <v>6675</v>
      </c>
      <c r="B1433" s="308" t="s">
        <v>4814</v>
      </c>
      <c r="C1433" s="309" t="s">
        <v>179</v>
      </c>
      <c r="D1433" s="309" t="s">
        <v>557</v>
      </c>
      <c r="E1433" s="125" t="s">
        <v>76</v>
      </c>
      <c r="F1433" s="309" t="s">
        <v>4813</v>
      </c>
      <c r="G1433">
        <f>IF(getRGB1($C1433)="FFFFFF",0,1)+IF(getRGB1($D1433)="FFFFFF",0,2)+IF(getRGB1($E1433)="FFFFFF",0,3)+IF(getRGB1($F1433)="FFFFFF",0,4)</f>
        <v>3</v>
      </c>
    </row>
    <row r="1434" spans="1:7" ht="30">
      <c r="A1434" t="s">
        <v>6675</v>
      </c>
      <c r="B1434" s="308" t="s">
        <v>4815</v>
      </c>
      <c r="C1434" s="309" t="s">
        <v>179</v>
      </c>
      <c r="D1434" s="309" t="s">
        <v>557</v>
      </c>
      <c r="E1434" s="125" t="s">
        <v>76</v>
      </c>
      <c r="F1434" s="309" t="s">
        <v>4813</v>
      </c>
      <c r="G1434">
        <f>IF(getRGB1($C1434)="FFFFFF",0,1)+IF(getRGB1($D1434)="FFFFFF",0,2)+IF(getRGB1($E1434)="FFFFFF",0,3)+IF(getRGB1($F1434)="FFFFFF",0,4)</f>
        <v>3</v>
      </c>
    </row>
    <row r="1435" spans="1:7" ht="30">
      <c r="A1435" t="s">
        <v>6675</v>
      </c>
      <c r="B1435" s="308" t="s">
        <v>4816</v>
      </c>
      <c r="C1435" s="125" t="s">
        <v>179</v>
      </c>
      <c r="D1435" s="309" t="s">
        <v>557</v>
      </c>
      <c r="E1435" s="309" t="s">
        <v>76</v>
      </c>
      <c r="F1435" s="309" t="s">
        <v>4813</v>
      </c>
      <c r="G1435">
        <f>IF(getRGB1($C1435)="FFFFFF",0,1)+IF(getRGB1($D1435)="FFFFFF",0,2)+IF(getRGB1($E1435)="FFFFFF",0,3)+IF(getRGB1($F1435)="FFFFFF",0,4)</f>
        <v>1</v>
      </c>
    </row>
    <row r="1436" spans="1:7" ht="30">
      <c r="A1436" t="s">
        <v>6675</v>
      </c>
      <c r="B1436" s="308" t="s">
        <v>4817</v>
      </c>
      <c r="C1436" s="309" t="s">
        <v>179</v>
      </c>
      <c r="D1436" s="125" t="s">
        <v>557</v>
      </c>
      <c r="E1436" s="309" t="s">
        <v>76</v>
      </c>
      <c r="F1436" s="309" t="s">
        <v>4813</v>
      </c>
      <c r="G1436">
        <f>IF(getRGB1($C1436)="FFFFFF",0,1)+IF(getRGB1($D1436)="FFFFFF",0,2)+IF(getRGB1($E1436)="FFFFFF",0,3)+IF(getRGB1($F1436)="FFFFFF",0,4)</f>
        <v>2</v>
      </c>
    </row>
    <row r="1437" spans="1:7" ht="30">
      <c r="A1437" t="s">
        <v>6675</v>
      </c>
      <c r="B1437" s="308" t="s">
        <v>4818</v>
      </c>
      <c r="C1437" s="125" t="s">
        <v>179</v>
      </c>
      <c r="D1437" s="309" t="s">
        <v>557</v>
      </c>
      <c r="E1437" s="309" t="s">
        <v>76</v>
      </c>
      <c r="F1437" s="309" t="s">
        <v>4813</v>
      </c>
      <c r="G1437">
        <f>IF(getRGB1($C1437)="FFFFFF",0,1)+IF(getRGB1($D1437)="FFFFFF",0,2)+IF(getRGB1($E1437)="FFFFFF",0,3)+IF(getRGB1($F1437)="FFFFFF",0,4)</f>
        <v>1</v>
      </c>
    </row>
    <row r="1438" spans="1:7" ht="30">
      <c r="A1438" t="s">
        <v>6675</v>
      </c>
      <c r="B1438" s="308" t="s">
        <v>4819</v>
      </c>
      <c r="C1438" s="309" t="s">
        <v>179</v>
      </c>
      <c r="D1438" s="125" t="s">
        <v>557</v>
      </c>
      <c r="E1438" s="309" t="s">
        <v>76</v>
      </c>
      <c r="F1438" s="309" t="s">
        <v>4813</v>
      </c>
      <c r="G1438">
        <f>IF(getRGB1($C1438)="FFFFFF",0,1)+IF(getRGB1($D1438)="FFFFFF",0,2)+IF(getRGB1($E1438)="FFFFFF",0,3)+IF(getRGB1($F1438)="FFFFFF",0,4)</f>
        <v>2</v>
      </c>
    </row>
    <row r="1439" spans="1:7" ht="30">
      <c r="A1439" t="s">
        <v>6675</v>
      </c>
      <c r="B1439" s="308" t="s">
        <v>4820</v>
      </c>
      <c r="C1439" s="309" t="s">
        <v>179</v>
      </c>
      <c r="D1439" s="125" t="s">
        <v>557</v>
      </c>
      <c r="E1439" s="309" t="s">
        <v>76</v>
      </c>
      <c r="F1439" s="309" t="s">
        <v>4813</v>
      </c>
      <c r="G1439">
        <f>IF(getRGB1($C1439)="FFFFFF",0,1)+IF(getRGB1($D1439)="FFFFFF",0,2)+IF(getRGB1($E1439)="FFFFFF",0,3)+IF(getRGB1($F1439)="FFFFFF",0,4)</f>
        <v>2</v>
      </c>
    </row>
    <row r="1440" spans="1:7" ht="60">
      <c r="A1440" t="s">
        <v>6675</v>
      </c>
      <c r="B1440" s="308" t="s">
        <v>4821</v>
      </c>
      <c r="C1440" s="125" t="s">
        <v>73</v>
      </c>
      <c r="D1440" s="309" t="s">
        <v>74</v>
      </c>
      <c r="E1440" s="309" t="s">
        <v>76</v>
      </c>
      <c r="F1440" s="309" t="s">
        <v>270</v>
      </c>
      <c r="G1440">
        <f>IF(getRGB1($C1440)="FFFFFF",0,1)+IF(getRGB1($D1440)="FFFFFF",0,2)+IF(getRGB1($E1440)="FFFFFF",0,3)+IF(getRGB1($F1440)="FFFFFF",0,4)</f>
        <v>1</v>
      </c>
    </row>
    <row r="1441" spans="1:7" ht="30">
      <c r="A1441" t="s">
        <v>6675</v>
      </c>
      <c r="B1441" s="308" t="s">
        <v>4822</v>
      </c>
      <c r="C1441" s="309" t="s">
        <v>73</v>
      </c>
      <c r="D1441" s="309" t="s">
        <v>177</v>
      </c>
      <c r="E1441" s="125" t="s">
        <v>4758</v>
      </c>
      <c r="F1441" s="309" t="s">
        <v>3313</v>
      </c>
      <c r="G1441">
        <f>IF(getRGB1($C1441)="FFFFFF",0,1)+IF(getRGB1($D1441)="FFFFFF",0,2)+IF(getRGB1($E1441)="FFFFFF",0,3)+IF(getRGB1($F1441)="FFFFFF",0,4)</f>
        <v>3</v>
      </c>
    </row>
    <row r="1442" spans="1:7" ht="30">
      <c r="A1442" t="s">
        <v>6675</v>
      </c>
      <c r="B1442" s="308" t="s">
        <v>4654</v>
      </c>
      <c r="C1442" s="125" t="s">
        <v>74</v>
      </c>
      <c r="D1442" s="309" t="s">
        <v>73</v>
      </c>
      <c r="E1442" s="309" t="s">
        <v>3231</v>
      </c>
      <c r="F1442" s="309" t="s">
        <v>184</v>
      </c>
      <c r="G1442">
        <f>IF(getRGB1($C1442)="FFFFFF",0,1)+IF(getRGB1($D1442)="FFFFFF",0,2)+IF(getRGB1($E1442)="FFFFFF",0,3)+IF(getRGB1($F1442)="FFFFFF",0,4)</f>
        <v>1</v>
      </c>
    </row>
    <row r="1443" spans="1:7" ht="30">
      <c r="A1443" t="s">
        <v>6675</v>
      </c>
      <c r="B1443" s="308" t="s">
        <v>4823</v>
      </c>
      <c r="C1443" s="125" t="s">
        <v>74</v>
      </c>
      <c r="D1443" s="309" t="s">
        <v>73</v>
      </c>
      <c r="E1443" s="309" t="s">
        <v>3231</v>
      </c>
      <c r="F1443" s="309" t="s">
        <v>184</v>
      </c>
      <c r="G1443">
        <f>IF(getRGB1($C1443)="FFFFFF",0,1)+IF(getRGB1($D1443)="FFFFFF",0,2)+IF(getRGB1($E1443)="FFFFFF",0,3)+IF(getRGB1($F1443)="FFFFFF",0,4)</f>
        <v>1</v>
      </c>
    </row>
    <row r="1444" spans="1:7">
      <c r="A1444" t="s">
        <v>6675</v>
      </c>
      <c r="B1444" s="308" t="s">
        <v>4824</v>
      </c>
      <c r="C1444" s="125" t="s">
        <v>74</v>
      </c>
      <c r="D1444" s="309" t="s">
        <v>73</v>
      </c>
      <c r="E1444" s="309" t="s">
        <v>3231</v>
      </c>
      <c r="F1444" s="309" t="s">
        <v>76</v>
      </c>
      <c r="G1444">
        <f>IF(getRGB1($C1444)="FFFFFF",0,1)+IF(getRGB1($D1444)="FFFFFF",0,2)+IF(getRGB1($E1444)="FFFFFF",0,3)+IF(getRGB1($F1444)="FFFFFF",0,4)</f>
        <v>1</v>
      </c>
    </row>
    <row r="1445" spans="1:7" ht="30">
      <c r="A1445" t="s">
        <v>6675</v>
      </c>
      <c r="B1445" s="308" t="s">
        <v>4825</v>
      </c>
      <c r="C1445" s="309" t="s">
        <v>4826</v>
      </c>
      <c r="D1445" s="309" t="s">
        <v>4827</v>
      </c>
      <c r="E1445" s="309" t="s">
        <v>4828</v>
      </c>
      <c r="F1445" s="125" t="s">
        <v>3313</v>
      </c>
      <c r="G1445">
        <f>IF(getRGB1($C1445)="FFFFFF",0,1)+IF(getRGB1($D1445)="FFFFFF",0,2)+IF(getRGB1($E1445)="FFFFFF",0,3)+IF(getRGB1($F1445)="FFFFFF",0,4)</f>
        <v>4</v>
      </c>
    </row>
    <row r="1446" spans="1:7" ht="30">
      <c r="A1446" t="s">
        <v>6675</v>
      </c>
      <c r="B1446" s="308" t="s">
        <v>4829</v>
      </c>
      <c r="C1446" s="125" t="s">
        <v>73</v>
      </c>
      <c r="D1446" s="309" t="s">
        <v>4830</v>
      </c>
      <c r="E1446" s="309" t="s">
        <v>4831</v>
      </c>
      <c r="F1446" s="309" t="s">
        <v>557</v>
      </c>
      <c r="G1446">
        <f>IF(getRGB1($C1446)="FFFFFF",0,1)+IF(getRGB1($D1446)="FFFFFF",0,2)+IF(getRGB1($E1446)="FFFFFF",0,3)+IF(getRGB1($F1446)="FFFFFF",0,4)</f>
        <v>1</v>
      </c>
    </row>
    <row r="1447" spans="1:7">
      <c r="A1447" t="s">
        <v>6675</v>
      </c>
      <c r="B1447" s="308" t="s">
        <v>4832</v>
      </c>
      <c r="C1447" s="309" t="s">
        <v>4833</v>
      </c>
      <c r="D1447" s="309" t="s">
        <v>4834</v>
      </c>
      <c r="E1447" s="309" t="s">
        <v>4835</v>
      </c>
      <c r="F1447" s="125" t="s">
        <v>3313</v>
      </c>
      <c r="G1447">
        <f>IF(getRGB1($C1447)="FFFFFF",0,1)+IF(getRGB1($D1447)="FFFFFF",0,2)+IF(getRGB1($E1447)="FFFFFF",0,3)+IF(getRGB1($F1447)="FFFFFF",0,4)</f>
        <v>4</v>
      </c>
    </row>
    <row r="1448" spans="1:7" ht="30">
      <c r="A1448" t="s">
        <v>6675</v>
      </c>
      <c r="B1448" s="308" t="s">
        <v>4836</v>
      </c>
      <c r="C1448" s="309" t="s">
        <v>74</v>
      </c>
      <c r="D1448" s="125" t="s">
        <v>137</v>
      </c>
      <c r="E1448" s="309" t="s">
        <v>73</v>
      </c>
      <c r="F1448" s="309" t="s">
        <v>270</v>
      </c>
      <c r="G1448">
        <f>IF(getRGB1($C1448)="FFFFFF",0,1)+IF(getRGB1($D1448)="FFFFFF",0,2)+IF(getRGB1($E1448)="FFFFFF",0,3)+IF(getRGB1($F1448)="FFFFFF",0,4)</f>
        <v>2</v>
      </c>
    </row>
    <row r="1449" spans="1:7" ht="30">
      <c r="A1449" t="s">
        <v>6675</v>
      </c>
      <c r="B1449" s="308" t="s">
        <v>4837</v>
      </c>
      <c r="C1449" s="309" t="s">
        <v>4838</v>
      </c>
      <c r="D1449" s="309" t="s">
        <v>4839</v>
      </c>
      <c r="E1449" s="125" t="s">
        <v>4648</v>
      </c>
      <c r="F1449" s="309" t="s">
        <v>209</v>
      </c>
      <c r="G1449">
        <f>IF(getRGB1($C1449)="FFFFFF",0,1)+IF(getRGB1($D1449)="FFFFFF",0,2)+IF(getRGB1($E1449)="FFFFFF",0,3)+IF(getRGB1($F1449)="FFFFFF",0,4)</f>
        <v>3</v>
      </c>
    </row>
    <row r="1450" spans="1:7" ht="30">
      <c r="A1450" t="s">
        <v>6675</v>
      </c>
      <c r="B1450" s="308" t="s">
        <v>4840</v>
      </c>
      <c r="C1450" s="309" t="s">
        <v>4841</v>
      </c>
      <c r="D1450" s="309" t="s">
        <v>3231</v>
      </c>
      <c r="E1450" s="125" t="s">
        <v>185</v>
      </c>
      <c r="F1450" s="309" t="s">
        <v>184</v>
      </c>
      <c r="G1450">
        <f>IF(getRGB1($C1450)="FFFFFF",0,1)+IF(getRGB1($D1450)="FFFFFF",0,2)+IF(getRGB1($E1450)="FFFFFF",0,3)+IF(getRGB1($F1450)="FFFFFF",0,4)</f>
        <v>3</v>
      </c>
    </row>
    <row r="1451" spans="1:7" ht="30">
      <c r="A1451" t="s">
        <v>6675</v>
      </c>
      <c r="B1451" s="308" t="s">
        <v>4842</v>
      </c>
      <c r="C1451" s="309" t="s">
        <v>4843</v>
      </c>
      <c r="D1451" s="309" t="s">
        <v>4844</v>
      </c>
      <c r="E1451" s="125" t="s">
        <v>4845</v>
      </c>
      <c r="F1451" s="309" t="s">
        <v>209</v>
      </c>
      <c r="G1451">
        <f>IF(getRGB1($C1451)="FFFFFF",0,1)+IF(getRGB1($D1451)="FFFFFF",0,2)+IF(getRGB1($E1451)="FFFFFF",0,3)+IF(getRGB1($F1451)="FFFFFF",0,4)</f>
        <v>3</v>
      </c>
    </row>
    <row r="1452" spans="1:7">
      <c r="A1452" t="s">
        <v>6675</v>
      </c>
      <c r="B1452" s="308" t="s">
        <v>4846</v>
      </c>
      <c r="C1452" s="309" t="s">
        <v>4847</v>
      </c>
      <c r="D1452" s="309" t="s">
        <v>4848</v>
      </c>
      <c r="E1452" s="125" t="s">
        <v>4849</v>
      </c>
      <c r="F1452" s="309" t="s">
        <v>4850</v>
      </c>
      <c r="G1452">
        <f>IF(getRGB1($C1452)="FFFFFF",0,1)+IF(getRGB1($D1452)="FFFFFF",0,2)+IF(getRGB1($E1452)="FFFFFF",0,3)+IF(getRGB1($F1452)="FFFFFF",0,4)</f>
        <v>3</v>
      </c>
    </row>
    <row r="1453" spans="1:7">
      <c r="A1453" t="s">
        <v>6675</v>
      </c>
      <c r="B1453" s="308" t="s">
        <v>4851</v>
      </c>
      <c r="C1453" s="125" t="s">
        <v>74</v>
      </c>
      <c r="D1453" s="309" t="s">
        <v>137</v>
      </c>
      <c r="E1453" s="309" t="s">
        <v>73</v>
      </c>
      <c r="F1453" s="309" t="s">
        <v>270</v>
      </c>
      <c r="G1453">
        <f>IF(getRGB1($C1453)="FFFFFF",0,1)+IF(getRGB1($D1453)="FFFFFF",0,2)+IF(getRGB1($E1453)="FFFFFF",0,3)+IF(getRGB1($F1453)="FFFFFF",0,4)</f>
        <v>1</v>
      </c>
    </row>
    <row r="1454" spans="1:7" ht="30">
      <c r="A1454" t="s">
        <v>6675</v>
      </c>
      <c r="B1454" s="308" t="s">
        <v>4852</v>
      </c>
      <c r="C1454" s="309" t="s">
        <v>4725</v>
      </c>
      <c r="D1454" s="309" t="s">
        <v>174</v>
      </c>
      <c r="E1454" s="125" t="s">
        <v>74</v>
      </c>
      <c r="F1454" s="309" t="s">
        <v>73</v>
      </c>
      <c r="G1454">
        <f>IF(getRGB1($C1454)="FFFFFF",0,1)+IF(getRGB1($D1454)="FFFFFF",0,2)+IF(getRGB1($E1454)="FFFFFF",0,3)+IF(getRGB1($F1454)="FFFFFF",0,4)</f>
        <v>3</v>
      </c>
    </row>
    <row r="1455" spans="1:7" ht="45">
      <c r="A1455" t="s">
        <v>6675</v>
      </c>
      <c r="B1455" s="308" t="s">
        <v>4853</v>
      </c>
      <c r="C1455" s="309" t="s">
        <v>4854</v>
      </c>
      <c r="D1455" s="309" t="s">
        <v>4855</v>
      </c>
      <c r="E1455" s="309" t="s">
        <v>4856</v>
      </c>
      <c r="F1455" s="125" t="s">
        <v>3313</v>
      </c>
      <c r="G1455">
        <f>IF(getRGB1($C1455)="FFFFFF",0,1)+IF(getRGB1($D1455)="FFFFFF",0,2)+IF(getRGB1($E1455)="FFFFFF",0,3)+IF(getRGB1($F1455)="FFFFFF",0,4)</f>
        <v>4</v>
      </c>
    </row>
    <row r="1456" spans="1:7" ht="30">
      <c r="A1456" t="s">
        <v>6675</v>
      </c>
      <c r="B1456" s="308" t="s">
        <v>4857</v>
      </c>
      <c r="C1456" s="309" t="s">
        <v>4858</v>
      </c>
      <c r="D1456" s="309" t="s">
        <v>4859</v>
      </c>
      <c r="E1456" s="309" t="s">
        <v>4860</v>
      </c>
      <c r="F1456" s="125" t="s">
        <v>4861</v>
      </c>
      <c r="G1456">
        <f>IF(getRGB1($C1456)="FFFFFF",0,1)+IF(getRGB1($D1456)="FFFFFF",0,2)+IF(getRGB1($E1456)="FFFFFF",0,3)+IF(getRGB1($F1456)="FFFFFF",0,4)</f>
        <v>4</v>
      </c>
    </row>
    <row r="1457" spans="1:7" ht="45">
      <c r="A1457" t="s">
        <v>6675</v>
      </c>
      <c r="B1457" s="316" t="s">
        <v>4862</v>
      </c>
      <c r="C1457" s="309" t="s">
        <v>4863</v>
      </c>
      <c r="D1457" s="126" t="s">
        <v>4864</v>
      </c>
      <c r="E1457" s="125" t="s">
        <v>4865</v>
      </c>
      <c r="F1457" s="309" t="s">
        <v>4866</v>
      </c>
      <c r="G1457">
        <f>IF(getRGB1($C1457)="FFFFFF",0,1)+IF(getRGB1($D1457)="FFFFFF",0,2)+IF(getRGB1($E1457)="FFFFFF",0,3)+IF(getRGB1($F1457)="FFFFFF",0,4)</f>
        <v>3</v>
      </c>
    </row>
    <row r="1458" spans="1:7" ht="30">
      <c r="A1458" t="s">
        <v>6675</v>
      </c>
      <c r="B1458" s="308" t="s">
        <v>4867</v>
      </c>
      <c r="C1458" s="125" t="s">
        <v>4868</v>
      </c>
      <c r="D1458" s="309" t="s">
        <v>4869</v>
      </c>
      <c r="E1458" s="309" t="s">
        <v>4870</v>
      </c>
      <c r="F1458" s="309" t="s">
        <v>4871</v>
      </c>
      <c r="G1458">
        <f>IF(getRGB1($C1458)="FFFFFF",0,1)+IF(getRGB1($D1458)="FFFFFF",0,2)+IF(getRGB1($E1458)="FFFFFF",0,3)+IF(getRGB1($F1458)="FFFFFF",0,4)</f>
        <v>1</v>
      </c>
    </row>
    <row r="1459" spans="1:7" ht="30">
      <c r="A1459" t="s">
        <v>6675</v>
      </c>
      <c r="B1459" s="308" t="s">
        <v>4872</v>
      </c>
      <c r="C1459" s="309" t="s">
        <v>4873</v>
      </c>
      <c r="D1459" s="125" t="s">
        <v>4874</v>
      </c>
      <c r="E1459" s="309" t="s">
        <v>4875</v>
      </c>
      <c r="F1459" s="309" t="s">
        <v>4876</v>
      </c>
      <c r="G1459">
        <f>IF(getRGB1($C1459)="FFFFFF",0,1)+IF(getRGB1($D1459)="FFFFFF",0,2)+IF(getRGB1($E1459)="FFFFFF",0,3)+IF(getRGB1($F1459)="FFFFFF",0,4)</f>
        <v>2</v>
      </c>
    </row>
    <row r="1460" spans="1:7" ht="30">
      <c r="A1460" t="s">
        <v>6675</v>
      </c>
      <c r="B1460" s="308" t="s">
        <v>4877</v>
      </c>
      <c r="C1460" s="309" t="s">
        <v>4878</v>
      </c>
      <c r="D1460" s="309" t="s">
        <v>4879</v>
      </c>
      <c r="E1460" s="125" t="s">
        <v>4880</v>
      </c>
      <c r="F1460" s="309" t="s">
        <v>4881</v>
      </c>
      <c r="G1460">
        <f>IF(getRGB1($C1460)="FFFFFF",0,1)+IF(getRGB1($D1460)="FFFFFF",0,2)+IF(getRGB1($E1460)="FFFFFF",0,3)+IF(getRGB1($F1460)="FFFFFF",0,4)</f>
        <v>3</v>
      </c>
    </row>
    <row r="1461" spans="1:7" ht="30">
      <c r="A1461" t="s">
        <v>6675</v>
      </c>
      <c r="B1461" s="308" t="s">
        <v>4882</v>
      </c>
      <c r="C1461" s="309" t="s">
        <v>1370</v>
      </c>
      <c r="D1461" s="309" t="s">
        <v>4883</v>
      </c>
      <c r="E1461" s="309" t="s">
        <v>1372</v>
      </c>
      <c r="F1461" s="125" t="s">
        <v>1117</v>
      </c>
      <c r="G1461">
        <f>IF(getRGB1($C1461)="FFFFFF",0,1)+IF(getRGB1($D1461)="FFFFFF",0,2)+IF(getRGB1($E1461)="FFFFFF",0,3)+IF(getRGB1($F1461)="FFFFFF",0,4)</f>
        <v>4</v>
      </c>
    </row>
    <row r="1462" spans="1:7" ht="30">
      <c r="A1462" t="s">
        <v>6675</v>
      </c>
      <c r="B1462" s="308" t="s">
        <v>4884</v>
      </c>
      <c r="C1462" s="309" t="s">
        <v>4885</v>
      </c>
      <c r="D1462" s="309" t="s">
        <v>4886</v>
      </c>
      <c r="E1462" s="309" t="s">
        <v>4887</v>
      </c>
      <c r="F1462" s="125" t="s">
        <v>4755</v>
      </c>
      <c r="G1462">
        <f>IF(getRGB1($C1462)="FFFFFF",0,1)+IF(getRGB1($D1462)="FFFFFF",0,2)+IF(getRGB1($E1462)="FFFFFF",0,3)+IF(getRGB1($F1462)="FFFFFF",0,4)</f>
        <v>4</v>
      </c>
    </row>
    <row r="1463" spans="1:7" ht="30">
      <c r="A1463" t="s">
        <v>6675</v>
      </c>
      <c r="B1463" s="308" t="s">
        <v>4888</v>
      </c>
      <c r="C1463" s="125" t="s">
        <v>4656</v>
      </c>
      <c r="D1463" s="309" t="s">
        <v>4889</v>
      </c>
      <c r="E1463" s="309" t="s">
        <v>4890</v>
      </c>
      <c r="F1463" s="309" t="s">
        <v>4658</v>
      </c>
      <c r="G1463">
        <f>IF(getRGB1($C1463)="FFFFFF",0,1)+IF(getRGB1($D1463)="FFFFFF",0,2)+IF(getRGB1($E1463)="FFFFFF",0,3)+IF(getRGB1($F1463)="FFFFFF",0,4)</f>
        <v>1</v>
      </c>
    </row>
    <row r="1464" spans="1:7" ht="30">
      <c r="A1464" t="s">
        <v>6675</v>
      </c>
      <c r="B1464" s="308" t="s">
        <v>4891</v>
      </c>
      <c r="C1464" s="309" t="s">
        <v>4892</v>
      </c>
      <c r="D1464" s="125" t="s">
        <v>4893</v>
      </c>
      <c r="E1464" s="309" t="s">
        <v>4894</v>
      </c>
      <c r="F1464" s="309" t="s">
        <v>4755</v>
      </c>
      <c r="G1464">
        <f>IF(getRGB1($C1464)="FFFFFF",0,1)+IF(getRGB1($D1464)="FFFFFF",0,2)+IF(getRGB1($E1464)="FFFFFF",0,3)+IF(getRGB1($F1464)="FFFFFF",0,4)</f>
        <v>2</v>
      </c>
    </row>
    <row r="1465" spans="1:7" ht="30">
      <c r="A1465" t="s">
        <v>6675</v>
      </c>
      <c r="B1465" s="308" t="s">
        <v>4895</v>
      </c>
      <c r="C1465" s="309" t="s">
        <v>4896</v>
      </c>
      <c r="D1465" s="309" t="s">
        <v>4897</v>
      </c>
      <c r="E1465" s="125" t="s">
        <v>4898</v>
      </c>
      <c r="F1465" s="309" t="s">
        <v>4899</v>
      </c>
      <c r="G1465">
        <f>IF(getRGB1($C1465)="FFFFFF",0,1)+IF(getRGB1($D1465)="FFFFFF",0,2)+IF(getRGB1($E1465)="FFFFFF",0,3)+IF(getRGB1($F1465)="FFFFFF",0,4)</f>
        <v>3</v>
      </c>
    </row>
    <row r="1466" spans="1:7" ht="30">
      <c r="A1466" t="s">
        <v>6675</v>
      </c>
      <c r="B1466" s="308" t="s">
        <v>4900</v>
      </c>
      <c r="C1466" s="309" t="s">
        <v>4901</v>
      </c>
      <c r="D1466" s="309" t="s">
        <v>4902</v>
      </c>
      <c r="E1466" s="309" t="s">
        <v>4903</v>
      </c>
      <c r="F1466" s="125" t="s">
        <v>4904</v>
      </c>
      <c r="G1466">
        <f>IF(getRGB1($C1466)="FFFFFF",0,1)+IF(getRGB1($D1466)="FFFFFF",0,2)+IF(getRGB1($E1466)="FFFFFF",0,3)+IF(getRGB1($F1466)="FFFFFF",0,4)</f>
        <v>4</v>
      </c>
    </row>
    <row r="1467" spans="1:7" ht="30">
      <c r="A1467" t="s">
        <v>6675</v>
      </c>
      <c r="B1467" s="308" t="s">
        <v>4905</v>
      </c>
      <c r="C1467" s="309" t="s">
        <v>4901</v>
      </c>
      <c r="D1467" s="309" t="s">
        <v>4902</v>
      </c>
      <c r="E1467" s="125" t="s">
        <v>4903</v>
      </c>
      <c r="F1467" s="309" t="s">
        <v>4904</v>
      </c>
      <c r="G1467">
        <f>IF(getRGB1($C1467)="FFFFFF",0,1)+IF(getRGB1($D1467)="FFFFFF",0,2)+IF(getRGB1($E1467)="FFFFFF",0,3)+IF(getRGB1($F1467)="FFFFFF",0,4)</f>
        <v>3</v>
      </c>
    </row>
    <row r="1468" spans="1:7" ht="30">
      <c r="A1468" t="s">
        <v>6675</v>
      </c>
      <c r="B1468" s="308" t="s">
        <v>4906</v>
      </c>
      <c r="C1468" s="309" t="s">
        <v>4907</v>
      </c>
      <c r="D1468" s="125" t="s">
        <v>4908</v>
      </c>
      <c r="E1468" s="309" t="s">
        <v>4909</v>
      </c>
      <c r="F1468" s="309" t="s">
        <v>4910</v>
      </c>
      <c r="G1468">
        <f>IF(getRGB1($C1468)="FFFFFF",0,1)+IF(getRGB1($D1468)="FFFFFF",0,2)+IF(getRGB1($E1468)="FFFFFF",0,3)+IF(getRGB1($F1468)="FFFFFF",0,4)</f>
        <v>2</v>
      </c>
    </row>
    <row r="1469" spans="1:7">
      <c r="A1469" t="s">
        <v>6675</v>
      </c>
      <c r="B1469" s="308" t="s">
        <v>4693</v>
      </c>
      <c r="C1469" s="309" t="s">
        <v>3466</v>
      </c>
      <c r="D1469" s="125" t="s">
        <v>3540</v>
      </c>
      <c r="E1469" s="309" t="s">
        <v>3444</v>
      </c>
      <c r="F1469" s="309" t="s">
        <v>4694</v>
      </c>
      <c r="G1469">
        <f>IF(getRGB1($C1469)="FFFFFF",0,1)+IF(getRGB1($D1469)="FFFFFF",0,2)+IF(getRGB1($E1469)="FFFFFF",0,3)+IF(getRGB1($F1469)="FFFFFF",0,4)</f>
        <v>2</v>
      </c>
    </row>
    <row r="1470" spans="1:7" ht="30">
      <c r="A1470" t="s">
        <v>6675</v>
      </c>
      <c r="B1470" s="308" t="s">
        <v>4695</v>
      </c>
      <c r="C1470" s="125" t="s">
        <v>4696</v>
      </c>
      <c r="D1470" s="309" t="s">
        <v>4697</v>
      </c>
      <c r="E1470" s="309" t="s">
        <v>4698</v>
      </c>
      <c r="F1470" s="309" t="s">
        <v>4699</v>
      </c>
      <c r="G1470">
        <f>IF(getRGB1($C1470)="FFFFFF",0,1)+IF(getRGB1($D1470)="FFFFFF",0,2)+IF(getRGB1($E1470)="FFFFFF",0,3)+IF(getRGB1($F1470)="FFFFFF",0,4)</f>
        <v>1</v>
      </c>
    </row>
    <row r="1471" spans="1:7" ht="45">
      <c r="A1471" t="s">
        <v>6675</v>
      </c>
      <c r="B1471" s="308" t="s">
        <v>4700</v>
      </c>
      <c r="C1471" s="309" t="s">
        <v>4701</v>
      </c>
      <c r="D1471" s="309" t="s">
        <v>4702</v>
      </c>
      <c r="E1471" s="309" t="s">
        <v>4703</v>
      </c>
      <c r="F1471" s="125" t="s">
        <v>4704</v>
      </c>
      <c r="G1471">
        <f>IF(getRGB1($C1471)="FFFFFF",0,1)+IF(getRGB1($D1471)="FFFFFF",0,2)+IF(getRGB1($E1471)="FFFFFF",0,3)+IF(getRGB1($F1471)="FFFFFF",0,4)</f>
        <v>4</v>
      </c>
    </row>
    <row r="1472" spans="1:7" ht="30">
      <c r="A1472" t="s">
        <v>6675</v>
      </c>
      <c r="B1472" s="311" t="s">
        <v>4705</v>
      </c>
      <c r="C1472" s="312" t="s">
        <v>4706</v>
      </c>
      <c r="D1472" s="313" t="s">
        <v>4707</v>
      </c>
      <c r="E1472" s="312" t="s">
        <v>4708</v>
      </c>
      <c r="F1472" s="312" t="s">
        <v>4709</v>
      </c>
      <c r="G1472">
        <f>IF(getRGB1($C1472)="FFFFFF",0,1)+IF(getRGB1($D1472)="FFFFFF",0,2)+IF(getRGB1($E1472)="FFFFFF",0,3)+IF(getRGB1($F1472)="FFFFFF",0,4)</f>
        <v>2</v>
      </c>
    </row>
    <row r="1473" spans="1:7" ht="45">
      <c r="A1473" t="s">
        <v>6675</v>
      </c>
      <c r="B1473" s="311" t="s">
        <v>4710</v>
      </c>
      <c r="C1473" s="312" t="s">
        <v>4711</v>
      </c>
      <c r="D1473" s="313" t="s">
        <v>4712</v>
      </c>
      <c r="E1473" s="312" t="s">
        <v>4713</v>
      </c>
      <c r="F1473" s="312" t="s">
        <v>4714</v>
      </c>
      <c r="G1473">
        <f>IF(getRGB1($C1473)="FFFFFF",0,1)+IF(getRGB1($D1473)="FFFFFF",0,2)+IF(getRGB1($E1473)="FFFFFF",0,3)+IF(getRGB1($F1473)="FFFFFF",0,4)</f>
        <v>2</v>
      </c>
    </row>
    <row r="1474" spans="1:7" ht="60">
      <c r="A1474" t="s">
        <v>6675</v>
      </c>
      <c r="B1474" s="308" t="s">
        <v>4715</v>
      </c>
      <c r="C1474" s="309" t="s">
        <v>4716</v>
      </c>
      <c r="D1474" s="125" t="s">
        <v>4717</v>
      </c>
      <c r="E1474" s="309" t="s">
        <v>4718</v>
      </c>
      <c r="F1474" s="309" t="s">
        <v>4719</v>
      </c>
      <c r="G1474">
        <f>IF(getRGB1($C1474)="FFFFFF",0,1)+IF(getRGB1($D1474)="FFFFFF",0,2)+IF(getRGB1($E1474)="FFFFFF",0,3)+IF(getRGB1($F1474)="FFFFFF",0,4)</f>
        <v>2</v>
      </c>
    </row>
    <row r="1475" spans="1:7" ht="45">
      <c r="A1475" t="s">
        <v>6675</v>
      </c>
      <c r="B1475" s="308" t="s">
        <v>4911</v>
      </c>
      <c r="C1475" s="309" t="s">
        <v>4717</v>
      </c>
      <c r="D1475" s="309" t="s">
        <v>4721</v>
      </c>
      <c r="E1475" s="125" t="s">
        <v>4722</v>
      </c>
      <c r="F1475" s="309" t="s">
        <v>4723</v>
      </c>
      <c r="G1475">
        <f>IF(getRGB1($C1475)="FFFFFF",0,1)+IF(getRGB1($D1475)="FFFFFF",0,2)+IF(getRGB1($E1475)="FFFFFF",0,3)+IF(getRGB1($F1475)="FFFFFF",0,4)</f>
        <v>3</v>
      </c>
    </row>
    <row r="1476" spans="1:7" ht="45">
      <c r="A1476" t="s">
        <v>6675</v>
      </c>
      <c r="B1476" s="311" t="s">
        <v>4724</v>
      </c>
      <c r="C1476" s="312" t="s">
        <v>4725</v>
      </c>
      <c r="D1476" s="312" t="s">
        <v>4726</v>
      </c>
      <c r="E1476" s="313" t="s">
        <v>4727</v>
      </c>
      <c r="F1476" s="312" t="s">
        <v>4728</v>
      </c>
      <c r="G1476">
        <f>IF(getRGB1($C1476)="FFFFFF",0,1)+IF(getRGB1($D1476)="FFFFFF",0,2)+IF(getRGB1($E1476)="FFFFFF",0,3)+IF(getRGB1($F1476)="FFFFFF",0,4)</f>
        <v>3</v>
      </c>
    </row>
    <row r="1477" spans="1:7" ht="45">
      <c r="A1477" t="s">
        <v>6675</v>
      </c>
      <c r="B1477" s="311" t="s">
        <v>4729</v>
      </c>
      <c r="C1477" s="309" t="s">
        <v>4730</v>
      </c>
      <c r="D1477" s="125" t="s">
        <v>4731</v>
      </c>
      <c r="E1477" s="309" t="s">
        <v>4721</v>
      </c>
      <c r="F1477" s="309" t="s">
        <v>4723</v>
      </c>
      <c r="G1477">
        <f>IF(getRGB1($C1477)="FFFFFF",0,1)+IF(getRGB1($D1477)="FFFFFF",0,2)+IF(getRGB1($E1477)="FFFFFF",0,3)+IF(getRGB1($F1477)="FFFFFF",0,4)</f>
        <v>2</v>
      </c>
    </row>
    <row r="1478" spans="1:7" ht="45">
      <c r="A1478" t="s">
        <v>6675</v>
      </c>
      <c r="B1478" s="308" t="s">
        <v>4732</v>
      </c>
      <c r="C1478" s="309" t="s">
        <v>4730</v>
      </c>
      <c r="D1478" s="125" t="s">
        <v>4731</v>
      </c>
      <c r="E1478" s="309" t="s">
        <v>4721</v>
      </c>
      <c r="F1478" s="309" t="s">
        <v>4719</v>
      </c>
      <c r="G1478">
        <f>IF(getRGB1($C1478)="FFFFFF",0,1)+IF(getRGB1($D1478)="FFFFFF",0,2)+IF(getRGB1($E1478)="FFFFFF",0,3)+IF(getRGB1($F1478)="FFFFFF",0,4)</f>
        <v>2</v>
      </c>
    </row>
    <row r="1479" spans="1:7" ht="45">
      <c r="A1479" t="s">
        <v>6675</v>
      </c>
      <c r="B1479" s="308" t="s">
        <v>4733</v>
      </c>
      <c r="C1479" s="309" t="s">
        <v>4734</v>
      </c>
      <c r="D1479" s="309" t="s">
        <v>4731</v>
      </c>
      <c r="E1479" s="309" t="s">
        <v>4721</v>
      </c>
      <c r="F1479" s="125" t="s">
        <v>4722</v>
      </c>
      <c r="G1479">
        <f>IF(getRGB1($C1479)="FFFFFF",0,1)+IF(getRGB1($D1479)="FFFFFF",0,2)+IF(getRGB1($E1479)="FFFFFF",0,3)+IF(getRGB1($F1479)="FFFFFF",0,4)</f>
        <v>4</v>
      </c>
    </row>
    <row r="1480" spans="1:7" ht="30">
      <c r="A1480" t="s">
        <v>6675</v>
      </c>
      <c r="B1480" s="308" t="s">
        <v>4735</v>
      </c>
      <c r="C1480" s="309" t="s">
        <v>4736</v>
      </c>
      <c r="D1480" s="309" t="s">
        <v>4737</v>
      </c>
      <c r="E1480" s="125" t="s">
        <v>4738</v>
      </c>
      <c r="F1480" s="309" t="s">
        <v>4719</v>
      </c>
      <c r="G1480">
        <f>IF(getRGB1($C1480)="FFFFFF",0,1)+IF(getRGB1($D1480)="FFFFFF",0,2)+IF(getRGB1($E1480)="FFFFFF",0,3)+IF(getRGB1($F1480)="FFFFFF",0,4)</f>
        <v>3</v>
      </c>
    </row>
    <row r="1481" spans="1:7" ht="30">
      <c r="A1481" t="s">
        <v>6675</v>
      </c>
      <c r="B1481" s="308" t="s">
        <v>4739</v>
      </c>
      <c r="C1481" s="309" t="s">
        <v>4740</v>
      </c>
      <c r="D1481" s="309" t="s">
        <v>4741</v>
      </c>
      <c r="E1481" s="309" t="s">
        <v>4742</v>
      </c>
      <c r="F1481" s="125" t="s">
        <v>4743</v>
      </c>
      <c r="G1481">
        <f>IF(getRGB1($C1481)="FFFFFF",0,1)+IF(getRGB1($D1481)="FFFFFF",0,2)+IF(getRGB1($E1481)="FFFFFF",0,3)+IF(getRGB1($F1481)="FFFFFF",0,4)</f>
        <v>4</v>
      </c>
    </row>
    <row r="1482" spans="1:7" ht="30">
      <c r="A1482" t="s">
        <v>6675</v>
      </c>
      <c r="B1482" s="308" t="s">
        <v>4744</v>
      </c>
      <c r="C1482" s="309" t="s">
        <v>1203</v>
      </c>
      <c r="D1482" s="309" t="s">
        <v>4745</v>
      </c>
      <c r="E1482" s="309" t="s">
        <v>4719</v>
      </c>
      <c r="F1482" s="125" t="s">
        <v>4746</v>
      </c>
      <c r="G1482">
        <f>IF(getRGB1($C1482)="FFFFFF",0,1)+IF(getRGB1($D1482)="FFFFFF",0,2)+IF(getRGB1($E1482)="FFFFFF",0,3)+IF(getRGB1($F1482)="FFFFFF",0,4)</f>
        <v>4</v>
      </c>
    </row>
    <row r="1483" spans="1:7" ht="30">
      <c r="A1483" t="s">
        <v>6675</v>
      </c>
      <c r="B1483" s="308" t="s">
        <v>4747</v>
      </c>
      <c r="C1483" s="125" t="s">
        <v>1203</v>
      </c>
      <c r="D1483" s="309" t="s">
        <v>4745</v>
      </c>
      <c r="E1483" s="309" t="s">
        <v>4719</v>
      </c>
      <c r="F1483" s="309" t="s">
        <v>4748</v>
      </c>
      <c r="G1483">
        <f>IF(getRGB1($C1483)="FFFFFF",0,1)+IF(getRGB1($D1483)="FFFFFF",0,2)+IF(getRGB1($E1483)="FFFFFF",0,3)+IF(getRGB1($F1483)="FFFFFF",0,4)</f>
        <v>1</v>
      </c>
    </row>
    <row r="1484" spans="1:7">
      <c r="A1484" t="s">
        <v>6675</v>
      </c>
      <c r="B1484" s="308" t="s">
        <v>4749</v>
      </c>
      <c r="C1484" s="309" t="s">
        <v>3473</v>
      </c>
      <c r="D1484" s="309" t="s">
        <v>3471</v>
      </c>
      <c r="E1484" s="125" t="s">
        <v>3472</v>
      </c>
      <c r="F1484" s="309" t="s">
        <v>3539</v>
      </c>
      <c r="G1484">
        <f>IF(getRGB1($C1484)="FFFFFF",0,1)+IF(getRGB1($D1484)="FFFFFF",0,2)+IF(getRGB1($E1484)="FFFFFF",0,3)+IF(getRGB1($F1484)="FFFFFF",0,4)</f>
        <v>3</v>
      </c>
    </row>
    <row r="1485" spans="1:7" ht="30">
      <c r="A1485" t="s">
        <v>6675</v>
      </c>
      <c r="B1485" s="308" t="s">
        <v>4750</v>
      </c>
      <c r="C1485" s="309">
        <v>1948</v>
      </c>
      <c r="D1485" s="125">
        <v>1975</v>
      </c>
      <c r="E1485" s="309">
        <v>1991</v>
      </c>
      <c r="F1485" s="309" t="s">
        <v>4751</v>
      </c>
      <c r="G1485">
        <f>IF(getRGB1($C1485)="FFFFFF",0,1)+IF(getRGB1($D1485)="FFFFFF",0,2)+IF(getRGB1($E1485)="FFFFFF",0,3)+IF(getRGB1($F1485)="FFFFFF",0,4)</f>
        <v>2</v>
      </c>
    </row>
    <row r="1486" spans="1:7" ht="30">
      <c r="A1486" t="s">
        <v>6675</v>
      </c>
      <c r="B1486" s="308" t="s">
        <v>4912</v>
      </c>
      <c r="C1486" s="309" t="s">
        <v>74</v>
      </c>
      <c r="D1486" s="125" t="s">
        <v>76</v>
      </c>
      <c r="E1486" s="309" t="s">
        <v>270</v>
      </c>
      <c r="F1486" s="309" t="s">
        <v>73</v>
      </c>
      <c r="G1486">
        <f>IF(getRGB1($C1486)="FFFFFF",0,1)+IF(getRGB1($D1486)="FFFFFF",0,2)+IF(getRGB1($E1486)="FFFFFF",0,3)+IF(getRGB1($F1486)="FFFFFF",0,4)</f>
        <v>2</v>
      </c>
    </row>
    <row r="1487" spans="1:7" ht="30">
      <c r="A1487" t="s">
        <v>6675</v>
      </c>
      <c r="B1487" s="308" t="s">
        <v>4753</v>
      </c>
      <c r="C1487" s="309" t="s">
        <v>74</v>
      </c>
      <c r="D1487" s="309" t="s">
        <v>73</v>
      </c>
      <c r="E1487" s="309" t="s">
        <v>4913</v>
      </c>
      <c r="F1487" s="125" t="s">
        <v>270</v>
      </c>
      <c r="G1487">
        <f>IF(getRGB1($C1487)="FFFFFF",0,1)+IF(getRGB1($D1487)="FFFFFF",0,2)+IF(getRGB1($E1487)="FFFFFF",0,3)+IF(getRGB1($F1487)="FFFFFF",0,4)</f>
        <v>4</v>
      </c>
    </row>
    <row r="1488" spans="1:7" ht="30">
      <c r="A1488" t="s">
        <v>6675</v>
      </c>
      <c r="B1488" s="311" t="s">
        <v>4754</v>
      </c>
      <c r="C1488" s="313" t="s">
        <v>74</v>
      </c>
      <c r="D1488" s="309" t="s">
        <v>73</v>
      </c>
      <c r="E1488" s="309" t="s">
        <v>177</v>
      </c>
      <c r="F1488" s="309" t="s">
        <v>4755</v>
      </c>
      <c r="G1488">
        <f>IF(getRGB1($C1488)="FFFFFF",0,1)+IF(getRGB1($D1488)="FFFFFF",0,2)+IF(getRGB1($E1488)="FFFFFF",0,3)+IF(getRGB1($F1488)="FFFFFF",0,4)</f>
        <v>1</v>
      </c>
    </row>
    <row r="1489" spans="1:7" ht="30">
      <c r="A1489" t="s">
        <v>6675</v>
      </c>
      <c r="B1489" s="308" t="s">
        <v>4655</v>
      </c>
      <c r="C1489" s="309" t="s">
        <v>4656</v>
      </c>
      <c r="D1489" s="309" t="s">
        <v>4657</v>
      </c>
      <c r="E1489" s="125" t="s">
        <v>74</v>
      </c>
      <c r="F1489" s="309" t="s">
        <v>4658</v>
      </c>
      <c r="G1489">
        <f>IF(getRGB1($C1489)="FFFFFF",0,1)+IF(getRGB1($D1489)="FFFFFF",0,2)+IF(getRGB1($E1489)="FFFFFF",0,3)+IF(getRGB1($F1489)="FFFFFF",0,4)</f>
        <v>3</v>
      </c>
    </row>
    <row r="1490" spans="1:7" ht="30">
      <c r="A1490" t="s">
        <v>6675</v>
      </c>
      <c r="B1490" s="308" t="s">
        <v>4756</v>
      </c>
      <c r="C1490" s="309" t="s">
        <v>73</v>
      </c>
      <c r="D1490" s="309" t="s">
        <v>4757</v>
      </c>
      <c r="E1490" s="309" t="s">
        <v>4758</v>
      </c>
      <c r="F1490" s="125" t="s">
        <v>4755</v>
      </c>
      <c r="G1490">
        <f>IF(getRGB1($C1490)="FFFFFF",0,1)+IF(getRGB1($D1490)="FFFFFF",0,2)+IF(getRGB1($E1490)="FFFFFF",0,3)+IF(getRGB1($F1490)="FFFFFF",0,4)</f>
        <v>4</v>
      </c>
    </row>
    <row r="1491" spans="1:7" ht="30">
      <c r="A1491" t="s">
        <v>6675</v>
      </c>
      <c r="B1491" s="308" t="s">
        <v>4759</v>
      </c>
      <c r="C1491" s="125" t="s">
        <v>74</v>
      </c>
      <c r="D1491" s="309" t="s">
        <v>73</v>
      </c>
      <c r="E1491" s="309" t="s">
        <v>177</v>
      </c>
      <c r="F1491" s="309" t="s">
        <v>4760</v>
      </c>
      <c r="G1491">
        <f>IF(getRGB1($C1491)="FFFFFF",0,1)+IF(getRGB1($D1491)="FFFFFF",0,2)+IF(getRGB1($E1491)="FFFFFF",0,3)+IF(getRGB1($F1491)="FFFFFF",0,4)</f>
        <v>1</v>
      </c>
    </row>
    <row r="1492" spans="1:7" ht="45">
      <c r="A1492" t="s">
        <v>6675</v>
      </c>
      <c r="B1492" s="316" t="s">
        <v>4761</v>
      </c>
      <c r="C1492" s="126" t="s">
        <v>74</v>
      </c>
      <c r="D1492" s="125" t="s">
        <v>73</v>
      </c>
      <c r="E1492" s="126" t="s">
        <v>177</v>
      </c>
      <c r="F1492" s="126" t="s">
        <v>4658</v>
      </c>
      <c r="G1492">
        <f>IF(getRGB1($C1492)="FFFFFF",0,1)+IF(getRGB1($D1492)="FFFFFF",0,2)+IF(getRGB1($E1492)="FFFFFF",0,3)+IF(getRGB1($F1492)="FFFFFF",0,4)</f>
        <v>2</v>
      </c>
    </row>
    <row r="1493" spans="1:7" ht="30">
      <c r="A1493" t="s">
        <v>6675</v>
      </c>
      <c r="B1493" s="316" t="s">
        <v>4914</v>
      </c>
      <c r="C1493" s="309" t="s">
        <v>4915</v>
      </c>
      <c r="D1493" s="309" t="s">
        <v>4916</v>
      </c>
      <c r="E1493" s="309" t="s">
        <v>4917</v>
      </c>
      <c r="F1493" s="125" t="s">
        <v>4918</v>
      </c>
      <c r="G1493">
        <f>IF(getRGB1($C1493)="FFFFFF",0,1)+IF(getRGB1($D1493)="FFFFFF",0,2)+IF(getRGB1($E1493)="FFFFFF",0,3)+IF(getRGB1($F1493)="FFFFFF",0,4)</f>
        <v>4</v>
      </c>
    </row>
    <row r="1494" spans="1:7" ht="30">
      <c r="A1494" t="s">
        <v>6675</v>
      </c>
      <c r="B1494" s="316" t="s">
        <v>4919</v>
      </c>
      <c r="C1494" s="309" t="s">
        <v>4920</v>
      </c>
      <c r="D1494" s="125" t="s">
        <v>4921</v>
      </c>
      <c r="E1494" s="309" t="s">
        <v>4922</v>
      </c>
      <c r="F1494" s="309" t="s">
        <v>4923</v>
      </c>
      <c r="G1494">
        <f>IF(getRGB1($C1494)="FFFFFF",0,1)+IF(getRGB1($D1494)="FFFFFF",0,2)+IF(getRGB1($E1494)="FFFFFF",0,3)+IF(getRGB1($F1494)="FFFFFF",0,4)</f>
        <v>2</v>
      </c>
    </row>
    <row r="1495" spans="1:7" ht="30">
      <c r="A1495" t="s">
        <v>6675</v>
      </c>
      <c r="B1495" s="316" t="s">
        <v>4924</v>
      </c>
      <c r="C1495" s="309" t="s">
        <v>4925</v>
      </c>
      <c r="D1495" s="125" t="b">
        <v>0</v>
      </c>
      <c r="E1495" s="317" t="s">
        <v>4113</v>
      </c>
      <c r="F1495" s="317" t="s">
        <v>4113</v>
      </c>
      <c r="G1495">
        <f>IF(getRGB1($C1495)="FFFFFF",0,1)+IF(getRGB1($D1495)="FFFFFF",0,2)+IF(getRGB1($E1495)="FFFFFF",0,3)+IF(getRGB1($F1495)="FFFFFF",0,4)</f>
        <v>2</v>
      </c>
    </row>
    <row r="1496" spans="1:7" ht="30">
      <c r="A1496" t="s">
        <v>6675</v>
      </c>
      <c r="B1496" s="316" t="s">
        <v>4926</v>
      </c>
      <c r="C1496" s="309" t="s">
        <v>4925</v>
      </c>
      <c r="D1496" s="125" t="b">
        <v>0</v>
      </c>
      <c r="E1496" s="317" t="s">
        <v>4113</v>
      </c>
      <c r="F1496" s="317" t="s">
        <v>4113</v>
      </c>
      <c r="G1496">
        <f>IF(getRGB1($C1496)="FFFFFF",0,1)+IF(getRGB1($D1496)="FFFFFF",0,2)+IF(getRGB1($E1496)="FFFFFF",0,3)+IF(getRGB1($F1496)="FFFFFF",0,4)</f>
        <v>2</v>
      </c>
    </row>
    <row r="1497" spans="1:7">
      <c r="A1497" t="s">
        <v>6675</v>
      </c>
      <c r="B1497" s="314" t="s">
        <v>4927</v>
      </c>
      <c r="C1497" s="309" t="s">
        <v>4889</v>
      </c>
      <c r="D1497" s="125" t="s">
        <v>4928</v>
      </c>
      <c r="E1497" s="309" t="s">
        <v>1203</v>
      </c>
      <c r="F1497" s="309" t="s">
        <v>3231</v>
      </c>
      <c r="G1497">
        <f>IF(getRGB1($C1497)="FFFFFF",0,1)+IF(getRGB1($D1497)="FFFFFF",0,2)+IF(getRGB1($E1497)="FFFFFF",0,3)+IF(getRGB1($F1497)="FFFFFF",0,4)</f>
        <v>2</v>
      </c>
    </row>
    <row r="1498" spans="1:7" ht="30">
      <c r="A1498" t="s">
        <v>6675</v>
      </c>
      <c r="B1498" s="316" t="s">
        <v>4929</v>
      </c>
      <c r="C1498" s="125" t="s">
        <v>4930</v>
      </c>
      <c r="D1498" s="309" t="s">
        <v>4931</v>
      </c>
      <c r="E1498" s="309" t="s">
        <v>4932</v>
      </c>
      <c r="F1498" s="309" t="s">
        <v>4933</v>
      </c>
      <c r="G1498">
        <f>IF(getRGB1($C1498)="FFFFFF",0,1)+IF(getRGB1($D1498)="FFFFFF",0,2)+IF(getRGB1($E1498)="FFFFFF",0,3)+IF(getRGB1($F1498)="FFFFFF",0,4)</f>
        <v>1</v>
      </c>
    </row>
    <row r="1499" spans="1:7">
      <c r="A1499" t="s">
        <v>6675</v>
      </c>
      <c r="B1499" s="316" t="s">
        <v>4934</v>
      </c>
      <c r="C1499" s="309" t="s">
        <v>4935</v>
      </c>
      <c r="D1499" s="309" t="s">
        <v>4936</v>
      </c>
      <c r="E1499" s="309" t="s">
        <v>4937</v>
      </c>
      <c r="F1499" s="125" t="s">
        <v>2141</v>
      </c>
      <c r="G1499">
        <f>IF(getRGB1($C1499)="FFFFFF",0,1)+IF(getRGB1($D1499)="FFFFFF",0,2)+IF(getRGB1($E1499)="FFFFFF",0,3)+IF(getRGB1($F1499)="FFFFFF",0,4)</f>
        <v>4</v>
      </c>
    </row>
    <row r="1500" spans="1:7" ht="30">
      <c r="A1500" t="s">
        <v>6675</v>
      </c>
      <c r="B1500" s="316" t="s">
        <v>4938</v>
      </c>
      <c r="C1500" s="309" t="s">
        <v>4939</v>
      </c>
      <c r="D1500" s="125" t="s">
        <v>4940</v>
      </c>
      <c r="E1500" s="309" t="s">
        <v>4113</v>
      </c>
      <c r="F1500" s="309" t="s">
        <v>4113</v>
      </c>
      <c r="G1500">
        <f>IF(getRGB1($C1500)="FFFFFF",0,1)+IF(getRGB1($D1500)="FFFFFF",0,2)+IF(getRGB1($E1500)="FFFFFF",0,3)+IF(getRGB1($F1500)="FFFFFF",0,4)</f>
        <v>2</v>
      </c>
    </row>
    <row r="1501" spans="1:7" ht="30">
      <c r="A1501" t="s">
        <v>6675</v>
      </c>
      <c r="B1501" s="316" t="s">
        <v>4941</v>
      </c>
      <c r="C1501" s="125" t="s">
        <v>4942</v>
      </c>
      <c r="D1501" s="309" t="s">
        <v>4943</v>
      </c>
      <c r="E1501" s="309" t="s">
        <v>4944</v>
      </c>
      <c r="F1501" s="309" t="s">
        <v>209</v>
      </c>
      <c r="G1501">
        <f>IF(getRGB1($C1501)="FFFFFF",0,1)+IF(getRGB1($D1501)="FFFFFF",0,2)+IF(getRGB1($E1501)="FFFFFF",0,3)+IF(getRGB1($F1501)="FFFFFF",0,4)</f>
        <v>1</v>
      </c>
    </row>
    <row r="1502" spans="1:7" ht="30">
      <c r="A1502" t="s">
        <v>6675</v>
      </c>
      <c r="B1502" s="316" t="s">
        <v>4945</v>
      </c>
      <c r="C1502" s="309" t="s">
        <v>4946</v>
      </c>
      <c r="D1502" s="309" t="s">
        <v>4947</v>
      </c>
      <c r="E1502" s="309" t="s">
        <v>4948</v>
      </c>
      <c r="F1502" s="125" t="s">
        <v>4658</v>
      </c>
      <c r="G1502">
        <f>IF(getRGB1($C1502)="FFFFFF",0,1)+IF(getRGB1($D1502)="FFFFFF",0,2)+IF(getRGB1($E1502)="FFFFFF",0,3)+IF(getRGB1($F1502)="FFFFFF",0,4)</f>
        <v>4</v>
      </c>
    </row>
    <row r="1503" spans="1:7">
      <c r="A1503" t="s">
        <v>6675</v>
      </c>
      <c r="B1503" s="316" t="s">
        <v>4949</v>
      </c>
      <c r="C1503" s="309" t="s">
        <v>4925</v>
      </c>
      <c r="D1503" s="125" t="b">
        <v>0</v>
      </c>
      <c r="E1503" s="309" t="s">
        <v>4113</v>
      </c>
      <c r="F1503" s="309" t="s">
        <v>4113</v>
      </c>
      <c r="G1503">
        <f>IF(getRGB1($C1503)="FFFFFF",0,1)+IF(getRGB1($D1503)="FFFFFF",0,2)+IF(getRGB1($E1503)="FFFFFF",0,3)+IF(getRGB1($F1503)="FFFFFF",0,4)</f>
        <v>2</v>
      </c>
    </row>
    <row r="1504" spans="1:7" ht="30">
      <c r="A1504" t="s">
        <v>6675</v>
      </c>
      <c r="B1504" s="316" t="s">
        <v>4950</v>
      </c>
      <c r="C1504" s="309" t="s">
        <v>4951</v>
      </c>
      <c r="D1504" s="309" t="s">
        <v>4952</v>
      </c>
      <c r="E1504" s="125" t="s">
        <v>4953</v>
      </c>
      <c r="F1504" s="309" t="s">
        <v>4658</v>
      </c>
      <c r="G1504">
        <f>IF(getRGB1($C1504)="FFFFFF",0,1)+IF(getRGB1($D1504)="FFFFFF",0,2)+IF(getRGB1($E1504)="FFFFFF",0,3)+IF(getRGB1($F1504)="FFFFFF",0,4)</f>
        <v>3</v>
      </c>
    </row>
    <row r="1505" spans="1:7" ht="30">
      <c r="A1505" t="s">
        <v>6675</v>
      </c>
      <c r="B1505" s="316" t="s">
        <v>4954</v>
      </c>
      <c r="C1505" s="125" t="s">
        <v>4955</v>
      </c>
      <c r="D1505" s="309" t="s">
        <v>4956</v>
      </c>
      <c r="E1505" s="309" t="s">
        <v>4957</v>
      </c>
      <c r="F1505" s="309" t="s">
        <v>4658</v>
      </c>
      <c r="G1505">
        <f>IF(getRGB1($C1505)="FFFFFF",0,1)+IF(getRGB1($D1505)="FFFFFF",0,2)+IF(getRGB1($E1505)="FFFFFF",0,3)+IF(getRGB1($F1505)="FFFFFF",0,4)</f>
        <v>1</v>
      </c>
    </row>
    <row r="1506" spans="1:7" ht="30">
      <c r="A1506" t="s">
        <v>6675</v>
      </c>
      <c r="B1506" s="316" t="s">
        <v>4958</v>
      </c>
      <c r="C1506" s="125" t="s">
        <v>4959</v>
      </c>
      <c r="D1506" s="309" t="s">
        <v>4960</v>
      </c>
      <c r="E1506" s="309" t="s">
        <v>4961</v>
      </c>
      <c r="F1506" s="309" t="s">
        <v>4962</v>
      </c>
      <c r="G1506">
        <f>IF(getRGB1($C1506)="FFFFFF",0,1)+IF(getRGB1($D1506)="FFFFFF",0,2)+IF(getRGB1($E1506)="FFFFFF",0,3)+IF(getRGB1($F1506)="FFFFFF",0,4)</f>
        <v>1</v>
      </c>
    </row>
    <row r="1507" spans="1:7">
      <c r="A1507" t="s">
        <v>6675</v>
      </c>
      <c r="B1507" s="316" t="s">
        <v>4963</v>
      </c>
      <c r="C1507" s="125" t="s">
        <v>4964</v>
      </c>
      <c r="D1507" s="309" t="s">
        <v>4965</v>
      </c>
      <c r="E1507" s="309" t="s">
        <v>4966</v>
      </c>
      <c r="F1507" s="309" t="s">
        <v>4967</v>
      </c>
      <c r="G1507">
        <f>IF(getRGB1($C1507)="FFFFFF",0,1)+IF(getRGB1($D1507)="FFFFFF",0,2)+IF(getRGB1($E1507)="FFFFFF",0,3)+IF(getRGB1($F1507)="FFFFFF",0,4)</f>
        <v>1</v>
      </c>
    </row>
    <row r="1508" spans="1:7" ht="30">
      <c r="A1508" t="s">
        <v>6675</v>
      </c>
      <c r="B1508" s="316" t="s">
        <v>4968</v>
      </c>
      <c r="C1508" s="309" t="s">
        <v>4969</v>
      </c>
      <c r="D1508" s="309" t="s">
        <v>4970</v>
      </c>
      <c r="E1508" s="309" t="s">
        <v>4971</v>
      </c>
      <c r="F1508" s="125" t="s">
        <v>4972</v>
      </c>
      <c r="G1508">
        <f>IF(getRGB1($C1508)="FFFFFF",0,1)+IF(getRGB1($D1508)="FFFFFF",0,2)+IF(getRGB1($E1508)="FFFFFF",0,3)+IF(getRGB1($F1508)="FFFFFF",0,4)</f>
        <v>4</v>
      </c>
    </row>
    <row r="1509" spans="1:7" ht="60">
      <c r="A1509" t="s">
        <v>6675</v>
      </c>
      <c r="B1509" s="316" t="s">
        <v>4973</v>
      </c>
      <c r="C1509" s="309" t="s">
        <v>4974</v>
      </c>
      <c r="D1509" s="125" t="s">
        <v>4975</v>
      </c>
      <c r="E1509" s="309" t="s">
        <v>2515</v>
      </c>
      <c r="F1509" s="309" t="s">
        <v>4976</v>
      </c>
      <c r="G1509">
        <f>IF(getRGB1($C1509)="FFFFFF",0,1)+IF(getRGB1($D1509)="FFFFFF",0,2)+IF(getRGB1($E1509)="FFFFFF",0,3)+IF(getRGB1($F1509)="FFFFFF",0,4)</f>
        <v>2</v>
      </c>
    </row>
    <row r="1510" spans="1:7" ht="30">
      <c r="A1510" t="s">
        <v>6675</v>
      </c>
      <c r="B1510" s="316" t="s">
        <v>4977</v>
      </c>
      <c r="C1510" s="125" t="s">
        <v>4978</v>
      </c>
      <c r="D1510" s="309" t="s">
        <v>4979</v>
      </c>
      <c r="E1510" s="309" t="s">
        <v>2554</v>
      </c>
      <c r="F1510" s="126" t="s">
        <v>4980</v>
      </c>
      <c r="G1510">
        <f>IF(getRGB1($C1510)="FFFFFF",0,1)+IF(getRGB1($D1510)="FFFFFF",0,2)+IF(getRGB1($E1510)="FFFFFF",0,3)+IF(getRGB1($F1510)="FFFFFF",0,4)</f>
        <v>1</v>
      </c>
    </row>
    <row r="1511" spans="1:7" ht="30">
      <c r="A1511" t="s">
        <v>6675</v>
      </c>
      <c r="B1511" s="316" t="s">
        <v>4981</v>
      </c>
      <c r="C1511" s="309" t="s">
        <v>4982</v>
      </c>
      <c r="D1511" s="309" t="s">
        <v>4983</v>
      </c>
      <c r="E1511" s="125" t="s">
        <v>4984</v>
      </c>
      <c r="F1511" s="309" t="s">
        <v>4985</v>
      </c>
      <c r="G1511">
        <f>IF(getRGB1($C1511)="FFFFFF",0,1)+IF(getRGB1($D1511)="FFFFFF",0,2)+IF(getRGB1($E1511)="FFFFFF",0,3)+IF(getRGB1($F1511)="FFFFFF",0,4)</f>
        <v>3</v>
      </c>
    </row>
    <row r="1512" spans="1:7" ht="30">
      <c r="A1512" t="s">
        <v>6675</v>
      </c>
      <c r="B1512" s="316" t="s">
        <v>4986</v>
      </c>
      <c r="C1512" s="309" t="s">
        <v>4987</v>
      </c>
      <c r="D1512" s="125" t="s">
        <v>4988</v>
      </c>
      <c r="E1512" s="309" t="s">
        <v>4989</v>
      </c>
      <c r="F1512" s="309" t="s">
        <v>4658</v>
      </c>
      <c r="G1512">
        <f>IF(getRGB1($C1512)="FFFFFF",0,1)+IF(getRGB1($D1512)="FFFFFF",0,2)+IF(getRGB1($E1512)="FFFFFF",0,3)+IF(getRGB1($F1512)="FFFFFF",0,4)</f>
        <v>2</v>
      </c>
    </row>
    <row r="1513" spans="1:7" ht="30">
      <c r="A1513" t="s">
        <v>6675</v>
      </c>
      <c r="B1513" s="316" t="s">
        <v>4990</v>
      </c>
      <c r="C1513" s="309" t="s">
        <v>4991</v>
      </c>
      <c r="D1513" s="309" t="s">
        <v>4992</v>
      </c>
      <c r="E1513" s="309" t="s">
        <v>4341</v>
      </c>
      <c r="F1513" s="125" t="s">
        <v>4993</v>
      </c>
      <c r="G1513">
        <f>IF(getRGB1($C1513)="FFFFFF",0,1)+IF(getRGB1($D1513)="FFFFFF",0,2)+IF(getRGB1($E1513)="FFFFFF",0,3)+IF(getRGB1($F1513)="FFFFFF",0,4)</f>
        <v>4</v>
      </c>
    </row>
    <row r="1514" spans="1:7" ht="30">
      <c r="A1514" t="s">
        <v>6675</v>
      </c>
      <c r="B1514" s="316" t="s">
        <v>4994</v>
      </c>
      <c r="C1514" s="309" t="s">
        <v>4995</v>
      </c>
      <c r="D1514" s="309" t="s">
        <v>825</v>
      </c>
      <c r="E1514" s="309" t="s">
        <v>4996</v>
      </c>
      <c r="F1514" s="125" t="s">
        <v>2515</v>
      </c>
      <c r="G1514">
        <f>IF(getRGB1($C1514)="FFFFFF",0,1)+IF(getRGB1($D1514)="FFFFFF",0,2)+IF(getRGB1($E1514)="FFFFFF",0,3)+IF(getRGB1($F1514)="FFFFFF",0,4)</f>
        <v>4</v>
      </c>
    </row>
    <row r="1515" spans="1:7" ht="30">
      <c r="A1515" t="s">
        <v>6675</v>
      </c>
      <c r="B1515" s="316" t="s">
        <v>4997</v>
      </c>
      <c r="C1515" s="309" t="s">
        <v>4998</v>
      </c>
      <c r="D1515" s="309" t="s">
        <v>4999</v>
      </c>
      <c r="E1515" s="125" t="s">
        <v>5000</v>
      </c>
      <c r="F1515" s="309" t="s">
        <v>5001</v>
      </c>
      <c r="G1515">
        <f>IF(getRGB1($C1515)="FFFFFF",0,1)+IF(getRGB1($D1515)="FFFFFF",0,2)+IF(getRGB1($E1515)="FFFFFF",0,3)+IF(getRGB1($F1515)="FFFFFF",0,4)</f>
        <v>3</v>
      </c>
    </row>
    <row r="1516" spans="1:7" ht="30">
      <c r="A1516" t="s">
        <v>6675</v>
      </c>
      <c r="B1516" s="316" t="s">
        <v>5002</v>
      </c>
      <c r="C1516" s="309" t="s">
        <v>5003</v>
      </c>
      <c r="D1516" s="125" t="s">
        <v>5004</v>
      </c>
      <c r="E1516" s="309" t="s">
        <v>4952</v>
      </c>
      <c r="F1516" s="309" t="s">
        <v>5005</v>
      </c>
      <c r="G1516">
        <f>IF(getRGB1($C1516)="FFFFFF",0,1)+IF(getRGB1($D1516)="FFFFFF",0,2)+IF(getRGB1($E1516)="FFFFFF",0,3)+IF(getRGB1($F1516)="FFFFFF",0,4)</f>
        <v>2</v>
      </c>
    </row>
    <row r="1517" spans="1:7">
      <c r="A1517" t="s">
        <v>6675</v>
      </c>
      <c r="B1517" s="316" t="s">
        <v>5006</v>
      </c>
      <c r="C1517" s="309" t="s">
        <v>5007</v>
      </c>
      <c r="D1517" s="309" t="s">
        <v>5008</v>
      </c>
      <c r="E1517" s="309" t="s">
        <v>5009</v>
      </c>
      <c r="F1517" s="125" t="s">
        <v>5010</v>
      </c>
      <c r="G1517">
        <f>IF(getRGB1($C1517)="FFFFFF",0,1)+IF(getRGB1($D1517)="FFFFFF",0,2)+IF(getRGB1($E1517)="FFFFFF",0,3)+IF(getRGB1($F1517)="FFFFFF",0,4)</f>
        <v>4</v>
      </c>
    </row>
    <row r="1518" spans="1:7" ht="30">
      <c r="A1518" t="s">
        <v>6675</v>
      </c>
      <c r="B1518" s="316" t="s">
        <v>5011</v>
      </c>
      <c r="C1518" s="309" t="s">
        <v>5012</v>
      </c>
      <c r="D1518" s="309" t="s">
        <v>1136</v>
      </c>
      <c r="E1518" s="309" t="s">
        <v>1137</v>
      </c>
      <c r="F1518" s="125" t="s">
        <v>1490</v>
      </c>
      <c r="G1518">
        <f>IF(getRGB1($C1518)="FFFFFF",0,1)+IF(getRGB1($D1518)="FFFFFF",0,2)+IF(getRGB1($E1518)="FFFFFF",0,3)+IF(getRGB1($F1518)="FFFFFF",0,4)</f>
        <v>4</v>
      </c>
    </row>
    <row r="1519" spans="1:7" ht="45">
      <c r="A1519" t="s">
        <v>6675</v>
      </c>
      <c r="B1519" s="316" t="s">
        <v>5013</v>
      </c>
      <c r="C1519" s="309" t="s">
        <v>5014</v>
      </c>
      <c r="D1519" s="309" t="s">
        <v>5015</v>
      </c>
      <c r="E1519" s="309" t="s">
        <v>5016</v>
      </c>
      <c r="F1519" s="125" t="s">
        <v>5017</v>
      </c>
      <c r="G1519">
        <f>IF(getRGB1($C1519)="FFFFFF",0,1)+IF(getRGB1($D1519)="FFFFFF",0,2)+IF(getRGB1($E1519)="FFFFFF",0,3)+IF(getRGB1($F1519)="FFFFFF",0,4)</f>
        <v>4</v>
      </c>
    </row>
    <row r="1520" spans="1:7" ht="45">
      <c r="A1520" t="s">
        <v>6675</v>
      </c>
      <c r="B1520" s="316" t="s">
        <v>5018</v>
      </c>
      <c r="C1520" s="309">
        <v>108</v>
      </c>
      <c r="D1520" s="309">
        <v>110</v>
      </c>
      <c r="E1520" s="125">
        <v>178</v>
      </c>
      <c r="F1520" s="309">
        <v>184</v>
      </c>
      <c r="G1520">
        <f>IF(getRGB1($C1520)="FFFFFF",0,1)+IF(getRGB1($D1520)="FFFFFF",0,2)+IF(getRGB1($E1520)="FFFFFF",0,3)+IF(getRGB1($F1520)="FFFFFF",0,4)</f>
        <v>3</v>
      </c>
    </row>
    <row r="1521" spans="1:7" ht="30">
      <c r="A1521" t="s">
        <v>6675</v>
      </c>
      <c r="B1521" s="316" t="s">
        <v>5019</v>
      </c>
      <c r="C1521" s="309" t="s">
        <v>5020</v>
      </c>
      <c r="D1521" s="125" t="s">
        <v>5021</v>
      </c>
      <c r="E1521" s="309" t="s">
        <v>5022</v>
      </c>
      <c r="F1521" s="309" t="s">
        <v>4658</v>
      </c>
      <c r="G1521">
        <f>IF(getRGB1($C1521)="FFFFFF",0,1)+IF(getRGB1($D1521)="FFFFFF",0,2)+IF(getRGB1($E1521)="FFFFFF",0,3)+IF(getRGB1($F1521)="FFFFFF",0,4)</f>
        <v>2</v>
      </c>
    </row>
    <row r="1522" spans="1:7" ht="75">
      <c r="A1522" t="s">
        <v>6675</v>
      </c>
      <c r="B1522" s="316" t="s">
        <v>5023</v>
      </c>
      <c r="C1522" s="309" t="s">
        <v>5024</v>
      </c>
      <c r="D1522" s="309" t="s">
        <v>5025</v>
      </c>
      <c r="E1522" s="125" t="s">
        <v>5026</v>
      </c>
      <c r="F1522" s="309" t="s">
        <v>4658</v>
      </c>
      <c r="G1522">
        <f>IF(getRGB1($C1522)="FFFFFF",0,1)+IF(getRGB1($D1522)="FFFFFF",0,2)+IF(getRGB1($E1522)="FFFFFF",0,3)+IF(getRGB1($F1522)="FFFFFF",0,4)</f>
        <v>3</v>
      </c>
    </row>
    <row r="1523" spans="1:7" ht="90">
      <c r="A1523" t="s">
        <v>6675</v>
      </c>
      <c r="B1523" s="316" t="s">
        <v>5027</v>
      </c>
      <c r="C1523" s="309" t="s">
        <v>5028</v>
      </c>
      <c r="D1523" s="309" t="s">
        <v>5029</v>
      </c>
      <c r="E1523" s="125" t="s">
        <v>5026</v>
      </c>
      <c r="F1523" s="309" t="s">
        <v>4658</v>
      </c>
      <c r="G1523">
        <f>IF(getRGB1($C1523)="FFFFFF",0,1)+IF(getRGB1($D1523)="FFFFFF",0,2)+IF(getRGB1($E1523)="FFFFFF",0,3)+IF(getRGB1($F1523)="FFFFFF",0,4)</f>
        <v>3</v>
      </c>
    </row>
    <row r="1524" spans="1:7" ht="30">
      <c r="A1524" t="s">
        <v>6675</v>
      </c>
      <c r="B1524" s="316" t="s">
        <v>5030</v>
      </c>
      <c r="C1524" s="309" t="s">
        <v>4975</v>
      </c>
      <c r="D1524" s="309" t="s">
        <v>5031</v>
      </c>
      <c r="E1524" s="125" t="s">
        <v>4985</v>
      </c>
      <c r="F1524" s="309" t="s">
        <v>5032</v>
      </c>
      <c r="G1524">
        <f>IF(getRGB1($C1524)="FFFFFF",0,1)+IF(getRGB1($D1524)="FFFFFF",0,2)+IF(getRGB1($E1524)="FFFFFF",0,3)+IF(getRGB1($F1524)="FFFFFF",0,4)</f>
        <v>3</v>
      </c>
    </row>
    <row r="1525" spans="1:7" ht="30">
      <c r="A1525" t="s">
        <v>6675</v>
      </c>
      <c r="B1525" s="316" t="s">
        <v>4888</v>
      </c>
      <c r="C1525" s="125" t="s">
        <v>4656</v>
      </c>
      <c r="D1525" s="309" t="s">
        <v>4889</v>
      </c>
      <c r="E1525" s="309" t="s">
        <v>4890</v>
      </c>
      <c r="F1525" s="309" t="s">
        <v>4658</v>
      </c>
      <c r="G1525">
        <f>IF(getRGB1($C1525)="FFFFFF",0,1)+IF(getRGB1($D1525)="FFFFFF",0,2)+IF(getRGB1($E1525)="FFFFFF",0,3)+IF(getRGB1($F1525)="FFFFFF",0,4)</f>
        <v>1</v>
      </c>
    </row>
    <row r="1526" spans="1:7" ht="30">
      <c r="A1526" t="s">
        <v>6675</v>
      </c>
      <c r="B1526" s="316" t="s">
        <v>5033</v>
      </c>
      <c r="C1526" s="125" t="s">
        <v>5034</v>
      </c>
      <c r="D1526" s="309" t="s">
        <v>5035</v>
      </c>
      <c r="E1526" s="309" t="s">
        <v>5036</v>
      </c>
      <c r="F1526" s="309" t="s">
        <v>5037</v>
      </c>
      <c r="G1526">
        <f>IF(getRGB1($C1526)="FFFFFF",0,1)+IF(getRGB1($D1526)="FFFFFF",0,2)+IF(getRGB1($E1526)="FFFFFF",0,3)+IF(getRGB1($F1526)="FFFFFF",0,4)</f>
        <v>1</v>
      </c>
    </row>
    <row r="1527" spans="1:7" ht="30">
      <c r="A1527" t="s">
        <v>6675</v>
      </c>
      <c r="B1527" s="316" t="s">
        <v>5038</v>
      </c>
      <c r="C1527" s="309" t="s">
        <v>5039</v>
      </c>
      <c r="D1527" s="125" t="s">
        <v>5040</v>
      </c>
      <c r="E1527" s="309" t="s">
        <v>5041</v>
      </c>
      <c r="F1527" s="309" t="s">
        <v>5042</v>
      </c>
      <c r="G1527">
        <f>IF(getRGB1($C1527)="FFFFFF",0,1)+IF(getRGB1($D1527)="FFFFFF",0,2)+IF(getRGB1($E1527)="FFFFFF",0,3)+IF(getRGB1($F1527)="FFFFFF",0,4)</f>
        <v>2</v>
      </c>
    </row>
    <row r="1528" spans="1:7" ht="30">
      <c r="A1528" t="s">
        <v>6675</v>
      </c>
      <c r="B1528" s="316" t="s">
        <v>5043</v>
      </c>
      <c r="C1528" s="309" t="s">
        <v>4885</v>
      </c>
      <c r="D1528" s="309" t="s">
        <v>4886</v>
      </c>
      <c r="E1528" s="309" t="s">
        <v>4887</v>
      </c>
      <c r="F1528" s="125" t="s">
        <v>4755</v>
      </c>
      <c r="G1528">
        <f>IF(getRGB1($C1528)="FFFFFF",0,1)+IF(getRGB1($D1528)="FFFFFF",0,2)+IF(getRGB1($E1528)="FFFFFF",0,3)+IF(getRGB1($F1528)="FFFFFF",0,4)</f>
        <v>4</v>
      </c>
    </row>
    <row r="1529" spans="1:7" ht="30">
      <c r="A1529" t="s">
        <v>6675</v>
      </c>
      <c r="B1529" s="316" t="s">
        <v>4882</v>
      </c>
      <c r="C1529" s="309" t="s">
        <v>1370</v>
      </c>
      <c r="D1529" s="309" t="s">
        <v>4883</v>
      </c>
      <c r="E1529" s="309" t="s">
        <v>1372</v>
      </c>
      <c r="F1529" s="125" t="s">
        <v>1117</v>
      </c>
      <c r="G1529">
        <f>IF(getRGB1($C1529)="FFFFFF",0,1)+IF(getRGB1($D1529)="FFFFFF",0,2)+IF(getRGB1($E1529)="FFFFFF",0,3)+IF(getRGB1($F1529)="FFFFFF",0,4)</f>
        <v>4</v>
      </c>
    </row>
    <row r="1530" spans="1:7" ht="30">
      <c r="A1530" t="s">
        <v>6675</v>
      </c>
      <c r="B1530" s="316" t="s">
        <v>5044</v>
      </c>
      <c r="C1530" s="309" t="s">
        <v>5045</v>
      </c>
      <c r="D1530" s="309" t="s">
        <v>2514</v>
      </c>
      <c r="E1530" s="125" t="s">
        <v>5046</v>
      </c>
      <c r="F1530" s="309" t="s">
        <v>1272</v>
      </c>
      <c r="G1530">
        <f>IF(getRGB1($C1530)="FFFFFF",0,1)+IF(getRGB1($D1530)="FFFFFF",0,2)+IF(getRGB1($E1530)="FFFFFF",0,3)+IF(getRGB1($F1530)="FFFFFF",0,4)</f>
        <v>3</v>
      </c>
    </row>
    <row r="1531" spans="1:7" ht="30">
      <c r="A1531" t="s">
        <v>6675</v>
      </c>
      <c r="B1531" s="316" t="s">
        <v>5047</v>
      </c>
      <c r="C1531" s="125" t="s">
        <v>1272</v>
      </c>
      <c r="D1531" s="309" t="s">
        <v>5048</v>
      </c>
      <c r="E1531" s="309" t="s">
        <v>5049</v>
      </c>
      <c r="F1531" s="309" t="s">
        <v>5050</v>
      </c>
      <c r="G1531">
        <f>IF(getRGB1($C1531)="FFFFFF",0,1)+IF(getRGB1($D1531)="FFFFFF",0,2)+IF(getRGB1($E1531)="FFFFFF",0,3)+IF(getRGB1($F1531)="FFFFFF",0,4)</f>
        <v>1</v>
      </c>
    </row>
    <row r="1532" spans="1:7" ht="30">
      <c r="A1532" t="s">
        <v>6675</v>
      </c>
      <c r="B1532" s="316" t="s">
        <v>4891</v>
      </c>
      <c r="C1532" s="309" t="s">
        <v>4892</v>
      </c>
      <c r="D1532" s="125" t="s">
        <v>4893</v>
      </c>
      <c r="E1532" s="309" t="s">
        <v>4894</v>
      </c>
      <c r="F1532" s="309" t="s">
        <v>4755</v>
      </c>
      <c r="G1532">
        <f>IF(getRGB1($C1532)="FFFFFF",0,1)+IF(getRGB1($D1532)="FFFFFF",0,2)+IF(getRGB1($E1532)="FFFFFF",0,3)+IF(getRGB1($F1532)="FFFFFF",0,4)</f>
        <v>2</v>
      </c>
    </row>
    <row r="1533" spans="1:7" ht="30">
      <c r="A1533" t="s">
        <v>6675</v>
      </c>
      <c r="B1533" s="316" t="s">
        <v>5051</v>
      </c>
      <c r="C1533" s="309" t="s">
        <v>5052</v>
      </c>
      <c r="D1533" s="309" t="s">
        <v>3139</v>
      </c>
      <c r="E1533" s="125" t="s">
        <v>5053</v>
      </c>
      <c r="F1533" s="309" t="s">
        <v>5054</v>
      </c>
      <c r="G1533">
        <f>IF(getRGB1($C1533)="FFFFFF",0,1)+IF(getRGB1($D1533)="FFFFFF",0,2)+IF(getRGB1($E1533)="FFFFFF",0,3)+IF(getRGB1($F1533)="FFFFFF",0,4)</f>
        <v>3</v>
      </c>
    </row>
    <row r="1534" spans="1:7" ht="30">
      <c r="A1534" t="s">
        <v>6675</v>
      </c>
      <c r="B1534" s="316" t="s">
        <v>4895</v>
      </c>
      <c r="C1534" s="309" t="s">
        <v>4896</v>
      </c>
      <c r="D1534" s="309" t="s">
        <v>4897</v>
      </c>
      <c r="E1534" s="125" t="s">
        <v>4898</v>
      </c>
      <c r="F1534" s="309" t="s">
        <v>4899</v>
      </c>
      <c r="G1534">
        <f>IF(getRGB1($C1534)="FFFFFF",0,1)+IF(getRGB1($D1534)="FFFFFF",0,2)+IF(getRGB1($E1534)="FFFFFF",0,3)+IF(getRGB1($F1534)="FFFFFF",0,4)</f>
        <v>3</v>
      </c>
    </row>
    <row r="1535" spans="1:7">
      <c r="A1535" t="s">
        <v>6675</v>
      </c>
      <c r="B1535" s="316" t="s">
        <v>5055</v>
      </c>
      <c r="C1535" s="309" t="s">
        <v>5056</v>
      </c>
      <c r="D1535" s="309" t="s">
        <v>5057</v>
      </c>
      <c r="E1535" s="125" t="s">
        <v>5058</v>
      </c>
      <c r="F1535" s="309" t="s">
        <v>5059</v>
      </c>
      <c r="G1535">
        <f>IF(getRGB1($C1535)="FFFFFF",0,1)+IF(getRGB1($D1535)="FFFFFF",0,2)+IF(getRGB1($E1535)="FFFFFF",0,3)+IF(getRGB1($F1535)="FFFFFF",0,4)</f>
        <v>3</v>
      </c>
    </row>
    <row r="1536" spans="1:7">
      <c r="A1536" t="s">
        <v>6675</v>
      </c>
      <c r="B1536" s="316" t="s">
        <v>5060</v>
      </c>
      <c r="C1536" s="309" t="s">
        <v>174</v>
      </c>
      <c r="D1536" s="309" t="s">
        <v>173</v>
      </c>
      <c r="E1536" s="125" t="s">
        <v>5061</v>
      </c>
      <c r="F1536" s="309" t="s">
        <v>5062</v>
      </c>
      <c r="G1536">
        <f>IF(getRGB1($C1536)="FFFFFF",0,1)+IF(getRGB1($D1536)="FFFFFF",0,2)+IF(getRGB1($E1536)="FFFFFF",0,3)+IF(getRGB1($F1536)="FFFFFF",0,4)</f>
        <v>3</v>
      </c>
    </row>
    <row r="1537" spans="1:7" ht="30">
      <c r="A1537" t="s">
        <v>6675</v>
      </c>
      <c r="B1537" s="316" t="s">
        <v>5063</v>
      </c>
      <c r="C1537" s="309" t="b">
        <v>1</v>
      </c>
      <c r="D1537" s="125" t="s">
        <v>5064</v>
      </c>
      <c r="E1537" s="309" t="s">
        <v>4113</v>
      </c>
      <c r="F1537" s="309" t="s">
        <v>4113</v>
      </c>
      <c r="G1537">
        <f>IF(getRGB1($C1537)="FFFFFF",0,1)+IF(getRGB1($D1537)="FFFFFF",0,2)+IF(getRGB1($E1537)="FFFFFF",0,3)+IF(getRGB1($F1537)="FFFFFF",0,4)</f>
        <v>2</v>
      </c>
    </row>
    <row r="1538" spans="1:7">
      <c r="A1538" t="s">
        <v>6675</v>
      </c>
      <c r="B1538" s="316" t="s">
        <v>5065</v>
      </c>
      <c r="C1538" s="309" t="s">
        <v>5062</v>
      </c>
      <c r="D1538" s="309" t="s">
        <v>173</v>
      </c>
      <c r="E1538" s="309" t="s">
        <v>174</v>
      </c>
      <c r="F1538" s="125" t="s">
        <v>74</v>
      </c>
      <c r="G1538">
        <f>IF(getRGB1($C1538)="FFFFFF",0,1)+IF(getRGB1($D1538)="FFFFFF",0,2)+IF(getRGB1($E1538)="FFFFFF",0,3)+IF(getRGB1($F1538)="FFFFFF",0,4)</f>
        <v>4</v>
      </c>
    </row>
    <row r="1539" spans="1:7">
      <c r="A1539" t="s">
        <v>6675</v>
      </c>
      <c r="B1539" s="316" t="s">
        <v>5065</v>
      </c>
      <c r="C1539" s="309" t="s">
        <v>5062</v>
      </c>
      <c r="D1539" s="309" t="s">
        <v>173</v>
      </c>
      <c r="E1539" s="309" t="s">
        <v>174</v>
      </c>
      <c r="F1539" s="125" t="s">
        <v>74</v>
      </c>
      <c r="G1539">
        <f>IF(getRGB1($C1539)="FFFFFF",0,1)+IF(getRGB1($D1539)="FFFFFF",0,2)+IF(getRGB1($E1539)="FFFFFF",0,3)+IF(getRGB1($F1539)="FFFFFF",0,4)</f>
        <v>4</v>
      </c>
    </row>
    <row r="1540" spans="1:7" ht="30">
      <c r="A1540" t="s">
        <v>6675</v>
      </c>
      <c r="B1540" s="308" t="s">
        <v>5066</v>
      </c>
      <c r="C1540" s="318" t="s">
        <v>5067</v>
      </c>
      <c r="D1540" s="319" t="s">
        <v>2535</v>
      </c>
      <c r="E1540" s="318" t="s">
        <v>5068</v>
      </c>
      <c r="F1540" s="318" t="s">
        <v>5069</v>
      </c>
      <c r="G1540">
        <f>IF(getRGB1($C1540)="FFFFFF",0,1)+IF(getRGB1($D1540)="FFFFFF",0,2)+IF(getRGB1($E1540)="FFFFFF",0,3)+IF(getRGB1($F1540)="FFFFFF",0,4)</f>
        <v>2</v>
      </c>
    </row>
    <row r="1541" spans="1:7" ht="30">
      <c r="A1541" t="s">
        <v>6675</v>
      </c>
      <c r="B1541" s="308" t="s">
        <v>5070</v>
      </c>
      <c r="C1541" s="318" t="s">
        <v>5071</v>
      </c>
      <c r="D1541" s="319" t="s">
        <v>5072</v>
      </c>
      <c r="E1541" s="318" t="s">
        <v>5073</v>
      </c>
      <c r="F1541" s="318" t="s">
        <v>5074</v>
      </c>
      <c r="G1541">
        <f>IF(getRGB1($C1541)="FFFFFF",0,1)+IF(getRGB1($D1541)="FFFFFF",0,2)+IF(getRGB1($E1541)="FFFFFF",0,3)+IF(getRGB1($F1541)="FFFFFF",0,4)</f>
        <v>2</v>
      </c>
    </row>
    <row r="1542" spans="1:7" ht="45">
      <c r="A1542" t="s">
        <v>6675</v>
      </c>
      <c r="B1542" s="308" t="s">
        <v>5075</v>
      </c>
      <c r="C1542" s="125" t="s">
        <v>5076</v>
      </c>
      <c r="D1542" s="318" t="s">
        <v>5077</v>
      </c>
      <c r="E1542" s="318" t="s">
        <v>5078</v>
      </c>
      <c r="F1542" s="318" t="s">
        <v>5079</v>
      </c>
      <c r="G1542">
        <f>IF(getRGB1($C1542)="FFFFFF",0,1)+IF(getRGB1($D1542)="FFFFFF",0,2)+IF(getRGB1($E1542)="FFFFFF",0,3)+IF(getRGB1($F1542)="FFFFFF",0,4)</f>
        <v>1</v>
      </c>
    </row>
    <row r="1543" spans="1:7" ht="30">
      <c r="A1543" t="s">
        <v>6675</v>
      </c>
      <c r="B1543" s="308" t="s">
        <v>5080</v>
      </c>
      <c r="C1543" s="126" t="s">
        <v>5081</v>
      </c>
      <c r="D1543" s="126" t="s">
        <v>5082</v>
      </c>
      <c r="E1543" s="126" t="s">
        <v>5083</v>
      </c>
      <c r="F1543" s="125" t="s">
        <v>5084</v>
      </c>
      <c r="G1543">
        <f>IF(getRGB1($C1543)="FFFFFF",0,1)+IF(getRGB1($D1543)="FFFFFF",0,2)+IF(getRGB1($E1543)="FFFFFF",0,3)+IF(getRGB1($F1543)="FFFFFF",0,4)</f>
        <v>4</v>
      </c>
    </row>
    <row r="1544" spans="1:7" ht="30">
      <c r="A1544" t="s">
        <v>6675</v>
      </c>
      <c r="B1544" s="308" t="s">
        <v>5085</v>
      </c>
      <c r="C1544" s="318" t="s">
        <v>5086</v>
      </c>
      <c r="D1544" s="318" t="s">
        <v>5087</v>
      </c>
      <c r="E1544" s="318" t="s">
        <v>5088</v>
      </c>
      <c r="F1544" s="319" t="s">
        <v>3313</v>
      </c>
      <c r="G1544">
        <f>IF(getRGB1($C1544)="FFFFFF",0,1)+IF(getRGB1($D1544)="FFFFFF",0,2)+IF(getRGB1($E1544)="FFFFFF",0,3)+IF(getRGB1($F1544)="FFFFFF",0,4)</f>
        <v>4</v>
      </c>
    </row>
    <row r="1545" spans="1:7">
      <c r="A1545" t="s">
        <v>6675</v>
      </c>
      <c r="B1545" s="308" t="s">
        <v>5089</v>
      </c>
      <c r="C1545" s="320" t="s">
        <v>5090</v>
      </c>
      <c r="D1545" s="318" t="s">
        <v>5091</v>
      </c>
      <c r="E1545" s="319" t="s">
        <v>5092</v>
      </c>
      <c r="F1545" s="318">
        <v>88300</v>
      </c>
      <c r="G1545">
        <f>IF(getRGB1($C1545)="FFFFFF",0,1)+IF(getRGB1($D1545)="FFFFFF",0,2)+IF(getRGB1($E1545)="FFFFFF",0,3)+IF(getRGB1($F1545)="FFFFFF",0,4)</f>
        <v>3</v>
      </c>
    </row>
    <row r="1546" spans="1:7" ht="30">
      <c r="A1546" t="s">
        <v>6675</v>
      </c>
      <c r="B1546" s="308" t="s">
        <v>5093</v>
      </c>
      <c r="C1546" s="125" t="s">
        <v>5094</v>
      </c>
      <c r="D1546" s="318" t="s">
        <v>5095</v>
      </c>
      <c r="E1546" s="318" t="s">
        <v>5096</v>
      </c>
      <c r="F1546" s="309" t="s">
        <v>61</v>
      </c>
      <c r="G1546">
        <f>IF(getRGB1($C1546)="FFFFFF",0,1)+IF(getRGB1($D1546)="FFFFFF",0,2)+IF(getRGB1($E1546)="FFFFFF",0,3)+IF(getRGB1($F1546)="FFFFFF",0,4)</f>
        <v>1</v>
      </c>
    </row>
    <row r="1547" spans="1:7" ht="30">
      <c r="A1547" t="s">
        <v>6675</v>
      </c>
      <c r="B1547" s="308" t="s">
        <v>5097</v>
      </c>
      <c r="C1547" s="125" t="s">
        <v>5098</v>
      </c>
      <c r="D1547" s="126" t="s">
        <v>5099</v>
      </c>
      <c r="E1547" s="126" t="s">
        <v>5100</v>
      </c>
      <c r="F1547" s="126" t="s">
        <v>5101</v>
      </c>
      <c r="G1547">
        <f>IF(getRGB1($C1547)="FFFFFF",0,1)+IF(getRGB1($D1547)="FFFFFF",0,2)+IF(getRGB1($E1547)="FFFFFF",0,3)+IF(getRGB1($F1547)="FFFFFF",0,4)</f>
        <v>1</v>
      </c>
    </row>
    <row r="1548" spans="1:7">
      <c r="A1548" t="s">
        <v>6675</v>
      </c>
      <c r="B1548" s="308" t="s">
        <v>5102</v>
      </c>
      <c r="C1548" s="126" t="s">
        <v>5103</v>
      </c>
      <c r="D1548" s="318"/>
      <c r="E1548" s="318"/>
      <c r="F1548" s="318"/>
      <c r="G1548">
        <f>IF(getRGB1($C1548)="FFFFFF",0,1)+IF(getRGB1($D1548)="FFFFFF",0,2)+IF(getRGB1($E1548)="FFFFFF",0,3)+IF(getRGB1($F1548)="FFFFFF",0,4)</f>
        <v>0</v>
      </c>
    </row>
    <row r="1549" spans="1:7" ht="30">
      <c r="A1549" t="s">
        <v>6675</v>
      </c>
      <c r="B1549" s="308" t="s">
        <v>5104</v>
      </c>
      <c r="C1549" s="321" t="s">
        <v>5105</v>
      </c>
      <c r="D1549" s="318"/>
      <c r="E1549" s="318"/>
      <c r="F1549" s="318"/>
      <c r="G1549">
        <f>IF(getRGB1($C1549)="FFFFFF",0,1)+IF(getRGB1($D1549)="FFFFFF",0,2)+IF(getRGB1($E1549)="FFFFFF",0,3)+IF(getRGB1($F1549)="FFFFFF",0,4)</f>
        <v>0</v>
      </c>
    </row>
    <row r="1550" spans="1:7" ht="60">
      <c r="A1550" t="s">
        <v>6675</v>
      </c>
      <c r="B1550" s="308" t="s">
        <v>5106</v>
      </c>
      <c r="C1550" s="125" t="s">
        <v>5107</v>
      </c>
      <c r="D1550" s="126" t="s">
        <v>5108</v>
      </c>
      <c r="E1550" s="126" t="s">
        <v>5109</v>
      </c>
      <c r="F1550" s="126" t="s">
        <v>5110</v>
      </c>
      <c r="G1550">
        <f>IF(getRGB1($C1550)="FFFFFF",0,1)+IF(getRGB1($D1550)="FFFFFF",0,2)+IF(getRGB1($E1550)="FFFFFF",0,3)+IF(getRGB1($F1550)="FFFFFF",0,4)</f>
        <v>1</v>
      </c>
    </row>
    <row r="1551" spans="1:7" ht="30">
      <c r="A1551" t="s">
        <v>6675</v>
      </c>
      <c r="B1551" s="308" t="s">
        <v>5111</v>
      </c>
      <c r="C1551" s="126" t="s">
        <v>5112</v>
      </c>
      <c r="D1551" s="318"/>
      <c r="E1551" s="318"/>
      <c r="F1551" s="318"/>
      <c r="G1551">
        <f>IF(getRGB1($C1551)="FFFFFF",0,1)+IF(getRGB1($D1551)="FFFFFF",0,2)+IF(getRGB1($E1551)="FFFFFF",0,3)+IF(getRGB1($F1551)="FFFFFF",0,4)</f>
        <v>0</v>
      </c>
    </row>
    <row r="1552" spans="1:7" ht="30">
      <c r="A1552" t="s">
        <v>6675</v>
      </c>
      <c r="B1552" s="308" t="s">
        <v>5113</v>
      </c>
      <c r="C1552" s="319" t="s">
        <v>5114</v>
      </c>
      <c r="D1552" s="318" t="s">
        <v>1489</v>
      </c>
      <c r="E1552" s="318" t="s">
        <v>5115</v>
      </c>
      <c r="F1552" s="318" t="s">
        <v>1490</v>
      </c>
      <c r="G1552">
        <f>IF(getRGB1($C1552)="FFFFFF",0,1)+IF(getRGB1($D1552)="FFFFFF",0,2)+IF(getRGB1($E1552)="FFFFFF",0,3)+IF(getRGB1($F1552)="FFFFFF",0,4)</f>
        <v>1</v>
      </c>
    </row>
    <row r="1553" spans="1:7" ht="30">
      <c r="A1553" t="s">
        <v>6675</v>
      </c>
      <c r="B1553" s="308" t="s">
        <v>5116</v>
      </c>
      <c r="C1553" s="319" t="s">
        <v>5114</v>
      </c>
      <c r="D1553" s="318" t="s">
        <v>1489</v>
      </c>
      <c r="E1553" s="319" t="s">
        <v>5115</v>
      </c>
      <c r="F1553" s="318" t="s">
        <v>1490</v>
      </c>
      <c r="G1553">
        <f>IF(getRGB1($C1553)="FFFFFF",0,1)+IF(getRGB1($D1553)="FFFFFF",0,2)+IF(getRGB1($E1553)="FFFFFF",0,3)+IF(getRGB1($F1553)="FFFFFF",0,4)</f>
        <v>4</v>
      </c>
    </row>
    <row r="1554" spans="1:7">
      <c r="A1554" t="s">
        <v>6675</v>
      </c>
      <c r="B1554" s="308" t="s">
        <v>5117</v>
      </c>
      <c r="C1554" s="319" t="s">
        <v>5118</v>
      </c>
      <c r="D1554" s="318" t="s">
        <v>5119</v>
      </c>
      <c r="E1554" s="318" t="s">
        <v>5120</v>
      </c>
      <c r="F1554" s="318" t="s">
        <v>5121</v>
      </c>
      <c r="G1554">
        <f>IF(getRGB1($C1554)="FFFFFF",0,1)+IF(getRGB1($D1554)="FFFFFF",0,2)+IF(getRGB1($E1554)="FFFFFF",0,3)+IF(getRGB1($F1554)="FFFFFF",0,4)</f>
        <v>1</v>
      </c>
    </row>
    <row r="1555" spans="1:7" ht="60">
      <c r="A1555" t="s">
        <v>6675</v>
      </c>
      <c r="B1555" s="308" t="s">
        <v>5122</v>
      </c>
      <c r="C1555" s="320" t="s">
        <v>5123</v>
      </c>
      <c r="D1555" s="320" t="s">
        <v>5124</v>
      </c>
      <c r="E1555" s="319" t="s">
        <v>5125</v>
      </c>
      <c r="F1555" s="320" t="s">
        <v>5126</v>
      </c>
      <c r="G1555">
        <f>IF(getRGB1($C1555)="FFFFFF",0,1)+IF(getRGB1($D1555)="FFFFFF",0,2)+IF(getRGB1($E1555)="FFFFFF",0,3)+IF(getRGB1($F1555)="FFFFFF",0,4)</f>
        <v>3</v>
      </c>
    </row>
    <row r="1556" spans="1:7" ht="60">
      <c r="A1556" t="s">
        <v>6675</v>
      </c>
      <c r="B1556" s="308" t="s">
        <v>5127</v>
      </c>
      <c r="C1556" s="126" t="s">
        <v>5128</v>
      </c>
      <c r="D1556" s="126" t="s">
        <v>5129</v>
      </c>
      <c r="E1556" s="319" t="s">
        <v>5123</v>
      </c>
      <c r="F1556" s="320" t="s">
        <v>5124</v>
      </c>
      <c r="G1556">
        <f>IF(getRGB1($C1556)="FFFFFF",0,1)+IF(getRGB1($D1556)="FFFFFF",0,2)+IF(getRGB1($E1556)="FFFFFF",0,3)+IF(getRGB1($F1556)="FFFFFF",0,4)</f>
        <v>3</v>
      </c>
    </row>
    <row r="1557" spans="1:7" ht="60">
      <c r="A1557" t="s">
        <v>6675</v>
      </c>
      <c r="B1557" s="308" t="s">
        <v>5130</v>
      </c>
      <c r="C1557" s="126" t="s">
        <v>5128</v>
      </c>
      <c r="D1557" s="126" t="s">
        <v>5129</v>
      </c>
      <c r="E1557" s="320" t="s">
        <v>5131</v>
      </c>
      <c r="F1557" s="319" t="s">
        <v>5123</v>
      </c>
      <c r="G1557">
        <f>IF(getRGB1($C1557)="FFFFFF",0,1)+IF(getRGB1($D1557)="FFFFFF",0,2)+IF(getRGB1($E1557)="FFFFFF",0,3)+IF(getRGB1($F1557)="FFFFFF",0,4)</f>
        <v>4</v>
      </c>
    </row>
    <row r="1558" spans="1:7" ht="45">
      <c r="A1558" t="s">
        <v>6675</v>
      </c>
      <c r="B1558" s="308" t="s">
        <v>5132</v>
      </c>
      <c r="C1558" s="319" t="s">
        <v>5133</v>
      </c>
      <c r="D1558" s="318" t="s">
        <v>5134</v>
      </c>
      <c r="E1558" s="318" t="s">
        <v>5135</v>
      </c>
      <c r="F1558" s="318" t="s">
        <v>5136</v>
      </c>
      <c r="G1558">
        <f>IF(getRGB1($C1558)="FFFFFF",0,1)+IF(getRGB1($D1558)="FFFFFF",0,2)+IF(getRGB1($E1558)="FFFFFF",0,3)+IF(getRGB1($F1558)="FFFFFF",0,4)</f>
        <v>1</v>
      </c>
    </row>
    <row r="1559" spans="1:7" ht="30">
      <c r="A1559" t="s">
        <v>6675</v>
      </c>
      <c r="B1559" s="308" t="s">
        <v>5137</v>
      </c>
      <c r="C1559" s="126" t="s">
        <v>5138</v>
      </c>
      <c r="D1559" s="126" t="s">
        <v>5139</v>
      </c>
      <c r="E1559" s="125" t="s">
        <v>5140</v>
      </c>
      <c r="F1559" s="126" t="s">
        <v>5141</v>
      </c>
      <c r="G1559">
        <f>IF(getRGB1($C1559)="FFFFFF",0,1)+IF(getRGB1($D1559)="FFFFFF",0,2)+IF(getRGB1($E1559)="FFFFFF",0,3)+IF(getRGB1($F1559)="FFFFFF",0,4)</f>
        <v>3</v>
      </c>
    </row>
    <row r="1560" spans="1:7" ht="30">
      <c r="A1560" t="s">
        <v>6675</v>
      </c>
      <c r="B1560" s="322" t="s">
        <v>5142</v>
      </c>
      <c r="C1560" s="126" t="s">
        <v>5143</v>
      </c>
      <c r="D1560" s="125" t="s">
        <v>4943</v>
      </c>
      <c r="E1560" s="126" t="s">
        <v>5144</v>
      </c>
      <c r="F1560" s="126" t="s">
        <v>5145</v>
      </c>
      <c r="G1560">
        <f>IF(getRGB1($C1560)="FFFFFF",0,1)+IF(getRGB1($D1560)="FFFFFF",0,2)+IF(getRGB1($E1560)="FFFFFF",0,3)+IF(getRGB1($F1560)="FFFFFF",0,4)</f>
        <v>2</v>
      </c>
    </row>
    <row r="1561" spans="1:7">
      <c r="A1561" t="s">
        <v>6675</v>
      </c>
      <c r="B1561" s="316" t="s">
        <v>5146</v>
      </c>
      <c r="C1561" s="318" t="s">
        <v>5147</v>
      </c>
      <c r="D1561" s="319" t="s">
        <v>5148</v>
      </c>
      <c r="E1561" s="318" t="s">
        <v>5149</v>
      </c>
      <c r="F1561" s="318" t="s">
        <v>5150</v>
      </c>
      <c r="G1561">
        <f>IF(getRGB1($C1561)="FFFFFF",0,1)+IF(getRGB1($D1561)="FFFFFF",0,2)+IF(getRGB1($E1561)="FFFFFF",0,3)+IF(getRGB1($F1561)="FFFFFF",0,4)</f>
        <v>2</v>
      </c>
    </row>
    <row r="1562" spans="1:7">
      <c r="A1562" t="s">
        <v>6675</v>
      </c>
      <c r="B1562" s="316" t="s">
        <v>5151</v>
      </c>
      <c r="C1562" s="318" t="s">
        <v>5147</v>
      </c>
      <c r="D1562" s="318" t="s">
        <v>5148</v>
      </c>
      <c r="E1562" s="318" t="s">
        <v>5149</v>
      </c>
      <c r="F1562" s="319" t="s">
        <v>5150</v>
      </c>
      <c r="G1562">
        <f>IF(getRGB1($C1562)="FFFFFF",0,1)+IF(getRGB1($D1562)="FFFFFF",0,2)+IF(getRGB1($E1562)="FFFFFF",0,3)+IF(getRGB1($F1562)="FFFFFF",0,4)</f>
        <v>4</v>
      </c>
    </row>
    <row r="1563" spans="1:7">
      <c r="A1563" t="s">
        <v>6675</v>
      </c>
      <c r="B1563" s="322" t="s">
        <v>5152</v>
      </c>
      <c r="C1563" s="126" t="s">
        <v>5144</v>
      </c>
      <c r="D1563" s="126" t="s">
        <v>5143</v>
      </c>
      <c r="E1563" s="126" t="s">
        <v>5145</v>
      </c>
      <c r="F1563" s="125" t="s">
        <v>5153</v>
      </c>
      <c r="G1563">
        <f>IF(getRGB1($C1563)="FFFFFF",0,1)+IF(getRGB1($D1563)="FFFFFF",0,2)+IF(getRGB1($E1563)="FFFFFF",0,3)+IF(getRGB1($F1563)="FFFFFF",0,4)</f>
        <v>4</v>
      </c>
    </row>
    <row r="1564" spans="1:7">
      <c r="A1564" t="s">
        <v>6675</v>
      </c>
      <c r="B1564" s="318" t="s">
        <v>5154</v>
      </c>
      <c r="C1564" s="126" t="s">
        <v>5144</v>
      </c>
      <c r="D1564" s="126" t="s">
        <v>5143</v>
      </c>
      <c r="E1564" s="125" t="s">
        <v>5145</v>
      </c>
      <c r="F1564" s="309" t="s">
        <v>5153</v>
      </c>
      <c r="G1564">
        <f>IF(getRGB1($C1564)="FFFFFF",0,1)+IF(getRGB1($D1564)="FFFFFF",0,2)+IF(getRGB1($E1564)="FFFFFF",0,3)+IF(getRGB1($F1564)="FFFFFF",0,4)</f>
        <v>3</v>
      </c>
    </row>
    <row r="1565" spans="1:7" ht="30">
      <c r="A1565" t="s">
        <v>6675</v>
      </c>
      <c r="B1565" s="126" t="s">
        <v>5155</v>
      </c>
      <c r="C1565" s="125" t="s">
        <v>5045</v>
      </c>
      <c r="D1565" s="318" t="s">
        <v>5156</v>
      </c>
      <c r="E1565" s="318" t="s">
        <v>4974</v>
      </c>
      <c r="F1565" s="318" t="s">
        <v>5157</v>
      </c>
      <c r="G1565">
        <f>IF(getRGB1($C1565)="FFFFFF",0,1)+IF(getRGB1($D1565)="FFFFFF",0,2)+IF(getRGB1($E1565)="FFFFFF",0,3)+IF(getRGB1($F1565)="FFFFFF",0,4)</f>
        <v>1</v>
      </c>
    </row>
    <row r="1566" spans="1:7">
      <c r="A1566" t="s">
        <v>6675</v>
      </c>
      <c r="B1566" s="318" t="s">
        <v>5158</v>
      </c>
      <c r="C1566" s="126" t="s">
        <v>5159</v>
      </c>
      <c r="D1566" s="126" t="s">
        <v>5160</v>
      </c>
      <c r="E1566" s="126" t="s">
        <v>5161</v>
      </c>
      <c r="F1566" s="125" t="s">
        <v>5062</v>
      </c>
      <c r="G1566">
        <f>IF(getRGB1($C1566)="FFFFFF",0,1)+IF(getRGB1($D1566)="FFFFFF",0,2)+IF(getRGB1($E1566)="FFFFFF",0,3)+IF(getRGB1($F1566)="FFFFFF",0,4)</f>
        <v>4</v>
      </c>
    </row>
    <row r="1567" spans="1:7" ht="30">
      <c r="A1567" t="s">
        <v>6675</v>
      </c>
      <c r="B1567" s="126" t="s">
        <v>5162</v>
      </c>
      <c r="C1567" s="318" t="s">
        <v>5163</v>
      </c>
      <c r="D1567" s="319" t="s">
        <v>5164</v>
      </c>
      <c r="E1567" s="318" t="s">
        <v>5165</v>
      </c>
      <c r="F1567" s="318" t="s">
        <v>5166</v>
      </c>
      <c r="G1567">
        <f>IF(getRGB1($C1567)="FFFFFF",0,1)+IF(getRGB1($D1567)="FFFFFF",0,2)+IF(getRGB1($E1567)="FFFFFF",0,3)+IF(getRGB1($F1567)="FFFFFF",0,4)</f>
        <v>2</v>
      </c>
    </row>
    <row r="1568" spans="1:7">
      <c r="A1568" t="s">
        <v>6675</v>
      </c>
      <c r="B1568" s="126" t="s">
        <v>5167</v>
      </c>
      <c r="C1568" s="319" t="s">
        <v>5168</v>
      </c>
      <c r="D1568" s="318" t="s">
        <v>5169</v>
      </c>
      <c r="E1568" s="318" t="s">
        <v>5170</v>
      </c>
      <c r="F1568" s="318" t="s">
        <v>5171</v>
      </c>
      <c r="G1568">
        <f>IF(getRGB1($C1568)="FFFFFF",0,1)+IF(getRGB1($D1568)="FFFFFF",0,2)+IF(getRGB1($E1568)="FFFFFF",0,3)+IF(getRGB1($F1568)="FFFFFF",0,4)</f>
        <v>1</v>
      </c>
    </row>
    <row r="1569" spans="1:7" ht="30">
      <c r="A1569" t="s">
        <v>6675</v>
      </c>
      <c r="B1569" s="126" t="s">
        <v>5172</v>
      </c>
      <c r="C1569" s="318" t="s">
        <v>5147</v>
      </c>
      <c r="D1569" s="319" t="s">
        <v>5157</v>
      </c>
      <c r="E1569" s="318" t="s">
        <v>4999</v>
      </c>
      <c r="F1569" s="318" t="s">
        <v>5173</v>
      </c>
      <c r="G1569">
        <f>IF(getRGB1($C1569)="FFFFFF",0,1)+IF(getRGB1($D1569)="FFFFFF",0,2)+IF(getRGB1($E1569)="FFFFFF",0,3)+IF(getRGB1($F1569)="FFFFFF",0,4)</f>
        <v>2</v>
      </c>
    </row>
    <row r="1570" spans="1:7">
      <c r="A1570" t="s">
        <v>6675</v>
      </c>
      <c r="B1570" s="126" t="s">
        <v>5174</v>
      </c>
      <c r="C1570" s="319" t="s">
        <v>4621</v>
      </c>
      <c r="D1570" s="318" t="s">
        <v>5175</v>
      </c>
      <c r="E1570" s="318" t="s">
        <v>5176</v>
      </c>
      <c r="F1570" s="318" t="s">
        <v>5177</v>
      </c>
      <c r="G1570">
        <f>IF(getRGB1($C1570)="FFFFFF",0,1)+IF(getRGB1($D1570)="FFFFFF",0,2)+IF(getRGB1($E1570)="FFFFFF",0,3)+IF(getRGB1($F1570)="FFFFFF",0,4)</f>
        <v>1</v>
      </c>
    </row>
    <row r="1571" spans="1:7" ht="75.75">
      <c r="A1571" t="s">
        <v>6675</v>
      </c>
      <c r="B1571" s="310" t="s">
        <v>5178</v>
      </c>
      <c r="C1571" s="126" t="s">
        <v>5179</v>
      </c>
      <c r="D1571" s="126" t="s">
        <v>5180</v>
      </c>
      <c r="E1571" s="318" t="s">
        <v>5181</v>
      </c>
      <c r="F1571" s="318" t="s">
        <v>209</v>
      </c>
      <c r="G1571">
        <f>IF(getRGB1($C1571)="FFFFFF",0,1)+IF(getRGB1($D1571)="FFFFFF",0,2)+IF(getRGB1($E1571)="FFFFFF",0,3)+IF(getRGB1($F1571)="FFFFFF",0,4)</f>
        <v>0</v>
      </c>
    </row>
    <row r="1572" spans="1:7" ht="60.75">
      <c r="A1572" t="s">
        <v>6675</v>
      </c>
      <c r="B1572" s="310" t="s">
        <v>5182</v>
      </c>
      <c r="C1572" s="318" t="b">
        <v>0</v>
      </c>
      <c r="D1572" s="319" t="b">
        <v>1</v>
      </c>
      <c r="E1572" s="318"/>
      <c r="F1572" s="318"/>
      <c r="G1572">
        <f>IF(getRGB1($C1572)="FFFFFF",0,1)+IF(getRGB1($D1572)="FFFFFF",0,2)+IF(getRGB1($E1572)="FFFFFF",0,3)+IF(getRGB1($F1572)="FFFFFF",0,4)</f>
        <v>2</v>
      </c>
    </row>
    <row r="1573" spans="1:7" ht="90.75">
      <c r="A1573" t="s">
        <v>6675</v>
      </c>
      <c r="B1573" s="310" t="s">
        <v>5183</v>
      </c>
      <c r="C1573" s="126" t="s">
        <v>5184</v>
      </c>
      <c r="D1573" s="126" t="s">
        <v>5185</v>
      </c>
      <c r="E1573" s="126" t="s">
        <v>5186</v>
      </c>
      <c r="F1573" s="126" t="s">
        <v>5187</v>
      </c>
      <c r="G1573">
        <f>IF(getRGB1($C1573)="FFFFFF",0,1)+IF(getRGB1($D1573)="FFFFFF",0,2)+IF(getRGB1($E1573)="FFFFFF",0,3)+IF(getRGB1($F1573)="FFFFFF",0,4)</f>
        <v>0</v>
      </c>
    </row>
    <row r="1574" spans="1:7" ht="45.75">
      <c r="A1574" t="s">
        <v>6675</v>
      </c>
      <c r="B1574" s="310" t="s">
        <v>5188</v>
      </c>
      <c r="C1574" s="323" t="s">
        <v>212</v>
      </c>
      <c r="D1574" s="318" t="s">
        <v>5189</v>
      </c>
      <c r="E1574" s="318" t="s">
        <v>5190</v>
      </c>
      <c r="F1574" s="318" t="s">
        <v>5191</v>
      </c>
      <c r="G1574">
        <f>IF(getRGB1($C1574)="FFFFFF",0,1)+IF(getRGB1($D1574)="FFFFFF",0,2)+IF(getRGB1($E1574)="FFFFFF",0,3)+IF(getRGB1($F1574)="FFFFFF",0,4)</f>
        <v>1</v>
      </c>
    </row>
    <row r="1575" spans="1:7" ht="60.75">
      <c r="A1575" t="s">
        <v>6675</v>
      </c>
      <c r="B1575" s="310" t="s">
        <v>5192</v>
      </c>
      <c r="C1575" s="319" t="s">
        <v>4925</v>
      </c>
      <c r="D1575" s="318" t="s">
        <v>5064</v>
      </c>
      <c r="E1575" s="318"/>
      <c r="F1575" s="318"/>
      <c r="G1575">
        <f>IF(getRGB1($C1575)="FFFFFF",0,1)+IF(getRGB1($D1575)="FFFFFF",0,2)+IF(getRGB1($E1575)="FFFFFF",0,3)+IF(getRGB1($F1575)="FFFFFF",0,4)</f>
        <v>1</v>
      </c>
    </row>
    <row r="1576" spans="1:7" ht="45.75">
      <c r="A1576" t="s">
        <v>6675</v>
      </c>
      <c r="B1576" s="310" t="s">
        <v>5193</v>
      </c>
      <c r="C1576" s="319" t="s">
        <v>4925</v>
      </c>
      <c r="D1576" s="318" t="s">
        <v>5064</v>
      </c>
      <c r="E1576" s="318"/>
      <c r="F1576" s="318"/>
      <c r="G1576">
        <f>IF(getRGB1($C1576)="FFFFFF",0,1)+IF(getRGB1($D1576)="FFFFFF",0,2)+IF(getRGB1($E1576)="FFFFFF",0,3)+IF(getRGB1($F1576)="FFFFFF",0,4)</f>
        <v>1</v>
      </c>
    </row>
    <row r="1577" spans="1:7" ht="60.75">
      <c r="A1577" t="s">
        <v>6675</v>
      </c>
      <c r="B1577" s="310" t="s">
        <v>5194</v>
      </c>
      <c r="C1577" s="318">
        <v>5</v>
      </c>
      <c r="D1577" s="319">
        <v>8</v>
      </c>
      <c r="E1577" s="318">
        <v>12</v>
      </c>
      <c r="F1577" s="318">
        <v>10</v>
      </c>
      <c r="G1577">
        <f>IF(getRGB1($C1577)="FFFFFF",0,1)+IF(getRGB1($D1577)="FFFFFF",0,2)+IF(getRGB1($E1577)="FFFFFF",0,3)+IF(getRGB1($F1577)="FFFFFF",0,4)</f>
        <v>2</v>
      </c>
    </row>
    <row r="1578" spans="1:7" ht="45.75">
      <c r="A1578" t="s">
        <v>6675</v>
      </c>
      <c r="B1578" s="310" t="s">
        <v>5195</v>
      </c>
      <c r="C1578" s="319" t="s">
        <v>4925</v>
      </c>
      <c r="D1578" s="318" t="s">
        <v>5064</v>
      </c>
      <c r="E1578" s="318"/>
      <c r="F1578" s="318"/>
      <c r="G1578">
        <f>IF(getRGB1($C1578)="FFFFFF",0,1)+IF(getRGB1($D1578)="FFFFFF",0,2)+IF(getRGB1($E1578)="FFFFFF",0,3)+IF(getRGB1($F1578)="FFFFFF",0,4)</f>
        <v>1</v>
      </c>
    </row>
    <row r="1579" spans="1:7" ht="75.75">
      <c r="A1579" t="s">
        <v>6675</v>
      </c>
      <c r="B1579" s="310" t="s">
        <v>5196</v>
      </c>
      <c r="C1579" s="319" t="s">
        <v>4925</v>
      </c>
      <c r="D1579" s="318" t="s">
        <v>5064</v>
      </c>
      <c r="E1579" s="318"/>
      <c r="F1579" s="318"/>
      <c r="G1579">
        <f>IF(getRGB1($C1579)="FFFFFF",0,1)+IF(getRGB1($D1579)="FFFFFF",0,2)+IF(getRGB1($E1579)="FFFFFF",0,3)+IF(getRGB1($F1579)="FFFFFF",0,4)</f>
        <v>1</v>
      </c>
    </row>
    <row r="1580" spans="1:7" ht="45.75">
      <c r="A1580" t="s">
        <v>6675</v>
      </c>
      <c r="B1580" s="310" t="s">
        <v>5197</v>
      </c>
      <c r="C1580" s="318" t="b">
        <v>0</v>
      </c>
      <c r="D1580" s="319" t="b">
        <v>1</v>
      </c>
      <c r="E1580" s="318"/>
      <c r="F1580" s="318"/>
      <c r="G1580">
        <f>IF(getRGB1($C1580)="FFFFFF",0,1)+IF(getRGB1($D1580)="FFFFFF",0,2)+IF(getRGB1($E1580)="FFFFFF",0,3)+IF(getRGB1($F1580)="FFFFFF",0,4)</f>
        <v>2</v>
      </c>
    </row>
    <row r="1581" spans="1:7" ht="60.75">
      <c r="A1581" t="s">
        <v>6675</v>
      </c>
      <c r="B1581" s="310" t="s">
        <v>5198</v>
      </c>
      <c r="C1581" s="318" t="s">
        <v>5199</v>
      </c>
      <c r="D1581" s="318" t="s">
        <v>5200</v>
      </c>
      <c r="E1581" s="318" t="s">
        <v>5201</v>
      </c>
      <c r="F1581" s="318" t="s">
        <v>296</v>
      </c>
      <c r="G1581">
        <f>IF(getRGB1($C1581)="FFFFFF",0,1)+IF(getRGB1($D1581)="FFFFFF",0,2)+IF(getRGB1($E1581)="FFFFFF",0,3)+IF(getRGB1($F1581)="FFFFFF",0,4)</f>
        <v>0</v>
      </c>
    </row>
    <row r="1582" spans="1:7" ht="45.75">
      <c r="A1582" t="s">
        <v>6675</v>
      </c>
      <c r="B1582" s="310" t="s">
        <v>5202</v>
      </c>
      <c r="C1582" s="125" t="s">
        <v>5203</v>
      </c>
      <c r="D1582" s="126" t="s">
        <v>5204</v>
      </c>
      <c r="E1582" s="318" t="s">
        <v>5205</v>
      </c>
      <c r="F1582" s="318" t="s">
        <v>61</v>
      </c>
      <c r="G1582">
        <f>IF(getRGB1($C1582)="FFFFFF",0,1)+IF(getRGB1($D1582)="FFFFFF",0,2)+IF(getRGB1($E1582)="FFFFFF",0,3)+IF(getRGB1($F1582)="FFFFFF",0,4)</f>
        <v>1</v>
      </c>
    </row>
    <row r="1583" spans="1:7" ht="75.75">
      <c r="A1583" t="s">
        <v>6675</v>
      </c>
      <c r="B1583" s="310" t="s">
        <v>5206</v>
      </c>
      <c r="C1583" s="126" t="s">
        <v>5207</v>
      </c>
      <c r="D1583" s="126" t="s">
        <v>5208</v>
      </c>
      <c r="E1583" s="126" t="s">
        <v>5209</v>
      </c>
      <c r="F1583" s="126" t="s">
        <v>5210</v>
      </c>
      <c r="G1583">
        <f>IF(getRGB1($C1583)="FFFFFF",0,1)+IF(getRGB1($D1583)="FFFFFF",0,2)+IF(getRGB1($E1583)="FFFFFF",0,3)+IF(getRGB1($F1583)="FFFFFF",0,4)</f>
        <v>0</v>
      </c>
    </row>
    <row r="1584" spans="1:7" ht="60.75">
      <c r="A1584" t="s">
        <v>6675</v>
      </c>
      <c r="B1584" s="310" t="s">
        <v>5211</v>
      </c>
      <c r="C1584" s="324">
        <v>500200</v>
      </c>
      <c r="D1584" s="325">
        <v>1000500</v>
      </c>
      <c r="E1584" s="325" t="s">
        <v>912</v>
      </c>
      <c r="F1584" s="325">
        <v>750250</v>
      </c>
      <c r="G1584">
        <f>IF(getRGB1($C1584)="FFFFFF",0,1)+IF(getRGB1($D1584)="FFFFFF",0,2)+IF(getRGB1($E1584)="FFFFFF",0,3)+IF(getRGB1($F1584)="FFFFFF",0,4)</f>
        <v>1</v>
      </c>
    </row>
    <row r="1585" spans="1:7" ht="30">
      <c r="A1585" t="s">
        <v>6676</v>
      </c>
      <c r="B1585" s="326" t="s">
        <v>5212</v>
      </c>
      <c r="C1585" s="236">
        <v>2</v>
      </c>
      <c r="D1585" s="237" t="s">
        <v>4653</v>
      </c>
      <c r="E1585" s="236">
        <v>4</v>
      </c>
      <c r="F1585" s="236">
        <v>5</v>
      </c>
      <c r="G1585">
        <f>IF(getRGB1($C1585)="FFFFFF",0,1)+IF(getRGB1($D1585)="FFFFFF",0,2)+IF(getRGB1($E1585)="FFFFFF",0,3)+IF(getRGB1($F1585)="FFFFFF",0,4)</f>
        <v>2</v>
      </c>
    </row>
    <row r="1586" spans="1:7" ht="15.75">
      <c r="A1586" t="s">
        <v>6676</v>
      </c>
      <c r="B1586" s="326" t="s">
        <v>5213</v>
      </c>
      <c r="C1586" s="327" t="s">
        <v>5214</v>
      </c>
      <c r="D1586" s="327" t="s">
        <v>5215</v>
      </c>
      <c r="E1586" s="328" t="s">
        <v>5216</v>
      </c>
      <c r="F1586" s="327" t="s">
        <v>5217</v>
      </c>
      <c r="G1586">
        <f>IF(getRGB1($C1586)="FFFFFF",0,1)+IF(getRGB1($D1586)="FFFFFF",0,2)+IF(getRGB1($E1586)="FFFFFF",0,3)+IF(getRGB1($F1586)="FFFFFF",0,4)</f>
        <v>3</v>
      </c>
    </row>
    <row r="1587" spans="1:7" ht="30">
      <c r="A1587" t="s">
        <v>6676</v>
      </c>
      <c r="B1587" s="326" t="s">
        <v>5218</v>
      </c>
      <c r="C1587" s="329" t="s">
        <v>5219</v>
      </c>
      <c r="D1587" s="327" t="s">
        <v>5220</v>
      </c>
      <c r="E1587" s="327" t="s">
        <v>5221</v>
      </c>
      <c r="F1587" s="327" t="s">
        <v>5222</v>
      </c>
      <c r="G1587">
        <f>IF(getRGB1($C1587)="FFFFFF",0,1)+IF(getRGB1($D1587)="FFFFFF",0,2)+IF(getRGB1($E1587)="FFFFFF",0,3)+IF(getRGB1($F1587)="FFFFFF",0,4)</f>
        <v>1</v>
      </c>
    </row>
    <row r="1588" spans="1:7" ht="15.75">
      <c r="A1588" t="s">
        <v>6676</v>
      </c>
      <c r="B1588" s="326" t="s">
        <v>5223</v>
      </c>
      <c r="C1588" s="108" t="s">
        <v>5224</v>
      </c>
      <c r="D1588" s="329" t="s">
        <v>5225</v>
      </c>
      <c r="E1588" s="327" t="s">
        <v>5226</v>
      </c>
      <c r="F1588" s="327" t="s">
        <v>209</v>
      </c>
      <c r="G1588">
        <f>IF(getRGB1($C1588)="FFFFFF",0,1)+IF(getRGB1($D1588)="FFFFFF",0,2)+IF(getRGB1($E1588)="FFFFFF",0,3)+IF(getRGB1($F1588)="FFFFFF",0,4)</f>
        <v>2</v>
      </c>
    </row>
    <row r="1589" spans="1:7" ht="75">
      <c r="A1589" t="s">
        <v>6676</v>
      </c>
      <c r="B1589" s="326" t="s">
        <v>5227</v>
      </c>
      <c r="C1589" s="327" t="s">
        <v>5228</v>
      </c>
      <c r="D1589" s="327" t="s">
        <v>5214</v>
      </c>
      <c r="E1589" s="329" t="s">
        <v>2074</v>
      </c>
      <c r="F1589" s="327" t="s">
        <v>5229</v>
      </c>
      <c r="G1589">
        <f>IF(getRGB1($C1589)="FFFFFF",0,1)+IF(getRGB1($D1589)="FFFFFF",0,2)+IF(getRGB1($E1589)="FFFFFF",0,3)+IF(getRGB1($F1589)="FFFFFF",0,4)</f>
        <v>3</v>
      </c>
    </row>
    <row r="1590" spans="1:7" ht="30">
      <c r="A1590" t="s">
        <v>6676</v>
      </c>
      <c r="B1590" s="326" t="s">
        <v>5230</v>
      </c>
      <c r="C1590" s="330" t="s">
        <v>5231</v>
      </c>
      <c r="D1590" s="331" t="s">
        <v>5232</v>
      </c>
      <c r="E1590" s="331" t="s">
        <v>5233</v>
      </c>
      <c r="F1590" s="332" t="s">
        <v>5234</v>
      </c>
      <c r="G1590">
        <f>IF(getRGB1($C1590)="FFFFFF",0,1)+IF(getRGB1($D1590)="FFFFFF",0,2)+IF(getRGB1($E1590)="FFFFFF",0,3)+IF(getRGB1($F1590)="FFFFFF",0,4)</f>
        <v>4</v>
      </c>
    </row>
    <row r="1591" spans="1:7" ht="30">
      <c r="A1591" t="s">
        <v>6676</v>
      </c>
      <c r="B1591" s="326" t="s">
        <v>5235</v>
      </c>
      <c r="C1591" s="329" t="s">
        <v>4921</v>
      </c>
      <c r="D1591" s="326" t="s">
        <v>5236</v>
      </c>
      <c r="E1591" s="326" t="s">
        <v>5237</v>
      </c>
      <c r="F1591" s="326" t="s">
        <v>209</v>
      </c>
      <c r="G1591">
        <f>IF(getRGB1($C1591)="FFFFFF",0,1)+IF(getRGB1($D1591)="FFFFFF",0,2)+IF(getRGB1($E1591)="FFFFFF",0,3)+IF(getRGB1($F1591)="FFFFFF",0,4)</f>
        <v>1</v>
      </c>
    </row>
    <row r="1592" spans="1:7" ht="45">
      <c r="A1592" t="s">
        <v>6676</v>
      </c>
      <c r="B1592" s="326" t="s">
        <v>5238</v>
      </c>
      <c r="C1592" s="329" t="s">
        <v>173</v>
      </c>
      <c r="D1592" s="326" t="s">
        <v>174</v>
      </c>
      <c r="E1592" s="326" t="s">
        <v>5239</v>
      </c>
      <c r="F1592" s="326" t="s">
        <v>74</v>
      </c>
      <c r="G1592">
        <f>IF(getRGB1($C1592)="FFFFFF",0,1)+IF(getRGB1($D1592)="FFFFFF",0,2)+IF(getRGB1($E1592)="FFFFFF",0,3)+IF(getRGB1($F1592)="FFFFFF",0,4)</f>
        <v>1</v>
      </c>
    </row>
    <row r="1593" spans="1:7" ht="60">
      <c r="A1593" t="s">
        <v>6676</v>
      </c>
      <c r="B1593" s="331" t="s">
        <v>5240</v>
      </c>
      <c r="C1593" s="331" t="s">
        <v>5241</v>
      </c>
      <c r="D1593" s="331" t="s">
        <v>5242</v>
      </c>
      <c r="E1593" s="331" t="s">
        <v>5243</v>
      </c>
      <c r="F1593" s="332" t="s">
        <v>5234</v>
      </c>
      <c r="G1593">
        <f>IF(getRGB1($C1593)="FFFFFF",0,1)+IF(getRGB1($D1593)="FFFFFF",0,2)+IF(getRGB1($E1593)="FFFFFF",0,3)+IF(getRGB1($F1593)="FFFFFF",0,4)</f>
        <v>4</v>
      </c>
    </row>
    <row r="1594" spans="1:7" ht="30">
      <c r="A1594" t="s">
        <v>6676</v>
      </c>
      <c r="B1594" s="331" t="s">
        <v>5244</v>
      </c>
      <c r="C1594" s="331" t="s">
        <v>173</v>
      </c>
      <c r="D1594" s="332" t="s">
        <v>5245</v>
      </c>
      <c r="E1594" s="331" t="s">
        <v>174</v>
      </c>
      <c r="F1594" s="331" t="s">
        <v>5246</v>
      </c>
      <c r="G1594">
        <f>IF(getRGB1($C1594)="FFFFFF",0,1)+IF(getRGB1($D1594)="FFFFFF",0,2)+IF(getRGB1($E1594)="FFFFFF",0,3)+IF(getRGB1($F1594)="FFFFFF",0,4)</f>
        <v>2</v>
      </c>
    </row>
    <row r="1595" spans="1:7" ht="45">
      <c r="A1595" t="s">
        <v>6676</v>
      </c>
      <c r="B1595" s="331" t="s">
        <v>5247</v>
      </c>
      <c r="C1595" s="332" t="s">
        <v>5248</v>
      </c>
      <c r="D1595" s="331" t="s">
        <v>173</v>
      </c>
      <c r="E1595" s="333" t="s">
        <v>5245</v>
      </c>
      <c r="F1595" s="333" t="s">
        <v>557</v>
      </c>
      <c r="G1595">
        <f>IF(getRGB1($C1595)="FFFFFF",0,1)+IF(getRGB1($D1595)="FFFFFF",0,2)+IF(getRGB1($E1595)="FFFFFF",0,3)+IF(getRGB1($F1595)="FFFFFF",0,4)</f>
        <v>1</v>
      </c>
    </row>
    <row r="1596" spans="1:7" ht="45">
      <c r="A1596" t="s">
        <v>6676</v>
      </c>
      <c r="B1596" s="331" t="s">
        <v>5249</v>
      </c>
      <c r="C1596" s="331" t="s">
        <v>5250</v>
      </c>
      <c r="D1596" s="332" t="s">
        <v>5251</v>
      </c>
      <c r="E1596" s="334" t="s">
        <v>5252</v>
      </c>
      <c r="F1596" s="335" t="s">
        <v>5253</v>
      </c>
      <c r="G1596">
        <f>IF(getRGB1($C1596)="FFFFFF",0,1)+IF(getRGB1($D1596)="FFFFFF",0,2)+IF(getRGB1($E1596)="FFFFFF",0,3)+IF(getRGB1($F1596)="FFFFFF",0,4)</f>
        <v>2</v>
      </c>
    </row>
    <row r="1597" spans="1:7" ht="60">
      <c r="A1597" t="s">
        <v>6676</v>
      </c>
      <c r="B1597" s="331" t="s">
        <v>5254</v>
      </c>
      <c r="C1597" s="331" t="s">
        <v>5255</v>
      </c>
      <c r="D1597" s="331" t="s">
        <v>5256</v>
      </c>
      <c r="E1597" s="331" t="s">
        <v>5257</v>
      </c>
      <c r="F1597" s="332" t="s">
        <v>5234</v>
      </c>
      <c r="G1597">
        <f>IF(getRGB1($C1597)="FFFFFF",0,1)+IF(getRGB1($D1597)="FFFFFF",0,2)+IF(getRGB1($E1597)="FFFFFF",0,3)+IF(getRGB1($F1597)="FFFFFF",0,4)</f>
        <v>4</v>
      </c>
    </row>
    <row r="1598" spans="1:7" ht="30">
      <c r="A1598" t="s">
        <v>6676</v>
      </c>
      <c r="B1598" s="331" t="s">
        <v>5258</v>
      </c>
      <c r="C1598" s="331">
        <v>2000</v>
      </c>
      <c r="D1598" s="331">
        <v>1500</v>
      </c>
      <c r="E1598" s="332">
        <v>1000</v>
      </c>
      <c r="F1598" s="333">
        <v>750</v>
      </c>
      <c r="G1598">
        <f>IF(getRGB1($C1598)="FFFFFF",0,1)+IF(getRGB1($D1598)="FFFFFF",0,2)+IF(getRGB1($E1598)="FFFFFF",0,3)+IF(getRGB1($F1598)="FFFFFF",0,4)</f>
        <v>3</v>
      </c>
    </row>
    <row r="1599" spans="1:7" ht="30">
      <c r="A1599" t="s">
        <v>6676</v>
      </c>
      <c r="B1599" s="331" t="s">
        <v>5259</v>
      </c>
      <c r="C1599" s="331" t="s">
        <v>5260</v>
      </c>
      <c r="D1599" s="331" t="s">
        <v>5260</v>
      </c>
      <c r="E1599" s="332" t="s">
        <v>5261</v>
      </c>
      <c r="F1599" s="333" t="s">
        <v>5262</v>
      </c>
      <c r="G1599">
        <f>IF(getRGB1($C1599)="FFFFFF",0,1)+IF(getRGB1($D1599)="FFFFFF",0,2)+IF(getRGB1($E1599)="FFFFFF",0,3)+IF(getRGB1($F1599)="FFFFFF",0,4)</f>
        <v>3</v>
      </c>
    </row>
    <row r="1600" spans="1:7" ht="30">
      <c r="A1600" t="s">
        <v>6677</v>
      </c>
      <c r="B1600" s="336" t="s">
        <v>5263</v>
      </c>
      <c r="C1600" s="337" t="s">
        <v>5264</v>
      </c>
      <c r="D1600" s="337" t="s">
        <v>5265</v>
      </c>
      <c r="E1600" s="337" t="s">
        <v>5266</v>
      </c>
      <c r="F1600" s="338" t="s">
        <v>3313</v>
      </c>
      <c r="G1600">
        <f>IF(getRGB1($C1600)="FFFFFF",0,1)+IF(getRGB1($D1600)="FFFFFF",0,2)+IF(getRGB1($E1600)="FFFFFF",0,3)+IF(getRGB1($F1600)="FFFFFF",0,4)</f>
        <v>4</v>
      </c>
    </row>
    <row r="1601" spans="1:7" ht="45">
      <c r="A1601" t="s">
        <v>6677</v>
      </c>
      <c r="B1601" s="336" t="s">
        <v>5267</v>
      </c>
      <c r="C1601" s="337" t="s">
        <v>5268</v>
      </c>
      <c r="D1601" s="337" t="s">
        <v>5269</v>
      </c>
      <c r="E1601" s="337" t="s">
        <v>5270</v>
      </c>
      <c r="F1601" s="338" t="s">
        <v>5271</v>
      </c>
      <c r="G1601">
        <f>IF(getRGB1($C1601)="FFFFFF",0,1)+IF(getRGB1($D1601)="FFFFFF",0,2)+IF(getRGB1($E1601)="FFFFFF",0,3)+IF(getRGB1($F1601)="FFFFFF",0,4)</f>
        <v>4</v>
      </c>
    </row>
    <row r="1602" spans="1:7" ht="45">
      <c r="A1602" t="s">
        <v>6677</v>
      </c>
      <c r="B1602" s="336" t="s">
        <v>5272</v>
      </c>
      <c r="C1602" s="338" t="s">
        <v>5273</v>
      </c>
      <c r="D1602" s="337" t="s">
        <v>5274</v>
      </c>
      <c r="E1602" s="337" t="s">
        <v>5275</v>
      </c>
      <c r="F1602" s="337" t="s">
        <v>5276</v>
      </c>
      <c r="G1602">
        <f>IF(getRGB1($C1602)="FFFFFF",0,1)+IF(getRGB1($D1602)="FFFFFF",0,2)+IF(getRGB1($E1602)="FFFFFF",0,3)+IF(getRGB1($F1602)="FFFFFF",0,4)</f>
        <v>1</v>
      </c>
    </row>
    <row r="1603" spans="1:7" ht="45">
      <c r="A1603" t="s">
        <v>6677</v>
      </c>
      <c r="B1603" s="336" t="s">
        <v>5277</v>
      </c>
      <c r="C1603" s="338" t="s">
        <v>1073</v>
      </c>
      <c r="D1603" s="337" t="s">
        <v>252</v>
      </c>
      <c r="E1603" s="337" t="s">
        <v>1072</v>
      </c>
      <c r="F1603" s="337" t="s">
        <v>235</v>
      </c>
      <c r="G1603">
        <f>IF(getRGB1($C1603)="FFFFFF",0,1)+IF(getRGB1($D1603)="FFFFFF",0,2)+IF(getRGB1($E1603)="FFFFFF",0,3)+IF(getRGB1($F1603)="FFFFFF",0,4)</f>
        <v>1</v>
      </c>
    </row>
    <row r="1604" spans="1:7" ht="45">
      <c r="A1604" t="s">
        <v>6677</v>
      </c>
      <c r="B1604" s="336" t="s">
        <v>5278</v>
      </c>
      <c r="C1604" s="338" t="s">
        <v>1073</v>
      </c>
      <c r="D1604" s="337" t="s">
        <v>252</v>
      </c>
      <c r="E1604" s="337" t="s">
        <v>1072</v>
      </c>
      <c r="F1604" s="337" t="s">
        <v>235</v>
      </c>
      <c r="G1604">
        <f>IF(getRGB1($C1604)="FFFFFF",0,1)+IF(getRGB1($D1604)="FFFFFF",0,2)+IF(getRGB1($E1604)="FFFFFF",0,3)+IF(getRGB1($F1604)="FFFFFF",0,4)</f>
        <v>1</v>
      </c>
    </row>
    <row r="1605" spans="1:7" ht="30">
      <c r="A1605" t="s">
        <v>6677</v>
      </c>
      <c r="B1605" s="336" t="s">
        <v>5279</v>
      </c>
      <c r="C1605" s="337" t="s">
        <v>5280</v>
      </c>
      <c r="D1605" s="338" t="s">
        <v>5281</v>
      </c>
      <c r="E1605" s="337" t="s">
        <v>5282</v>
      </c>
      <c r="F1605" s="337" t="s">
        <v>5283</v>
      </c>
      <c r="G1605">
        <f>IF(getRGB1($C1605)="FFFFFF",0,1)+IF(getRGB1($D1605)="FFFFFF",0,2)+IF(getRGB1($E1605)="FFFFFF",0,3)+IF(getRGB1($F1605)="FFFFFF",0,4)</f>
        <v>2</v>
      </c>
    </row>
    <row r="1606" spans="1:7" ht="45">
      <c r="A1606" t="s">
        <v>6677</v>
      </c>
      <c r="B1606" s="336" t="s">
        <v>5284</v>
      </c>
      <c r="C1606" s="337" t="s">
        <v>5273</v>
      </c>
      <c r="D1606" s="338" t="s">
        <v>5285</v>
      </c>
      <c r="E1606" s="337" t="s">
        <v>5286</v>
      </c>
      <c r="F1606" s="337" t="s">
        <v>5287</v>
      </c>
      <c r="G1606">
        <f>IF(getRGB1($C1606)="FFFFFF",0,1)+IF(getRGB1($D1606)="FFFFFF",0,2)+IF(getRGB1($E1606)="FFFFFF",0,3)+IF(getRGB1($F1606)="FFFFFF",0,4)</f>
        <v>2</v>
      </c>
    </row>
    <row r="1607" spans="1:7" ht="45">
      <c r="A1607" t="s">
        <v>6677</v>
      </c>
      <c r="B1607" s="336" t="s">
        <v>5288</v>
      </c>
      <c r="C1607" s="337" t="s">
        <v>5273</v>
      </c>
      <c r="D1607" s="337" t="s">
        <v>5285</v>
      </c>
      <c r="E1607" s="338" t="s">
        <v>5286</v>
      </c>
      <c r="F1607" s="339" t="s">
        <v>5287</v>
      </c>
      <c r="G1607">
        <f>IF(getRGB1($C1607)="FFFFFF",0,1)+IF(getRGB1($D1607)="FFFFFF",0,2)+IF(getRGB1($E1607)="FFFFFF",0,3)+IF(getRGB1($F1607)="FFFFFF",0,4)</f>
        <v>3</v>
      </c>
    </row>
    <row r="1608" spans="1:7" ht="45">
      <c r="A1608" t="s">
        <v>6677</v>
      </c>
      <c r="B1608" s="336" t="s">
        <v>5289</v>
      </c>
      <c r="C1608" s="337" t="s">
        <v>5273</v>
      </c>
      <c r="D1608" s="337" t="s">
        <v>5285</v>
      </c>
      <c r="E1608" s="337" t="s">
        <v>5286</v>
      </c>
      <c r="F1608" s="338" t="s">
        <v>5287</v>
      </c>
      <c r="G1608">
        <f>IF(getRGB1($C1608)="FFFFFF",0,1)+IF(getRGB1($D1608)="FFFFFF",0,2)+IF(getRGB1($E1608)="FFFFFF",0,3)+IF(getRGB1($F1608)="FFFFFF",0,4)</f>
        <v>4</v>
      </c>
    </row>
    <row r="1609" spans="1:7" ht="45">
      <c r="A1609" t="s">
        <v>6677</v>
      </c>
      <c r="B1609" s="336" t="s">
        <v>5290</v>
      </c>
      <c r="C1609" s="337" t="s">
        <v>4716</v>
      </c>
      <c r="D1609" s="340" t="s">
        <v>5291</v>
      </c>
      <c r="E1609" s="337" t="s">
        <v>4798</v>
      </c>
      <c r="F1609" s="337" t="s">
        <v>209</v>
      </c>
      <c r="G1609">
        <f>IF(getRGB1($C1609)="FFFFFF",0,1)+IF(getRGB1($D1609)="FFFFFF",0,2)+IF(getRGB1($E1609)="FFFFFF",0,3)+IF(getRGB1($F1609)="FFFFFF",0,4)</f>
        <v>2</v>
      </c>
    </row>
    <row r="1610" spans="1:7" ht="45">
      <c r="A1610" t="s">
        <v>6677</v>
      </c>
      <c r="B1610" s="336" t="s">
        <v>5292</v>
      </c>
      <c r="C1610" s="337" t="s">
        <v>4716</v>
      </c>
      <c r="D1610" s="340" t="s">
        <v>5293</v>
      </c>
      <c r="E1610" s="337" t="s">
        <v>4798</v>
      </c>
      <c r="F1610" s="337" t="s">
        <v>209</v>
      </c>
      <c r="G1610">
        <f>IF(getRGB1($C1610)="FFFFFF",0,1)+IF(getRGB1($D1610)="FFFFFF",0,2)+IF(getRGB1($E1610)="FFFFFF",0,3)+IF(getRGB1($F1610)="FFFFFF",0,4)</f>
        <v>2</v>
      </c>
    </row>
    <row r="1611" spans="1:7" ht="30">
      <c r="A1611" t="s">
        <v>6677</v>
      </c>
      <c r="B1611" s="336" t="s">
        <v>5294</v>
      </c>
      <c r="C1611" s="337">
        <v>1910</v>
      </c>
      <c r="D1611" s="337">
        <v>1948</v>
      </c>
      <c r="E1611" s="340">
        <v>1965</v>
      </c>
      <c r="F1611" s="337">
        <v>2000</v>
      </c>
      <c r="G1611">
        <f>IF(getRGB1($C1611)="FFFFFF",0,1)+IF(getRGB1($D1611)="FFFFFF",0,2)+IF(getRGB1($E1611)="FFFFFF",0,3)+IF(getRGB1($F1611)="FFFFFF",0,4)</f>
        <v>3</v>
      </c>
    </row>
    <row r="1612" spans="1:7" ht="30">
      <c r="A1612" t="s">
        <v>6677</v>
      </c>
      <c r="B1612" s="336" t="s">
        <v>5295</v>
      </c>
      <c r="C1612" s="337" t="s">
        <v>74</v>
      </c>
      <c r="D1612" s="337" t="s">
        <v>73</v>
      </c>
      <c r="E1612" s="338" t="s">
        <v>76</v>
      </c>
      <c r="F1612" s="337" t="s">
        <v>174</v>
      </c>
      <c r="G1612">
        <f>IF(getRGB1($C1612)="FFFFFF",0,1)+IF(getRGB1($D1612)="FFFFFF",0,2)+IF(getRGB1($E1612)="FFFFFF",0,3)+IF(getRGB1($F1612)="FFFFFF",0,4)</f>
        <v>3</v>
      </c>
    </row>
    <row r="1613" spans="1:7">
      <c r="A1613" t="s">
        <v>6677</v>
      </c>
      <c r="B1613" s="341" t="s">
        <v>5296</v>
      </c>
      <c r="C1613" s="342" t="s">
        <v>1371</v>
      </c>
      <c r="D1613" s="342" t="s">
        <v>1370</v>
      </c>
      <c r="E1613" s="342" t="s">
        <v>5297</v>
      </c>
      <c r="F1613" s="343" t="s">
        <v>3313</v>
      </c>
      <c r="G1613">
        <f>IF(getRGB1($C1613)="FFFFFF",0,1)+IF(getRGB1($D1613)="FFFFFF",0,2)+IF(getRGB1($E1613)="FFFFFF",0,3)+IF(getRGB1($F1613)="FFFFFF",0,4)</f>
        <v>4</v>
      </c>
    </row>
    <row r="1614" spans="1:7">
      <c r="A1614" t="s">
        <v>6677</v>
      </c>
      <c r="B1614" s="341" t="s">
        <v>5298</v>
      </c>
      <c r="C1614" s="343" t="s">
        <v>5299</v>
      </c>
      <c r="D1614" s="342" t="s">
        <v>5300</v>
      </c>
      <c r="E1614" s="342" t="s">
        <v>5301</v>
      </c>
      <c r="F1614" s="342" t="s">
        <v>209</v>
      </c>
      <c r="G1614">
        <f>IF(getRGB1($C1614)="FFFFFF",0,1)+IF(getRGB1($D1614)="FFFFFF",0,2)+IF(getRGB1($E1614)="FFFFFF",0,3)+IF(getRGB1($F1614)="FFFFFF",0,4)</f>
        <v>1</v>
      </c>
    </row>
    <row r="1615" spans="1:7">
      <c r="A1615" t="s">
        <v>6677</v>
      </c>
      <c r="B1615" s="344" t="s">
        <v>5302</v>
      </c>
      <c r="C1615" s="345" t="s">
        <v>5303</v>
      </c>
      <c r="D1615" s="346" t="s">
        <v>5304</v>
      </c>
      <c r="E1615" s="345" t="s">
        <v>5305</v>
      </c>
      <c r="F1615" s="345" t="s">
        <v>209</v>
      </c>
      <c r="G1615">
        <f>IF(getRGB1($C1615)="FFFFFF",0,1)+IF(getRGB1($D1615)="FFFFFF",0,2)+IF(getRGB1($E1615)="FFFFFF",0,3)+IF(getRGB1($F1615)="FFFFFF",0,4)</f>
        <v>2</v>
      </c>
    </row>
    <row r="1616" spans="1:7" ht="45">
      <c r="A1616" t="s">
        <v>6677</v>
      </c>
      <c r="B1616" s="344" t="s">
        <v>5277</v>
      </c>
      <c r="C1616" s="346" t="s">
        <v>1073</v>
      </c>
      <c r="D1616" s="345" t="s">
        <v>252</v>
      </c>
      <c r="E1616" s="345" t="s">
        <v>1072</v>
      </c>
      <c r="F1616" s="345" t="s">
        <v>235</v>
      </c>
      <c r="G1616">
        <f>IF(getRGB1($C1616)="FFFFFF",0,1)+IF(getRGB1($D1616)="FFFFFF",0,2)+IF(getRGB1($E1616)="FFFFFF",0,3)+IF(getRGB1($F1616)="FFFFFF",0,4)</f>
        <v>1</v>
      </c>
    </row>
    <row r="1617" spans="1:7" ht="45">
      <c r="A1617" t="s">
        <v>6677</v>
      </c>
      <c r="B1617" s="344" t="s">
        <v>5278</v>
      </c>
      <c r="C1617" s="346" t="s">
        <v>1073</v>
      </c>
      <c r="D1617" s="345" t="s">
        <v>252</v>
      </c>
      <c r="E1617" s="345" t="s">
        <v>1072</v>
      </c>
      <c r="F1617" s="345" t="s">
        <v>235</v>
      </c>
      <c r="G1617">
        <f>IF(getRGB1($C1617)="FFFFFF",0,1)+IF(getRGB1($D1617)="FFFFFF",0,2)+IF(getRGB1($E1617)="FFFFFF",0,3)+IF(getRGB1($F1617)="FFFFFF",0,4)</f>
        <v>1</v>
      </c>
    </row>
    <row r="1618" spans="1:7" ht="30">
      <c r="A1618" t="s">
        <v>6677</v>
      </c>
      <c r="B1618" s="344" t="s">
        <v>5306</v>
      </c>
      <c r="C1618" s="345" t="s">
        <v>5307</v>
      </c>
      <c r="D1618" s="345" t="s">
        <v>74</v>
      </c>
      <c r="E1618" s="345" t="s">
        <v>73</v>
      </c>
      <c r="F1618" s="346" t="s">
        <v>174</v>
      </c>
      <c r="G1618">
        <f>IF(getRGB1($C1618)="FFFFFF",0,1)+IF(getRGB1($D1618)="FFFFFF",0,2)+IF(getRGB1($E1618)="FFFFFF",0,3)+IF(getRGB1($F1618)="FFFFFF",0,4)</f>
        <v>4</v>
      </c>
    </row>
    <row r="1619" spans="1:7" ht="30">
      <c r="A1619" t="s">
        <v>6677</v>
      </c>
      <c r="B1619" s="344" t="s">
        <v>5308</v>
      </c>
      <c r="C1619" s="345" t="s">
        <v>5309</v>
      </c>
      <c r="D1619" s="345" t="s">
        <v>74</v>
      </c>
      <c r="E1619" s="345" t="s">
        <v>177</v>
      </c>
      <c r="F1619" s="346" t="s">
        <v>173</v>
      </c>
      <c r="G1619">
        <f>IF(getRGB1($C1619)="FFFFFF",0,1)+IF(getRGB1($D1619)="FFFFFF",0,2)+IF(getRGB1($E1619)="FFFFFF",0,3)+IF(getRGB1($F1619)="FFFFFF",0,4)</f>
        <v>4</v>
      </c>
    </row>
    <row r="1620" spans="1:7">
      <c r="A1620" t="s">
        <v>6677</v>
      </c>
      <c r="B1620" s="344" t="s">
        <v>5310</v>
      </c>
      <c r="C1620" s="345">
        <v>1</v>
      </c>
      <c r="D1620" s="345">
        <v>2</v>
      </c>
      <c r="E1620" s="345">
        <v>3</v>
      </c>
      <c r="F1620" s="346">
        <v>4</v>
      </c>
      <c r="G1620">
        <f>IF(getRGB1($C1620)="FFFFFF",0,1)+IF(getRGB1($D1620)="FFFFFF",0,2)+IF(getRGB1($E1620)="FFFFFF",0,3)+IF(getRGB1($F1620)="FFFFFF",0,4)</f>
        <v>4</v>
      </c>
    </row>
    <row r="1621" spans="1:7" ht="30">
      <c r="A1621" t="s">
        <v>6677</v>
      </c>
      <c r="B1621" s="344" t="s">
        <v>5311</v>
      </c>
      <c r="C1621" s="345" t="s">
        <v>5312</v>
      </c>
      <c r="D1621" s="345" t="s">
        <v>5313</v>
      </c>
      <c r="E1621" s="345" t="s">
        <v>5314</v>
      </c>
      <c r="F1621" s="346" t="s">
        <v>3313</v>
      </c>
      <c r="G1621">
        <f>IF(getRGB1($C1621)="FFFFFF",0,1)+IF(getRGB1($D1621)="FFFFFF",0,2)+IF(getRGB1($E1621)="FFFFFF",0,3)+IF(getRGB1($F1621)="FFFFFF",0,4)</f>
        <v>4</v>
      </c>
    </row>
    <row r="1622" spans="1:7" ht="30">
      <c r="A1622" t="s">
        <v>6677</v>
      </c>
      <c r="B1622" s="344" t="s">
        <v>5315</v>
      </c>
      <c r="C1622" s="345">
        <v>1</v>
      </c>
      <c r="D1622" s="345">
        <v>2</v>
      </c>
      <c r="E1622" s="346" t="s">
        <v>1073</v>
      </c>
      <c r="F1622" s="345" t="s">
        <v>252</v>
      </c>
      <c r="G1622">
        <f>IF(getRGB1($C1622)="FFFFFF",0,1)+IF(getRGB1($D1622)="FFFFFF",0,2)+IF(getRGB1($E1622)="FFFFFF",0,3)+IF(getRGB1($F1622)="FFFFFF",0,4)</f>
        <v>3</v>
      </c>
    </row>
    <row r="1623" spans="1:7" ht="30">
      <c r="A1623" t="s">
        <v>6677</v>
      </c>
      <c r="B1623" s="344" t="s">
        <v>5316</v>
      </c>
      <c r="C1623" s="345">
        <v>2</v>
      </c>
      <c r="D1623" s="345">
        <v>3</v>
      </c>
      <c r="E1623" s="345">
        <v>4</v>
      </c>
      <c r="F1623" s="346">
        <v>5</v>
      </c>
      <c r="G1623">
        <f>IF(getRGB1($C1623)="FFFFFF",0,1)+IF(getRGB1($D1623)="FFFFFF",0,2)+IF(getRGB1($E1623)="FFFFFF",0,3)+IF(getRGB1($F1623)="FFFFFF",0,4)</f>
        <v>4</v>
      </c>
    </row>
    <row r="1624" spans="1:7" ht="45">
      <c r="A1624" t="s">
        <v>6677</v>
      </c>
      <c r="B1624" s="344" t="s">
        <v>5317</v>
      </c>
      <c r="C1624" s="345" t="s">
        <v>5318</v>
      </c>
      <c r="D1624" s="346" t="s">
        <v>5319</v>
      </c>
      <c r="E1624" s="345" t="s">
        <v>5320</v>
      </c>
      <c r="F1624" s="347" t="s">
        <v>5321</v>
      </c>
      <c r="G1624">
        <f>IF(getRGB1($C1624)="FFFFFF",0,1)+IF(getRGB1($D1624)="FFFFFF",0,2)+IF(getRGB1($E1624)="FFFFFF",0,3)+IF(getRGB1($F1624)="FFFFFF",0,4)</f>
        <v>2</v>
      </c>
    </row>
    <row r="1625" spans="1:7" ht="30">
      <c r="A1625" t="s">
        <v>6677</v>
      </c>
      <c r="B1625" s="348" t="s">
        <v>5322</v>
      </c>
      <c r="C1625" s="349">
        <v>1</v>
      </c>
      <c r="D1625" s="350">
        <v>5</v>
      </c>
      <c r="E1625" s="350">
        <v>10</v>
      </c>
      <c r="F1625" s="350">
        <v>15</v>
      </c>
      <c r="G1625">
        <f>IF(getRGB1($C1625)="FFFFFF",0,1)+IF(getRGB1($D1625)="FFFFFF",0,2)+IF(getRGB1($E1625)="FFFFFF",0,3)+IF(getRGB1($F1625)="FFFFFF",0,4)</f>
        <v>1</v>
      </c>
    </row>
    <row r="1626" spans="1:7">
      <c r="A1626" t="s">
        <v>6677</v>
      </c>
      <c r="B1626" s="348" t="s">
        <v>5323</v>
      </c>
      <c r="C1626" s="349">
        <v>1</v>
      </c>
      <c r="D1626" s="350">
        <v>5</v>
      </c>
      <c r="E1626" s="350">
        <v>10</v>
      </c>
      <c r="F1626" s="350">
        <v>15</v>
      </c>
      <c r="G1626">
        <f>IF(getRGB1($C1626)="FFFFFF",0,1)+IF(getRGB1($D1626)="FFFFFF",0,2)+IF(getRGB1($E1626)="FFFFFF",0,3)+IF(getRGB1($F1626)="FFFFFF",0,4)</f>
        <v>1</v>
      </c>
    </row>
    <row r="1627" spans="1:7">
      <c r="A1627" t="s">
        <v>6677</v>
      </c>
      <c r="B1627" s="348" t="s">
        <v>5324</v>
      </c>
      <c r="C1627" s="351" t="s">
        <v>174</v>
      </c>
      <c r="D1627" s="350" t="s">
        <v>74</v>
      </c>
      <c r="E1627" s="350" t="s">
        <v>76</v>
      </c>
      <c r="F1627" s="349" t="s">
        <v>5325</v>
      </c>
      <c r="G1627">
        <f>IF(getRGB1($C1627)="FFFFFF",0,1)+IF(getRGB1($D1627)="FFFFFF",0,2)+IF(getRGB1($E1627)="FFFFFF",0,3)+IF(getRGB1($F1627)="FFFFFF",0,4)</f>
        <v>4</v>
      </c>
    </row>
    <row r="1628" spans="1:7" ht="30">
      <c r="A1628" t="s">
        <v>6677</v>
      </c>
      <c r="B1628" s="344" t="s">
        <v>5326</v>
      </c>
      <c r="C1628" s="345" t="s">
        <v>2070</v>
      </c>
      <c r="D1628" s="345" t="s">
        <v>270</v>
      </c>
      <c r="E1628" s="345" t="s">
        <v>76</v>
      </c>
      <c r="F1628" s="346" t="s">
        <v>5327</v>
      </c>
      <c r="G1628">
        <f>IF(getRGB1($C1628)="FFFFFF",0,1)+IF(getRGB1($D1628)="FFFFFF",0,2)+IF(getRGB1($E1628)="FFFFFF",0,3)+IF(getRGB1($F1628)="FFFFFF",0,4)</f>
        <v>4</v>
      </c>
    </row>
    <row r="1629" spans="1:7" ht="30">
      <c r="A1629" t="s">
        <v>6677</v>
      </c>
      <c r="B1629" s="344" t="s">
        <v>5328</v>
      </c>
      <c r="C1629" s="345" t="s">
        <v>2070</v>
      </c>
      <c r="D1629" s="345" t="s">
        <v>270</v>
      </c>
      <c r="E1629" s="346" t="s">
        <v>76</v>
      </c>
      <c r="F1629" s="345" t="s">
        <v>74</v>
      </c>
      <c r="G1629">
        <f>IF(getRGB1($C1629)="FFFFFF",0,1)+IF(getRGB1($D1629)="FFFFFF",0,2)+IF(getRGB1($E1629)="FFFFFF",0,3)+IF(getRGB1($F1629)="FFFFFF",0,4)</f>
        <v>3</v>
      </c>
    </row>
    <row r="1630" spans="1:7" ht="30">
      <c r="A1630" t="s">
        <v>6677</v>
      </c>
      <c r="B1630" s="348" t="s">
        <v>5329</v>
      </c>
      <c r="C1630" s="350" t="s">
        <v>5280</v>
      </c>
      <c r="D1630" s="350" t="s">
        <v>5330</v>
      </c>
      <c r="E1630" s="350" t="s">
        <v>5282</v>
      </c>
      <c r="F1630" s="349" t="s">
        <v>5283</v>
      </c>
      <c r="G1630">
        <f>IF(getRGB1($C1630)="FFFFFF",0,1)+IF(getRGB1($D1630)="FFFFFF",0,2)+IF(getRGB1($E1630)="FFFFFF",0,3)+IF(getRGB1($F1630)="FFFFFF",0,4)</f>
        <v>4</v>
      </c>
    </row>
    <row r="1631" spans="1:7">
      <c r="A1631" t="s">
        <v>6677</v>
      </c>
      <c r="B1631" s="344" t="s">
        <v>5331</v>
      </c>
      <c r="C1631" s="345" t="s">
        <v>5332</v>
      </c>
      <c r="D1631" s="346" t="s">
        <v>5333</v>
      </c>
      <c r="E1631" s="345" t="s">
        <v>5334</v>
      </c>
      <c r="F1631" s="345" t="s">
        <v>209</v>
      </c>
      <c r="G1631">
        <f>IF(getRGB1($C1631)="FFFFFF",0,1)+IF(getRGB1($D1631)="FFFFFF",0,2)+IF(getRGB1($E1631)="FFFFFF",0,3)+IF(getRGB1($F1631)="FFFFFF",0,4)</f>
        <v>2</v>
      </c>
    </row>
    <row r="1632" spans="1:7">
      <c r="A1632" t="s">
        <v>6677</v>
      </c>
      <c r="B1632" s="352" t="s">
        <v>5335</v>
      </c>
      <c r="C1632" s="347" t="s">
        <v>2222</v>
      </c>
      <c r="D1632" s="345" t="s">
        <v>2204</v>
      </c>
      <c r="E1632" s="345" t="s">
        <v>5336</v>
      </c>
      <c r="F1632" s="346" t="s">
        <v>5337</v>
      </c>
      <c r="G1632">
        <f>IF(getRGB1($C1632)="FFFFFF",0,1)+IF(getRGB1($D1632)="FFFFFF",0,2)+IF(getRGB1($E1632)="FFFFFF",0,3)+IF(getRGB1($F1632)="FFFFFF",0,4)</f>
        <v>4</v>
      </c>
    </row>
    <row r="1633" spans="1:7" ht="30">
      <c r="A1633" t="s">
        <v>6677</v>
      </c>
      <c r="B1633" s="344" t="s">
        <v>5338</v>
      </c>
      <c r="C1633" s="345" t="s">
        <v>1370</v>
      </c>
      <c r="D1633" s="345" t="s">
        <v>5339</v>
      </c>
      <c r="E1633" s="346" t="s">
        <v>4648</v>
      </c>
      <c r="F1633" s="345" t="s">
        <v>209</v>
      </c>
      <c r="G1633">
        <f>IF(getRGB1($C1633)="FFFFFF",0,1)+IF(getRGB1($D1633)="FFFFFF",0,2)+IF(getRGB1($E1633)="FFFFFF",0,3)+IF(getRGB1($F1633)="FFFFFF",0,4)</f>
        <v>3</v>
      </c>
    </row>
    <row r="1634" spans="1:7" ht="30">
      <c r="A1634" t="s">
        <v>6677</v>
      </c>
      <c r="B1634" s="344" t="s">
        <v>5340</v>
      </c>
      <c r="C1634" s="345" t="s">
        <v>1370</v>
      </c>
      <c r="D1634" s="345" t="s">
        <v>5339</v>
      </c>
      <c r="E1634" s="345" t="s">
        <v>5341</v>
      </c>
      <c r="F1634" s="346" t="s">
        <v>3313</v>
      </c>
      <c r="G1634">
        <f>IF(getRGB1($C1634)="FFFFFF",0,1)+IF(getRGB1($D1634)="FFFFFF",0,2)+IF(getRGB1($E1634)="FFFFFF",0,3)+IF(getRGB1($F1634)="FFFFFF",0,4)</f>
        <v>4</v>
      </c>
    </row>
    <row r="1635" spans="1:7" ht="30">
      <c r="A1635" t="s">
        <v>6677</v>
      </c>
      <c r="B1635" s="344" t="s">
        <v>5279</v>
      </c>
      <c r="C1635" s="345" t="s">
        <v>5280</v>
      </c>
      <c r="D1635" s="346" t="s">
        <v>5281</v>
      </c>
      <c r="E1635" s="345" t="s">
        <v>5282</v>
      </c>
      <c r="F1635" s="345" t="s">
        <v>5283</v>
      </c>
      <c r="G1635">
        <f>IF(getRGB1($C1635)="FFFFFF",0,1)+IF(getRGB1($D1635)="FFFFFF",0,2)+IF(getRGB1($E1635)="FFFFFF",0,3)+IF(getRGB1($F1635)="FFFFFF",0,4)</f>
        <v>2</v>
      </c>
    </row>
    <row r="1636" spans="1:7" ht="30">
      <c r="A1636" t="s">
        <v>6677</v>
      </c>
      <c r="B1636" s="344" t="s">
        <v>5342</v>
      </c>
      <c r="C1636" s="345" t="s">
        <v>188</v>
      </c>
      <c r="D1636" s="345" t="s">
        <v>5343</v>
      </c>
      <c r="E1636" s="346" t="s">
        <v>5344</v>
      </c>
      <c r="F1636" s="345" t="s">
        <v>209</v>
      </c>
      <c r="G1636">
        <f>IF(getRGB1($C1636)="FFFFFF",0,1)+IF(getRGB1($D1636)="FFFFFF",0,2)+IF(getRGB1($E1636)="FFFFFF",0,3)+IF(getRGB1($F1636)="FFFFFF",0,4)</f>
        <v>3</v>
      </c>
    </row>
    <row r="1637" spans="1:7" ht="45">
      <c r="A1637" t="s">
        <v>6677</v>
      </c>
      <c r="B1637" s="344" t="s">
        <v>5345</v>
      </c>
      <c r="C1637" s="345" t="s">
        <v>1073</v>
      </c>
      <c r="D1637" s="345" t="s">
        <v>1072</v>
      </c>
      <c r="E1637" s="345" t="s">
        <v>5346</v>
      </c>
      <c r="F1637" s="346" t="s">
        <v>3313</v>
      </c>
      <c r="G1637">
        <f>IF(getRGB1($C1637)="FFFFFF",0,1)+IF(getRGB1($D1637)="FFFFFF",0,2)+IF(getRGB1($E1637)="FFFFFF",0,3)+IF(getRGB1($F1637)="FFFFFF",0,4)</f>
        <v>4</v>
      </c>
    </row>
    <row r="1638" spans="1:7" ht="45">
      <c r="A1638" t="s">
        <v>6677</v>
      </c>
      <c r="B1638" s="344" t="s">
        <v>5347</v>
      </c>
      <c r="C1638" s="345" t="s">
        <v>1073</v>
      </c>
      <c r="D1638" s="345" t="s">
        <v>1072</v>
      </c>
      <c r="E1638" s="345" t="s">
        <v>5346</v>
      </c>
      <c r="F1638" s="346" t="s">
        <v>3313</v>
      </c>
      <c r="G1638">
        <f>IF(getRGB1($C1638)="FFFFFF",0,1)+IF(getRGB1($D1638)="FFFFFF",0,2)+IF(getRGB1($E1638)="FFFFFF",0,3)+IF(getRGB1($F1638)="FFFFFF",0,4)</f>
        <v>4</v>
      </c>
    </row>
    <row r="1639" spans="1:7" ht="45">
      <c r="A1639" t="s">
        <v>6677</v>
      </c>
      <c r="B1639" s="344" t="s">
        <v>5348</v>
      </c>
      <c r="C1639" s="345" t="s">
        <v>1073</v>
      </c>
      <c r="D1639" s="345" t="s">
        <v>1072</v>
      </c>
      <c r="E1639" s="345" t="s">
        <v>5346</v>
      </c>
      <c r="F1639" s="346" t="s">
        <v>3313</v>
      </c>
      <c r="G1639">
        <f>IF(getRGB1($C1639)="FFFFFF",0,1)+IF(getRGB1($D1639)="FFFFFF",0,2)+IF(getRGB1($E1639)="FFFFFF",0,3)+IF(getRGB1($F1639)="FFFFFF",0,4)</f>
        <v>4</v>
      </c>
    </row>
    <row r="1640" spans="1:7" ht="30">
      <c r="A1640" t="s">
        <v>6677</v>
      </c>
      <c r="B1640" s="344" t="s">
        <v>5349</v>
      </c>
      <c r="C1640" s="345" t="s">
        <v>5350</v>
      </c>
      <c r="D1640" s="345" t="s">
        <v>5351</v>
      </c>
      <c r="E1640" s="345" t="s">
        <v>5352</v>
      </c>
      <c r="F1640" s="346" t="s">
        <v>3313</v>
      </c>
      <c r="G1640">
        <f>IF(getRGB1($C1640)="FFFFFF",0,1)+IF(getRGB1($D1640)="FFFFFF",0,2)+IF(getRGB1($E1640)="FFFFFF",0,3)+IF(getRGB1($F1640)="FFFFFF",0,4)</f>
        <v>4</v>
      </c>
    </row>
    <row r="1641" spans="1:7">
      <c r="A1641" t="s">
        <v>6677</v>
      </c>
      <c r="B1641" s="344" t="s">
        <v>4927</v>
      </c>
      <c r="C1641" s="345" t="s">
        <v>4889</v>
      </c>
      <c r="D1641" s="346" t="s">
        <v>4928</v>
      </c>
      <c r="E1641" s="345" t="s">
        <v>1203</v>
      </c>
      <c r="F1641" s="345" t="s">
        <v>3231</v>
      </c>
      <c r="G1641">
        <f>IF(getRGB1($C1641)="FFFFFF",0,1)+IF(getRGB1($D1641)="FFFFFF",0,2)+IF(getRGB1($E1641)="FFFFFF",0,3)+IF(getRGB1($F1641)="FFFFFF",0,4)</f>
        <v>2</v>
      </c>
    </row>
    <row r="1642" spans="1:7" ht="30">
      <c r="A1642" t="s">
        <v>6677</v>
      </c>
      <c r="B1642" s="344" t="s">
        <v>4914</v>
      </c>
      <c r="C1642" s="345" t="s">
        <v>4915</v>
      </c>
      <c r="D1642" s="345" t="s">
        <v>4916</v>
      </c>
      <c r="E1642" s="345" t="s">
        <v>4917</v>
      </c>
      <c r="F1642" s="346" t="s">
        <v>5353</v>
      </c>
      <c r="G1642">
        <f>IF(getRGB1($C1642)="FFFFFF",0,1)+IF(getRGB1($D1642)="FFFFFF",0,2)+IF(getRGB1($E1642)="FFFFFF",0,3)+IF(getRGB1($F1642)="FFFFFF",0,4)</f>
        <v>4</v>
      </c>
    </row>
    <row r="1643" spans="1:7" ht="30">
      <c r="A1643" t="s">
        <v>6677</v>
      </c>
      <c r="B1643" s="344" t="s">
        <v>5354</v>
      </c>
      <c r="C1643" s="345" t="s">
        <v>4915</v>
      </c>
      <c r="D1643" s="345" t="s">
        <v>4916</v>
      </c>
      <c r="E1643" s="345" t="s">
        <v>4917</v>
      </c>
      <c r="F1643" s="346" t="s">
        <v>5355</v>
      </c>
      <c r="G1643">
        <f>IF(getRGB1($C1643)="FFFFFF",0,1)+IF(getRGB1($D1643)="FFFFFF",0,2)+IF(getRGB1($E1643)="FFFFFF",0,3)+IF(getRGB1($F1643)="FFFFFF",0,4)</f>
        <v>4</v>
      </c>
    </row>
    <row r="1644" spans="1:7" ht="30">
      <c r="A1644" t="s">
        <v>6677</v>
      </c>
      <c r="B1644" s="344" t="s">
        <v>5356</v>
      </c>
      <c r="C1644" s="346" t="s">
        <v>5357</v>
      </c>
      <c r="D1644" s="345" t="s">
        <v>5358</v>
      </c>
      <c r="E1644" s="345" t="s">
        <v>184</v>
      </c>
      <c r="F1644" s="345" t="s">
        <v>4933</v>
      </c>
      <c r="G1644">
        <f>IF(getRGB1($C1644)="FFFFFF",0,1)+IF(getRGB1($D1644)="FFFFFF",0,2)+IF(getRGB1($E1644)="FFFFFF",0,3)+IF(getRGB1($F1644)="FFFFFF",0,4)</f>
        <v>1</v>
      </c>
    </row>
    <row r="1645" spans="1:7" ht="30">
      <c r="A1645" t="s">
        <v>6677</v>
      </c>
      <c r="B1645" s="344" t="s">
        <v>5359</v>
      </c>
      <c r="C1645" s="346" t="s">
        <v>5357</v>
      </c>
      <c r="D1645" s="345" t="s">
        <v>5358</v>
      </c>
      <c r="E1645" s="345" t="s">
        <v>184</v>
      </c>
      <c r="F1645" s="345" t="s">
        <v>4933</v>
      </c>
      <c r="G1645">
        <f>IF(getRGB1($C1645)="FFFFFF",0,1)+IF(getRGB1($D1645)="FFFFFF",0,2)+IF(getRGB1($E1645)="FFFFFF",0,3)+IF(getRGB1($F1645)="FFFFFF",0,4)</f>
        <v>1</v>
      </c>
    </row>
    <row r="1646" spans="1:7" ht="30">
      <c r="A1646" t="s">
        <v>6677</v>
      </c>
      <c r="B1646" s="344" t="s">
        <v>5360</v>
      </c>
      <c r="C1646" s="346" t="s">
        <v>5361</v>
      </c>
      <c r="D1646" s="345" t="s">
        <v>5358</v>
      </c>
      <c r="E1646" s="345" t="s">
        <v>184</v>
      </c>
      <c r="F1646" s="345" t="s">
        <v>4933</v>
      </c>
      <c r="G1646">
        <f>IF(getRGB1($C1646)="FFFFFF",0,1)+IF(getRGB1($D1646)="FFFFFF",0,2)+IF(getRGB1($E1646)="FFFFFF",0,3)+IF(getRGB1($F1646)="FFFFFF",0,4)</f>
        <v>1</v>
      </c>
    </row>
    <row r="1647" spans="1:7" ht="45">
      <c r="A1647" t="s">
        <v>6677</v>
      </c>
      <c r="B1647" s="344" t="s">
        <v>5290</v>
      </c>
      <c r="C1647" s="345" t="s">
        <v>4716</v>
      </c>
      <c r="D1647" s="346" t="s">
        <v>5291</v>
      </c>
      <c r="E1647" s="345" t="s">
        <v>4798</v>
      </c>
      <c r="F1647" s="345" t="s">
        <v>209</v>
      </c>
      <c r="G1647">
        <f>IF(getRGB1($C1647)="FFFFFF",0,1)+IF(getRGB1($D1647)="FFFFFF",0,2)+IF(getRGB1($E1647)="FFFFFF",0,3)+IF(getRGB1($F1647)="FFFFFF",0,4)</f>
        <v>2</v>
      </c>
    </row>
    <row r="1648" spans="1:7" ht="45">
      <c r="A1648" t="s">
        <v>6677</v>
      </c>
      <c r="B1648" s="344" t="s">
        <v>5292</v>
      </c>
      <c r="C1648" s="345" t="s">
        <v>4716</v>
      </c>
      <c r="D1648" s="346" t="s">
        <v>5293</v>
      </c>
      <c r="E1648" s="345" t="s">
        <v>4798</v>
      </c>
      <c r="F1648" s="345" t="s">
        <v>209</v>
      </c>
      <c r="G1648">
        <f>IF(getRGB1($C1648)="FFFFFF",0,1)+IF(getRGB1($D1648)="FFFFFF",0,2)+IF(getRGB1($E1648)="FFFFFF",0,3)+IF(getRGB1($F1648)="FFFFFF",0,4)</f>
        <v>2</v>
      </c>
    </row>
    <row r="1649" spans="1:7" ht="30">
      <c r="A1649" t="s">
        <v>6677</v>
      </c>
      <c r="B1649" s="344" t="s">
        <v>5294</v>
      </c>
      <c r="C1649" s="345">
        <v>1910</v>
      </c>
      <c r="D1649" s="345">
        <v>1948</v>
      </c>
      <c r="E1649" s="346">
        <v>1965</v>
      </c>
      <c r="F1649" s="345">
        <v>2000</v>
      </c>
      <c r="G1649">
        <f>IF(getRGB1($C1649)="FFFFFF",0,1)+IF(getRGB1($D1649)="FFFFFF",0,2)+IF(getRGB1($E1649)="FFFFFF",0,3)+IF(getRGB1($F1649)="FFFFFF",0,4)</f>
        <v>3</v>
      </c>
    </row>
    <row r="1650" spans="1:7" ht="30">
      <c r="A1650" t="s">
        <v>6677</v>
      </c>
      <c r="B1650" s="344" t="s">
        <v>5295</v>
      </c>
      <c r="C1650" s="345" t="s">
        <v>74</v>
      </c>
      <c r="D1650" s="345" t="s">
        <v>73</v>
      </c>
      <c r="E1650" s="346" t="s">
        <v>76</v>
      </c>
      <c r="F1650" s="345" t="s">
        <v>174</v>
      </c>
      <c r="G1650">
        <f>IF(getRGB1($C1650)="FFFFFF",0,1)+IF(getRGB1($D1650)="FFFFFF",0,2)+IF(getRGB1($E1650)="FFFFFF",0,3)+IF(getRGB1($F1650)="FFFFFF",0,4)</f>
        <v>3</v>
      </c>
    </row>
    <row r="1651" spans="1:7">
      <c r="A1651" t="s">
        <v>6677</v>
      </c>
      <c r="B1651" s="344" t="s">
        <v>5362</v>
      </c>
      <c r="C1651" s="345" t="s">
        <v>74</v>
      </c>
      <c r="D1651" s="345" t="s">
        <v>73</v>
      </c>
      <c r="E1651" s="345" t="s">
        <v>76</v>
      </c>
      <c r="F1651" s="346" t="s">
        <v>5363</v>
      </c>
      <c r="G1651">
        <f>IF(getRGB1($C1651)="FFFFFF",0,1)+IF(getRGB1($D1651)="FFFFFF",0,2)+IF(getRGB1($E1651)="FFFFFF",0,3)+IF(getRGB1($F1651)="FFFFFF",0,4)</f>
        <v>4</v>
      </c>
    </row>
    <row r="1652" spans="1:7" ht="30">
      <c r="A1652" t="s">
        <v>6677</v>
      </c>
      <c r="B1652" s="344" t="s">
        <v>5364</v>
      </c>
      <c r="C1652" s="353" t="s">
        <v>1021</v>
      </c>
      <c r="D1652" s="345" t="s">
        <v>5365</v>
      </c>
      <c r="E1652" s="346" t="s">
        <v>5366</v>
      </c>
      <c r="F1652" s="345" t="s">
        <v>209</v>
      </c>
      <c r="G1652">
        <f>IF(getRGB1($C1652)="FFFFFF",0,1)+IF(getRGB1($D1652)="FFFFFF",0,2)+IF(getRGB1($E1652)="FFFFFF",0,3)+IF(getRGB1($F1652)="FFFFFF",0,4)</f>
        <v>3</v>
      </c>
    </row>
    <row r="1653" spans="1:7">
      <c r="A1653" t="s">
        <v>6677</v>
      </c>
      <c r="B1653" s="344" t="s">
        <v>5367</v>
      </c>
      <c r="C1653" s="345" t="s">
        <v>1025</v>
      </c>
      <c r="D1653" s="345" t="s">
        <v>1026</v>
      </c>
      <c r="E1653" s="345" t="s">
        <v>1027</v>
      </c>
      <c r="F1653" s="346" t="s">
        <v>3313</v>
      </c>
      <c r="G1653">
        <f>IF(getRGB1($C1653)="FFFFFF",0,1)+IF(getRGB1($D1653)="FFFFFF",0,2)+IF(getRGB1($E1653)="FFFFFF",0,3)+IF(getRGB1($F1653)="FFFFFF",0,4)</f>
        <v>4</v>
      </c>
    </row>
    <row r="1654" spans="1:7">
      <c r="A1654" t="s">
        <v>6677</v>
      </c>
      <c r="B1654" s="344" t="s">
        <v>5368</v>
      </c>
      <c r="C1654" s="345" t="s">
        <v>1029</v>
      </c>
      <c r="D1654" s="345" t="s">
        <v>1030</v>
      </c>
      <c r="E1654" s="345" t="s">
        <v>1031</v>
      </c>
      <c r="F1654" s="346" t="s">
        <v>3313</v>
      </c>
      <c r="G1654">
        <f>IF(getRGB1($C1654)="FFFFFF",0,1)+IF(getRGB1($D1654)="FFFFFF",0,2)+IF(getRGB1($E1654)="FFFFFF",0,3)+IF(getRGB1($F1654)="FFFFFF",0,4)</f>
        <v>4</v>
      </c>
    </row>
    <row r="1655" spans="1:7" ht="45">
      <c r="A1655" t="s">
        <v>6677</v>
      </c>
      <c r="B1655" s="344" t="s">
        <v>5369</v>
      </c>
      <c r="C1655" s="345" t="s">
        <v>252</v>
      </c>
      <c r="D1655" s="345" t="s">
        <v>1071</v>
      </c>
      <c r="E1655" s="345" t="s">
        <v>1072</v>
      </c>
      <c r="F1655" s="346" t="s">
        <v>1073</v>
      </c>
      <c r="G1655">
        <f>IF(getRGB1($C1655)="FFFFFF",0,1)+IF(getRGB1($D1655)="FFFFFF",0,2)+IF(getRGB1($E1655)="FFFFFF",0,3)+IF(getRGB1($F1655)="FFFFFF",0,4)</f>
        <v>4</v>
      </c>
    </row>
    <row r="1656" spans="1:7">
      <c r="A1656" t="s">
        <v>6677</v>
      </c>
      <c r="B1656" s="344" t="s">
        <v>5370</v>
      </c>
      <c r="C1656" s="347" t="s">
        <v>1021</v>
      </c>
      <c r="D1656" s="345" t="s">
        <v>1075</v>
      </c>
      <c r="E1656" s="345" t="s">
        <v>1076</v>
      </c>
      <c r="F1656" s="346" t="s">
        <v>209</v>
      </c>
      <c r="G1656">
        <f>IF(getRGB1($C1656)="FFFFFF",0,1)+IF(getRGB1($D1656)="FFFFFF",0,2)+IF(getRGB1($E1656)="FFFFFF",0,3)+IF(getRGB1($F1656)="FFFFFF",0,4)</f>
        <v>4</v>
      </c>
    </row>
    <row r="1657" spans="1:7" ht="30">
      <c r="A1657" t="s">
        <v>6677</v>
      </c>
      <c r="B1657" s="344" t="s">
        <v>5371</v>
      </c>
      <c r="C1657" s="345" t="s">
        <v>1078</v>
      </c>
      <c r="D1657" s="345" t="s">
        <v>1079</v>
      </c>
      <c r="E1657" s="346" t="s">
        <v>702</v>
      </c>
      <c r="F1657" s="345" t="s">
        <v>1081</v>
      </c>
      <c r="G1657">
        <f>IF(getRGB1($C1657)="FFFFFF",0,1)+IF(getRGB1($D1657)="FFFFFF",0,2)+IF(getRGB1($E1657)="FFFFFF",0,3)+IF(getRGB1($F1657)="FFFFFF",0,4)</f>
        <v>3</v>
      </c>
    </row>
    <row r="1658" spans="1:7" ht="30">
      <c r="A1658" t="s">
        <v>6677</v>
      </c>
      <c r="B1658" s="344" t="s">
        <v>5372</v>
      </c>
      <c r="C1658" s="345" t="s">
        <v>1029</v>
      </c>
      <c r="D1658" s="345" t="s">
        <v>1030</v>
      </c>
      <c r="E1658" s="345" t="s">
        <v>1031</v>
      </c>
      <c r="F1658" s="346" t="s">
        <v>1075</v>
      </c>
      <c r="G1658">
        <f>IF(getRGB1($C1658)="FFFFFF",0,1)+IF(getRGB1($D1658)="FFFFFF",0,2)+IF(getRGB1($E1658)="FFFFFF",0,3)+IF(getRGB1($F1658)="FFFFFF",0,4)</f>
        <v>4</v>
      </c>
    </row>
    <row r="1659" spans="1:7" ht="45">
      <c r="A1659" t="s">
        <v>6677</v>
      </c>
      <c r="B1659" s="344" t="s">
        <v>5373</v>
      </c>
      <c r="C1659" s="354" t="s">
        <v>1084</v>
      </c>
      <c r="D1659" s="354" t="s">
        <v>1085</v>
      </c>
      <c r="E1659" s="355" t="s">
        <v>1086</v>
      </c>
      <c r="F1659" s="356" t="s">
        <v>1087</v>
      </c>
      <c r="G1659">
        <f>IF(getRGB1($C1659)="FFFFFF",0,1)+IF(getRGB1($D1659)="FFFFFF",0,2)+IF(getRGB1($E1659)="FFFFFF",0,3)+IF(getRGB1($F1659)="FFFFFF",0,4)</f>
        <v>3</v>
      </c>
    </row>
    <row r="1660" spans="1:7" ht="45">
      <c r="A1660" t="s">
        <v>6677</v>
      </c>
      <c r="B1660" s="330" t="s">
        <v>5374</v>
      </c>
      <c r="C1660" s="357">
        <v>0.4</v>
      </c>
      <c r="D1660" s="357">
        <v>0.3</v>
      </c>
      <c r="E1660" s="358">
        <v>0.45</v>
      </c>
      <c r="F1660" s="357">
        <v>0.35</v>
      </c>
      <c r="G1660">
        <f>IF(getRGB1($C1660)="FFFFFF",0,1)+IF(getRGB1($D1660)="FFFFFF",0,2)+IF(getRGB1($E1660)="FFFFFF",0,3)+IF(getRGB1($F1660)="FFFFFF",0,4)</f>
        <v>3</v>
      </c>
    </row>
    <row r="1661" spans="1:7" ht="45">
      <c r="A1661" t="s">
        <v>6677</v>
      </c>
      <c r="B1661" s="344" t="s">
        <v>5375</v>
      </c>
      <c r="C1661" s="357">
        <v>0.2</v>
      </c>
      <c r="D1661" s="357">
        <v>0.3</v>
      </c>
      <c r="E1661" s="357">
        <v>0.05</v>
      </c>
      <c r="F1661" s="358">
        <v>0.1</v>
      </c>
      <c r="G1661">
        <f>IF(getRGB1($C1661)="FFFFFF",0,1)+IF(getRGB1($D1661)="FFFFFF",0,2)+IF(getRGB1($E1661)="FFFFFF",0,3)+IF(getRGB1($F1661)="FFFFFF",0,4)</f>
        <v>4</v>
      </c>
    </row>
    <row r="1662" spans="1:7" ht="45">
      <c r="A1662" t="s">
        <v>6677</v>
      </c>
      <c r="B1662" s="344" t="s">
        <v>1120</v>
      </c>
      <c r="C1662" s="345" t="s">
        <v>1121</v>
      </c>
      <c r="D1662" s="345" t="s">
        <v>1122</v>
      </c>
      <c r="E1662" s="345" t="s">
        <v>1123</v>
      </c>
      <c r="F1662" s="347" t="s">
        <v>5376</v>
      </c>
      <c r="G1662">
        <f>IF(getRGB1($C1662)="FFFFFF",0,1)+IF(getRGB1($D1662)="FFFFFF",0,2)+IF(getRGB1($E1662)="FFFFFF",0,3)+IF(getRGB1($F1662)="FFFFFF",0,4)</f>
        <v>0</v>
      </c>
    </row>
    <row r="1663" spans="1:7">
      <c r="A1663" t="s">
        <v>6677</v>
      </c>
      <c r="B1663" s="344" t="s">
        <v>5296</v>
      </c>
      <c r="C1663" s="346" t="s">
        <v>1371</v>
      </c>
      <c r="D1663" s="345" t="s">
        <v>1370</v>
      </c>
      <c r="E1663" s="345" t="s">
        <v>5297</v>
      </c>
      <c r="F1663" s="347" t="s">
        <v>3313</v>
      </c>
      <c r="G1663">
        <f>IF(getRGB1($C1663)="FFFFFF",0,1)+IF(getRGB1($D1663)="FFFFFF",0,2)+IF(getRGB1($E1663)="FFFFFF",0,3)+IF(getRGB1($F1663)="FFFFFF",0,4)</f>
        <v>1</v>
      </c>
    </row>
    <row r="1664" spans="1:7">
      <c r="A1664" t="s">
        <v>6677</v>
      </c>
      <c r="B1664" s="344" t="s">
        <v>5298</v>
      </c>
      <c r="C1664" s="346" t="s">
        <v>5299</v>
      </c>
      <c r="D1664" s="345" t="s">
        <v>5300</v>
      </c>
      <c r="E1664" s="345" t="s">
        <v>5301</v>
      </c>
      <c r="F1664" s="345" t="s">
        <v>209</v>
      </c>
      <c r="G1664">
        <f>IF(getRGB1($C1664)="FFFFFF",0,1)+IF(getRGB1($D1664)="FFFFFF",0,2)+IF(getRGB1($E1664)="FFFFFF",0,3)+IF(getRGB1($F1664)="FFFFFF",0,4)</f>
        <v>1</v>
      </c>
    </row>
    <row r="1665" spans="1:7" ht="30">
      <c r="A1665" t="s">
        <v>6677</v>
      </c>
      <c r="B1665" s="344" t="s">
        <v>5377</v>
      </c>
      <c r="C1665" s="345" t="s">
        <v>5378</v>
      </c>
      <c r="D1665" s="346" t="s">
        <v>5379</v>
      </c>
      <c r="E1665" s="345" t="s">
        <v>5380</v>
      </c>
      <c r="F1665" s="345" t="s">
        <v>3313</v>
      </c>
      <c r="G1665">
        <f>IF(getRGB1($C1665)="FFFFFF",0,1)+IF(getRGB1($D1665)="FFFFFF",0,2)+IF(getRGB1($E1665)="FFFFFF",0,3)+IF(getRGB1($F1665)="FFFFFF",0,4)</f>
        <v>2</v>
      </c>
    </row>
    <row r="1666" spans="1:7" ht="45">
      <c r="A1666" t="s">
        <v>6677</v>
      </c>
      <c r="B1666" s="344" t="s">
        <v>5381</v>
      </c>
      <c r="C1666" s="345" t="s">
        <v>5382</v>
      </c>
      <c r="D1666" s="345" t="s">
        <v>5383</v>
      </c>
      <c r="E1666" s="345" t="s">
        <v>5384</v>
      </c>
      <c r="F1666" s="346" t="s">
        <v>3313</v>
      </c>
      <c r="G1666">
        <f>IF(getRGB1($C1666)="FFFFFF",0,1)+IF(getRGB1($D1666)="FFFFFF",0,2)+IF(getRGB1($E1666)="FFFFFF",0,3)+IF(getRGB1($F1666)="FFFFFF",0,4)</f>
        <v>4</v>
      </c>
    </row>
    <row r="1667" spans="1:7">
      <c r="A1667" t="s">
        <v>6677</v>
      </c>
      <c r="B1667" s="344" t="s">
        <v>5385</v>
      </c>
      <c r="C1667" s="345" t="s">
        <v>5386</v>
      </c>
      <c r="D1667" s="346" t="s">
        <v>5387</v>
      </c>
      <c r="E1667" s="345" t="s">
        <v>702</v>
      </c>
      <c r="F1667" s="345" t="s">
        <v>209</v>
      </c>
      <c r="G1667">
        <f>IF(getRGB1($C1667)="FFFFFF",0,1)+IF(getRGB1($D1667)="FFFFFF",0,2)+IF(getRGB1($E1667)="FFFFFF",0,3)+IF(getRGB1($F1667)="FFFFFF",0,4)</f>
        <v>2</v>
      </c>
    </row>
    <row r="1668" spans="1:7">
      <c r="A1668" t="s">
        <v>6677</v>
      </c>
      <c r="B1668" s="344" t="s">
        <v>5388</v>
      </c>
      <c r="C1668" s="345" t="s">
        <v>5386</v>
      </c>
      <c r="D1668" s="346" t="s">
        <v>5387</v>
      </c>
      <c r="E1668" s="345" t="s">
        <v>702</v>
      </c>
      <c r="F1668" s="345" t="s">
        <v>209</v>
      </c>
      <c r="G1668">
        <f>IF(getRGB1($C1668)="FFFFFF",0,1)+IF(getRGB1($D1668)="FFFFFF",0,2)+IF(getRGB1($E1668)="FFFFFF",0,3)+IF(getRGB1($F1668)="FFFFFF",0,4)</f>
        <v>2</v>
      </c>
    </row>
    <row r="1669" spans="1:7">
      <c r="A1669" t="s">
        <v>6677</v>
      </c>
      <c r="B1669" s="344" t="s">
        <v>5389</v>
      </c>
      <c r="C1669" s="345" t="s">
        <v>5386</v>
      </c>
      <c r="D1669" s="346" t="s">
        <v>5387</v>
      </c>
      <c r="E1669" s="345" t="s">
        <v>702</v>
      </c>
      <c r="F1669" s="345" t="s">
        <v>209</v>
      </c>
      <c r="G1669">
        <f>IF(getRGB1($C1669)="FFFFFF",0,1)+IF(getRGB1($D1669)="FFFFFF",0,2)+IF(getRGB1($E1669)="FFFFFF",0,3)+IF(getRGB1($F1669)="FFFFFF",0,4)</f>
        <v>2</v>
      </c>
    </row>
    <row r="1670" spans="1:7">
      <c r="A1670" t="s">
        <v>6677</v>
      </c>
      <c r="B1670" s="344" t="s">
        <v>5390</v>
      </c>
      <c r="C1670" s="345" t="s">
        <v>1370</v>
      </c>
      <c r="D1670" s="345" t="s">
        <v>5339</v>
      </c>
      <c r="E1670" s="345" t="s">
        <v>1372</v>
      </c>
      <c r="F1670" s="346" t="s">
        <v>1078</v>
      </c>
      <c r="G1670">
        <f>IF(getRGB1($C1670)="FFFFFF",0,1)+IF(getRGB1($D1670)="FFFFFF",0,2)+IF(getRGB1($E1670)="FFFFFF",0,3)+IF(getRGB1($F1670)="FFFFFF",0,4)</f>
        <v>4</v>
      </c>
    </row>
    <row r="1671" spans="1:7">
      <c r="A1671" t="s">
        <v>6677</v>
      </c>
      <c r="B1671" s="344" t="s">
        <v>5391</v>
      </c>
      <c r="C1671" s="345" t="s">
        <v>73</v>
      </c>
      <c r="D1671" s="345" t="s">
        <v>5343</v>
      </c>
      <c r="E1671" s="346" t="s">
        <v>1370</v>
      </c>
      <c r="F1671" s="345" t="s">
        <v>177</v>
      </c>
      <c r="G1671">
        <f>IF(getRGB1($C1671)="FFFFFF",0,1)+IF(getRGB1($D1671)="FFFFFF",0,2)+IF(getRGB1($E1671)="FFFFFF",0,3)+IF(getRGB1($F1671)="FFFFFF",0,4)</f>
        <v>3</v>
      </c>
    </row>
    <row r="1672" spans="1:7" ht="45">
      <c r="A1672" t="s">
        <v>6678</v>
      </c>
      <c r="B1672" s="359" t="s">
        <v>5392</v>
      </c>
      <c r="C1672" s="360" t="s">
        <v>5393</v>
      </c>
      <c r="D1672" s="361" t="s">
        <v>2516</v>
      </c>
      <c r="E1672" s="359" t="s">
        <v>823</v>
      </c>
      <c r="F1672" s="359" t="s">
        <v>61</v>
      </c>
      <c r="G1672">
        <f>IF(getRGB1($C1672)="FFFFFF",0,1)+IF(getRGB1($D1672)="FFFFFF",0,2)+IF(getRGB1($E1672)="FFFFFF",0,3)+IF(getRGB1($F1672)="FFFFFF",0,4)</f>
        <v>1</v>
      </c>
    </row>
    <row r="1673" spans="1:7" ht="30">
      <c r="A1673" t="s">
        <v>6678</v>
      </c>
      <c r="B1673" s="359" t="s">
        <v>5394</v>
      </c>
      <c r="C1673" s="359" t="s">
        <v>823</v>
      </c>
      <c r="D1673" s="359" t="s">
        <v>4341</v>
      </c>
      <c r="E1673" s="359" t="s">
        <v>2516</v>
      </c>
      <c r="F1673" s="360" t="s">
        <v>4342</v>
      </c>
      <c r="G1673">
        <f>IF(getRGB1($C1673)="FFFFFF",0,1)+IF(getRGB1($D1673)="FFFFFF",0,2)+IF(getRGB1($E1673)="FFFFFF",0,3)+IF(getRGB1($F1673)="FFFFFF",0,4)</f>
        <v>4</v>
      </c>
    </row>
    <row r="1674" spans="1:7" ht="30">
      <c r="A1674" t="s">
        <v>6678</v>
      </c>
      <c r="B1674" s="362" t="s">
        <v>5395</v>
      </c>
      <c r="C1674" s="362" t="s">
        <v>5396</v>
      </c>
      <c r="D1674" s="362" t="s">
        <v>5397</v>
      </c>
      <c r="E1674" s="363" t="s">
        <v>2656</v>
      </c>
      <c r="F1674" s="362" t="s">
        <v>5398</v>
      </c>
      <c r="G1674">
        <f>IF(getRGB1($C1674)="FFFFFF",0,1)+IF(getRGB1($D1674)="FFFFFF",0,2)+IF(getRGB1($E1674)="FFFFFF",0,3)+IF(getRGB1($F1674)="FFFFFF",0,4)</f>
        <v>3</v>
      </c>
    </row>
    <row r="1675" spans="1:7" ht="60">
      <c r="A1675" t="s">
        <v>6678</v>
      </c>
      <c r="B1675" s="359" t="s">
        <v>5399</v>
      </c>
      <c r="C1675" s="359" t="s">
        <v>5400</v>
      </c>
      <c r="D1675" s="360" t="s">
        <v>5401</v>
      </c>
      <c r="E1675" s="359" t="s">
        <v>5402</v>
      </c>
      <c r="F1675" s="359" t="s">
        <v>5403</v>
      </c>
      <c r="G1675">
        <f>IF(getRGB1($C1675)="FFFFFF",0,1)+IF(getRGB1($D1675)="FFFFFF",0,2)+IF(getRGB1($E1675)="FFFFFF",0,3)+IF(getRGB1($F1675)="FFFFFF",0,4)</f>
        <v>2</v>
      </c>
    </row>
    <row r="1676" spans="1:7" ht="90">
      <c r="A1676" t="s">
        <v>6678</v>
      </c>
      <c r="B1676" s="359" t="s">
        <v>5404</v>
      </c>
      <c r="C1676" s="360">
        <v>0.7</v>
      </c>
      <c r="D1676" s="359">
        <v>0.8</v>
      </c>
      <c r="E1676" s="359">
        <v>0.6</v>
      </c>
      <c r="F1676" s="359">
        <v>0.85</v>
      </c>
      <c r="G1676">
        <f>IF(getRGB1($C1676)="FFFFFF",0,1)+IF(getRGB1($D1676)="FFFFFF",0,2)+IF(getRGB1($E1676)="FFFFFF",0,3)+IF(getRGB1($F1676)="FFFFFF",0,4)</f>
        <v>1</v>
      </c>
    </row>
    <row r="1677" spans="1:7" ht="45">
      <c r="A1677" t="s">
        <v>6678</v>
      </c>
      <c r="B1677" s="359" t="s">
        <v>5405</v>
      </c>
      <c r="C1677" s="359" t="b">
        <v>1</v>
      </c>
      <c r="D1677" s="360" t="b">
        <v>0</v>
      </c>
      <c r="E1677" s="359" t="s">
        <v>5406</v>
      </c>
      <c r="F1677" s="359" t="s">
        <v>5407</v>
      </c>
      <c r="G1677">
        <f>IF(getRGB1($C1677)="FFFFFF",0,1)+IF(getRGB1($D1677)="FFFFFF",0,2)+IF(getRGB1($E1677)="FFFFFF",0,3)+IF(getRGB1($F1677)="FFFFFF",0,4)</f>
        <v>2</v>
      </c>
    </row>
    <row r="1678" spans="1:7" ht="45">
      <c r="A1678" t="s">
        <v>6678</v>
      </c>
      <c r="B1678" s="359" t="s">
        <v>5408</v>
      </c>
      <c r="C1678" s="359" t="s">
        <v>74</v>
      </c>
      <c r="D1678" s="359" t="s">
        <v>5409</v>
      </c>
      <c r="E1678" s="359" t="s">
        <v>5410</v>
      </c>
      <c r="F1678" s="360" t="s">
        <v>5411</v>
      </c>
      <c r="G1678">
        <f>IF(getRGB1($C1678)="FFFFFF",0,1)+IF(getRGB1($D1678)="FFFFFF",0,2)+IF(getRGB1($E1678)="FFFFFF",0,3)+IF(getRGB1($F1678)="FFFFFF",0,4)</f>
        <v>4</v>
      </c>
    </row>
    <row r="1679" spans="1:7" ht="45">
      <c r="A1679" t="s">
        <v>6678</v>
      </c>
      <c r="B1679" s="359" t="s">
        <v>5412</v>
      </c>
      <c r="C1679" s="359" t="s">
        <v>5413</v>
      </c>
      <c r="D1679" s="359" t="s">
        <v>5414</v>
      </c>
      <c r="E1679" s="360" t="s">
        <v>5415</v>
      </c>
      <c r="F1679" s="359" t="s">
        <v>61</v>
      </c>
      <c r="G1679">
        <f>IF(getRGB1($C1679)="FFFFFF",0,1)+IF(getRGB1($D1679)="FFFFFF",0,2)+IF(getRGB1($E1679)="FFFFFF",0,3)+IF(getRGB1($F1679)="FFFFFF",0,4)</f>
        <v>3</v>
      </c>
    </row>
    <row r="1680" spans="1:7" ht="30">
      <c r="A1680" t="s">
        <v>6678</v>
      </c>
      <c r="B1680" s="359" t="s">
        <v>5416</v>
      </c>
      <c r="C1680" s="360" t="s">
        <v>5417</v>
      </c>
      <c r="D1680" s="359" t="s">
        <v>5418</v>
      </c>
      <c r="E1680" s="359" t="s">
        <v>5419</v>
      </c>
      <c r="F1680" s="359" t="s">
        <v>5420</v>
      </c>
      <c r="G1680">
        <f>IF(getRGB1($C1680)="FFFFFF",0,1)+IF(getRGB1($D1680)="FFFFFF",0,2)+IF(getRGB1($E1680)="FFFFFF",0,3)+IF(getRGB1($F1680)="FFFFFF",0,4)</f>
        <v>1</v>
      </c>
    </row>
    <row r="1681" spans="1:7" ht="30">
      <c r="A1681" t="s">
        <v>6678</v>
      </c>
      <c r="B1681" s="359" t="s">
        <v>5421</v>
      </c>
      <c r="C1681" s="359" t="s">
        <v>980</v>
      </c>
      <c r="D1681" s="359" t="s">
        <v>173</v>
      </c>
      <c r="E1681" s="359" t="s">
        <v>5422</v>
      </c>
      <c r="F1681" s="360" t="s">
        <v>174</v>
      </c>
      <c r="G1681">
        <f>IF(getRGB1($C1681)="FFFFFF",0,1)+IF(getRGB1($D1681)="FFFFFF",0,2)+IF(getRGB1($E1681)="FFFFFF",0,3)+IF(getRGB1($F1681)="FFFFFF",0,4)</f>
        <v>4</v>
      </c>
    </row>
    <row r="1682" spans="1:7" ht="30">
      <c r="A1682" t="s">
        <v>6678</v>
      </c>
      <c r="B1682" s="362" t="s">
        <v>5423</v>
      </c>
      <c r="C1682" s="362" t="s">
        <v>5424</v>
      </c>
      <c r="D1682" s="362" t="s">
        <v>5425</v>
      </c>
      <c r="E1682" s="362" t="s">
        <v>5426</v>
      </c>
      <c r="F1682" s="362" t="s">
        <v>5427</v>
      </c>
      <c r="G1682">
        <f>IF(getRGB1($C1682)="FFFFFF",0,1)+IF(getRGB1($D1682)="FFFFFF",0,2)+IF(getRGB1($E1682)="FFFFFF",0,3)+IF(getRGB1($F1682)="FFFFFF",0,4)</f>
        <v>0</v>
      </c>
    </row>
    <row r="1683" spans="1:7" ht="60">
      <c r="A1683" t="s">
        <v>6678</v>
      </c>
      <c r="B1683" s="359" t="s">
        <v>5428</v>
      </c>
      <c r="C1683" s="360" t="s">
        <v>5429</v>
      </c>
      <c r="D1683" s="359" t="s">
        <v>4952</v>
      </c>
      <c r="E1683" s="359" t="s">
        <v>4953</v>
      </c>
      <c r="F1683" s="359" t="s">
        <v>5430</v>
      </c>
      <c r="G1683">
        <f>IF(getRGB1($C1683)="FFFFFF",0,1)+IF(getRGB1($D1683)="FFFFFF",0,2)+IF(getRGB1($E1683)="FFFFFF",0,3)+IF(getRGB1($F1683)="FFFFFF",0,4)</f>
        <v>1</v>
      </c>
    </row>
    <row r="1684" spans="1:7" ht="30">
      <c r="A1684" t="s">
        <v>6678</v>
      </c>
      <c r="B1684" s="359" t="s">
        <v>5431</v>
      </c>
      <c r="C1684" s="359" t="s">
        <v>5432</v>
      </c>
      <c r="D1684" s="359" t="s">
        <v>5433</v>
      </c>
      <c r="E1684" s="359" t="s">
        <v>5434</v>
      </c>
      <c r="F1684" s="360" t="s">
        <v>5435</v>
      </c>
      <c r="G1684">
        <f>IF(getRGB1($C1684)="FFFFFF",0,1)+IF(getRGB1($D1684)="FFFFFF",0,2)+IF(getRGB1($E1684)="FFFFFF",0,3)+IF(getRGB1($F1684)="FFFFFF",0,4)</f>
        <v>4</v>
      </c>
    </row>
    <row r="1685" spans="1:7" ht="30">
      <c r="A1685" t="s">
        <v>6678</v>
      </c>
      <c r="B1685" s="359" t="s">
        <v>5436</v>
      </c>
      <c r="C1685" s="359" t="s">
        <v>5437</v>
      </c>
      <c r="D1685" s="359" t="s">
        <v>5438</v>
      </c>
      <c r="E1685" s="359" t="s">
        <v>5439</v>
      </c>
      <c r="F1685" s="360" t="s">
        <v>5440</v>
      </c>
      <c r="G1685">
        <f>IF(getRGB1($C1685)="FFFFFF",0,1)+IF(getRGB1($D1685)="FFFFFF",0,2)+IF(getRGB1($E1685)="FFFFFF",0,3)+IF(getRGB1($F1685)="FFFFFF",0,4)</f>
        <v>4</v>
      </c>
    </row>
    <row r="1686" spans="1:7">
      <c r="A1686" t="s">
        <v>6679</v>
      </c>
      <c r="B1686" s="364" t="s">
        <v>4934</v>
      </c>
      <c r="C1686" s="365" t="s">
        <v>4935</v>
      </c>
      <c r="D1686" s="365" t="s">
        <v>4936</v>
      </c>
      <c r="E1686" s="365" t="s">
        <v>4937</v>
      </c>
      <c r="F1686" s="366" t="s">
        <v>2141</v>
      </c>
      <c r="G1686">
        <f>IF(getRGB1($C1686)="FFFFFF",0,1)+IF(getRGB1($D1686)="FFFFFF",0,2)+IF(getRGB1($E1686)="FFFFFF",0,3)+IF(getRGB1($F1686)="FFFFFF",0,4)</f>
        <v>4</v>
      </c>
    </row>
    <row r="1687" spans="1:7">
      <c r="A1687" t="s">
        <v>6679</v>
      </c>
      <c r="B1687" s="364" t="s">
        <v>4938</v>
      </c>
      <c r="C1687" s="365" t="s">
        <v>4939</v>
      </c>
      <c r="D1687" s="366" t="s">
        <v>4940</v>
      </c>
      <c r="E1687" s="365" t="s">
        <v>4113</v>
      </c>
      <c r="F1687" s="365" t="s">
        <v>4113</v>
      </c>
      <c r="G1687">
        <f>IF(getRGB1($C1687)="FFFFFF",0,1)+IF(getRGB1($D1687)="FFFFFF",0,2)+IF(getRGB1($E1687)="FFFFFF",0,3)+IF(getRGB1($F1687)="FFFFFF",0,4)</f>
        <v>2</v>
      </c>
    </row>
    <row r="1688" spans="1:7" ht="25.5">
      <c r="A1688" t="s">
        <v>6679</v>
      </c>
      <c r="B1688" s="364" t="s">
        <v>4950</v>
      </c>
      <c r="C1688" s="365" t="s">
        <v>4951</v>
      </c>
      <c r="D1688" s="365" t="s">
        <v>4952</v>
      </c>
      <c r="E1688" s="366" t="s">
        <v>4953</v>
      </c>
      <c r="F1688" s="365" t="s">
        <v>4658</v>
      </c>
      <c r="G1688">
        <f>IF(getRGB1($C1688)="FFFFFF",0,1)+IF(getRGB1($D1688)="FFFFFF",0,2)+IF(getRGB1($E1688)="FFFFFF",0,3)+IF(getRGB1($F1688)="FFFFFF",0,4)</f>
        <v>3</v>
      </c>
    </row>
    <row r="1689" spans="1:7" ht="51">
      <c r="A1689" t="s">
        <v>6679</v>
      </c>
      <c r="B1689" s="364" t="s">
        <v>4973</v>
      </c>
      <c r="C1689" s="365" t="s">
        <v>4974</v>
      </c>
      <c r="D1689" s="366" t="s">
        <v>4975</v>
      </c>
      <c r="E1689" s="365" t="s">
        <v>2515</v>
      </c>
      <c r="F1689" s="365" t="s">
        <v>4976</v>
      </c>
      <c r="G1689">
        <f>IF(getRGB1($C1689)="FFFFFF",0,1)+IF(getRGB1($D1689)="FFFFFF",0,2)+IF(getRGB1($E1689)="FFFFFF",0,3)+IF(getRGB1($F1689)="FFFFFF",0,4)</f>
        <v>2</v>
      </c>
    </row>
    <row r="1690" spans="1:7" ht="25.5">
      <c r="A1690" t="s">
        <v>6679</v>
      </c>
      <c r="B1690" s="367" t="s">
        <v>4977</v>
      </c>
      <c r="C1690" s="366" t="s">
        <v>5441</v>
      </c>
      <c r="D1690" s="365" t="s">
        <v>4979</v>
      </c>
      <c r="E1690" s="365" t="s">
        <v>2554</v>
      </c>
      <c r="F1690" s="276" t="s">
        <v>4980</v>
      </c>
      <c r="G1690">
        <f>IF(getRGB1($C1690)="FFFFFF",0,1)+IF(getRGB1($D1690)="FFFFFF",0,2)+IF(getRGB1($E1690)="FFFFFF",0,3)+IF(getRGB1($F1690)="FFFFFF",0,4)</f>
        <v>1</v>
      </c>
    </row>
    <row r="1691" spans="1:7" ht="25.5">
      <c r="A1691" t="s">
        <v>6679</v>
      </c>
      <c r="B1691" s="367" t="s">
        <v>4981</v>
      </c>
      <c r="C1691" s="365" t="s">
        <v>4982</v>
      </c>
      <c r="D1691" s="365" t="s">
        <v>4983</v>
      </c>
      <c r="E1691" s="366" t="s">
        <v>4984</v>
      </c>
      <c r="F1691" s="368" t="s">
        <v>4985</v>
      </c>
      <c r="G1691">
        <f>IF(getRGB1($C1691)="FFFFFF",0,1)+IF(getRGB1($D1691)="FFFFFF",0,2)+IF(getRGB1($E1691)="FFFFFF",0,3)+IF(getRGB1($F1691)="FFFFFF",0,4)</f>
        <v>3</v>
      </c>
    </row>
    <row r="1692" spans="1:7" ht="25.5">
      <c r="A1692" t="s">
        <v>6679</v>
      </c>
      <c r="B1692" s="364" t="s">
        <v>4986</v>
      </c>
      <c r="C1692" s="365" t="s">
        <v>4987</v>
      </c>
      <c r="D1692" s="366" t="s">
        <v>4988</v>
      </c>
      <c r="E1692" s="365" t="s">
        <v>4989</v>
      </c>
      <c r="F1692" s="365" t="s">
        <v>4658</v>
      </c>
      <c r="G1692">
        <f>IF(getRGB1($C1692)="FFFFFF",0,1)+IF(getRGB1($D1692)="FFFFFF",0,2)+IF(getRGB1($E1692)="FFFFFF",0,3)+IF(getRGB1($F1692)="FFFFFF",0,4)</f>
        <v>2</v>
      </c>
    </row>
    <row r="1693" spans="1:7" ht="25.5">
      <c r="A1693" t="s">
        <v>6679</v>
      </c>
      <c r="B1693" s="364" t="s">
        <v>4990</v>
      </c>
      <c r="C1693" s="365" t="s">
        <v>4991</v>
      </c>
      <c r="D1693" s="365" t="s">
        <v>4992</v>
      </c>
      <c r="E1693" s="365" t="s">
        <v>4341</v>
      </c>
      <c r="F1693" s="366" t="s">
        <v>4993</v>
      </c>
      <c r="G1693">
        <f>IF(getRGB1($C1693)="FFFFFF",0,1)+IF(getRGB1($D1693)="FFFFFF",0,2)+IF(getRGB1($E1693)="FFFFFF",0,3)+IF(getRGB1($F1693)="FFFFFF",0,4)</f>
        <v>4</v>
      </c>
    </row>
    <row r="1694" spans="1:7" ht="25.5">
      <c r="A1694" t="s">
        <v>6679</v>
      </c>
      <c r="B1694" s="364" t="s">
        <v>4994</v>
      </c>
      <c r="C1694" s="365" t="s">
        <v>4995</v>
      </c>
      <c r="D1694" s="365" t="s">
        <v>825</v>
      </c>
      <c r="E1694" s="365" t="s">
        <v>4996</v>
      </c>
      <c r="F1694" s="366" t="s">
        <v>2515</v>
      </c>
      <c r="G1694">
        <f>IF(getRGB1($C1694)="FFFFFF",0,1)+IF(getRGB1($D1694)="FFFFFF",0,2)+IF(getRGB1($E1694)="FFFFFF",0,3)+IF(getRGB1($F1694)="FFFFFF",0,4)</f>
        <v>4</v>
      </c>
    </row>
    <row r="1695" spans="1:7" ht="25.5">
      <c r="A1695" t="s">
        <v>6679</v>
      </c>
      <c r="B1695" s="364" t="s">
        <v>4997</v>
      </c>
      <c r="C1695" s="365" t="s">
        <v>4998</v>
      </c>
      <c r="D1695" s="365" t="s">
        <v>4999</v>
      </c>
      <c r="E1695" s="366" t="s">
        <v>5000</v>
      </c>
      <c r="F1695" s="368" t="s">
        <v>5001</v>
      </c>
      <c r="G1695">
        <f>IF(getRGB1($C1695)="FFFFFF",0,1)+IF(getRGB1($D1695)="FFFFFF",0,2)+IF(getRGB1($E1695)="FFFFFF",0,3)+IF(getRGB1($F1695)="FFFFFF",0,4)</f>
        <v>3</v>
      </c>
    </row>
    <row r="1696" spans="1:7" ht="25.5">
      <c r="A1696" t="s">
        <v>6679</v>
      </c>
      <c r="B1696" s="364" t="s">
        <v>5002</v>
      </c>
      <c r="C1696" s="365" t="s">
        <v>5003</v>
      </c>
      <c r="D1696" s="366" t="s">
        <v>5004</v>
      </c>
      <c r="E1696" s="365" t="s">
        <v>4952</v>
      </c>
      <c r="F1696" s="365" t="s">
        <v>5005</v>
      </c>
      <c r="G1696">
        <f>IF(getRGB1($C1696)="FFFFFF",0,1)+IF(getRGB1($D1696)="FFFFFF",0,2)+IF(getRGB1($E1696)="FFFFFF",0,3)+IF(getRGB1($F1696)="FFFFFF",0,4)</f>
        <v>2</v>
      </c>
    </row>
    <row r="1697" spans="1:7">
      <c r="A1697" t="s">
        <v>6679</v>
      </c>
      <c r="B1697" s="364" t="s">
        <v>5006</v>
      </c>
      <c r="C1697" s="365" t="s">
        <v>5007</v>
      </c>
      <c r="D1697" s="365" t="s">
        <v>5008</v>
      </c>
      <c r="E1697" s="365" t="s">
        <v>5009</v>
      </c>
      <c r="F1697" s="366" t="s">
        <v>5010</v>
      </c>
      <c r="G1697">
        <f>IF(getRGB1($C1697)="FFFFFF",0,1)+IF(getRGB1($D1697)="FFFFFF",0,2)+IF(getRGB1($E1697)="FFFFFF",0,3)+IF(getRGB1($F1697)="FFFFFF",0,4)</f>
        <v>4</v>
      </c>
    </row>
    <row r="1698" spans="1:7" ht="25.5">
      <c r="A1698" t="s">
        <v>6679</v>
      </c>
      <c r="B1698" s="364" t="s">
        <v>5011</v>
      </c>
      <c r="C1698" s="365" t="s">
        <v>5012</v>
      </c>
      <c r="D1698" s="365" t="s">
        <v>1136</v>
      </c>
      <c r="E1698" s="365" t="s">
        <v>1137</v>
      </c>
      <c r="F1698" s="366" t="s">
        <v>1490</v>
      </c>
      <c r="G1698">
        <f>IF(getRGB1($C1698)="FFFFFF",0,1)+IF(getRGB1($D1698)="FFFFFF",0,2)+IF(getRGB1($E1698)="FFFFFF",0,3)+IF(getRGB1($F1698)="FFFFFF",0,4)</f>
        <v>4</v>
      </c>
    </row>
    <row r="1699" spans="1:7" ht="25.5">
      <c r="A1699" t="s">
        <v>6679</v>
      </c>
      <c r="B1699" s="364" t="s">
        <v>5013</v>
      </c>
      <c r="C1699" s="365" t="s">
        <v>5014</v>
      </c>
      <c r="D1699" s="365" t="s">
        <v>5015</v>
      </c>
      <c r="E1699" s="365" t="s">
        <v>5016</v>
      </c>
      <c r="F1699" s="366" t="s">
        <v>5017</v>
      </c>
      <c r="G1699">
        <f>IF(getRGB1($C1699)="FFFFFF",0,1)+IF(getRGB1($D1699)="FFFFFF",0,2)+IF(getRGB1($E1699)="FFFFFF",0,3)+IF(getRGB1($F1699)="FFFFFF",0,4)</f>
        <v>4</v>
      </c>
    </row>
    <row r="1700" spans="1:7" ht="25.5">
      <c r="A1700" t="s">
        <v>6679</v>
      </c>
      <c r="B1700" s="364" t="s">
        <v>5018</v>
      </c>
      <c r="C1700" s="365">
        <v>108</v>
      </c>
      <c r="D1700" s="365">
        <v>110</v>
      </c>
      <c r="E1700" s="366">
        <v>178</v>
      </c>
      <c r="F1700" s="365">
        <v>184</v>
      </c>
      <c r="G1700">
        <f>IF(getRGB1($C1700)="FFFFFF",0,1)+IF(getRGB1($D1700)="FFFFFF",0,2)+IF(getRGB1($E1700)="FFFFFF",0,3)+IF(getRGB1($F1700)="FFFFFF",0,4)</f>
        <v>3</v>
      </c>
    </row>
    <row r="1701" spans="1:7" ht="51">
      <c r="A1701" t="s">
        <v>6679</v>
      </c>
      <c r="B1701" s="364" t="s">
        <v>5023</v>
      </c>
      <c r="C1701" s="365" t="s">
        <v>5024</v>
      </c>
      <c r="D1701" s="365" t="s">
        <v>5025</v>
      </c>
      <c r="E1701" s="366" t="s">
        <v>5026</v>
      </c>
      <c r="F1701" s="365" t="s">
        <v>4658</v>
      </c>
      <c r="G1701">
        <f>IF(getRGB1($C1701)="FFFFFF",0,1)+IF(getRGB1($D1701)="FFFFFF",0,2)+IF(getRGB1($E1701)="FFFFFF",0,3)+IF(getRGB1($F1701)="FFFFFF",0,4)</f>
        <v>3</v>
      </c>
    </row>
    <row r="1702" spans="1:7" ht="25.5">
      <c r="A1702" t="s">
        <v>6679</v>
      </c>
      <c r="B1702" s="364" t="s">
        <v>5030</v>
      </c>
      <c r="C1702" s="365" t="s">
        <v>4975</v>
      </c>
      <c r="D1702" s="365" t="s">
        <v>5031</v>
      </c>
      <c r="E1702" s="366" t="s">
        <v>4985</v>
      </c>
      <c r="F1702" s="365" t="s">
        <v>5032</v>
      </c>
      <c r="G1702">
        <f>IF(getRGB1($C1702)="FFFFFF",0,1)+IF(getRGB1($D1702)="FFFFFF",0,2)+IF(getRGB1($E1702)="FFFFFF",0,3)+IF(getRGB1($F1702)="FFFFFF",0,4)</f>
        <v>3</v>
      </c>
    </row>
    <row r="1703" spans="1:7" ht="25.5">
      <c r="A1703" t="s">
        <v>6679</v>
      </c>
      <c r="B1703" s="364" t="s">
        <v>5033</v>
      </c>
      <c r="C1703" s="366" t="s">
        <v>5034</v>
      </c>
      <c r="D1703" s="365" t="s">
        <v>5035</v>
      </c>
      <c r="E1703" s="365" t="s">
        <v>5036</v>
      </c>
      <c r="F1703" s="365" t="s">
        <v>5037</v>
      </c>
      <c r="G1703">
        <f>IF(getRGB1($C1703)="FFFFFF",0,1)+IF(getRGB1($D1703)="FFFFFF",0,2)+IF(getRGB1($E1703)="FFFFFF",0,3)+IF(getRGB1($F1703)="FFFFFF",0,4)</f>
        <v>1</v>
      </c>
    </row>
    <row r="1704" spans="1:7" ht="25.5">
      <c r="A1704" t="s">
        <v>6679</v>
      </c>
      <c r="B1704" s="364" t="s">
        <v>5038</v>
      </c>
      <c r="C1704" s="365" t="s">
        <v>5039</v>
      </c>
      <c r="D1704" s="366" t="s">
        <v>5040</v>
      </c>
      <c r="E1704" s="365" t="s">
        <v>5041</v>
      </c>
      <c r="F1704" s="365" t="s">
        <v>5042</v>
      </c>
      <c r="G1704">
        <f>IF(getRGB1($C1704)="FFFFFF",0,1)+IF(getRGB1($D1704)="FFFFFF",0,2)+IF(getRGB1($E1704)="FFFFFF",0,3)+IF(getRGB1($F1704)="FFFFFF",0,4)</f>
        <v>2</v>
      </c>
    </row>
    <row r="1705" spans="1:7" ht="25.5">
      <c r="A1705" t="s">
        <v>6679</v>
      </c>
      <c r="B1705" s="364" t="s">
        <v>5043</v>
      </c>
      <c r="C1705" s="365" t="s">
        <v>4885</v>
      </c>
      <c r="D1705" s="365" t="s">
        <v>4886</v>
      </c>
      <c r="E1705" s="365" t="s">
        <v>4887</v>
      </c>
      <c r="F1705" s="366" t="s">
        <v>4755</v>
      </c>
      <c r="G1705">
        <f>IF(getRGB1($C1705)="FFFFFF",0,1)+IF(getRGB1($D1705)="FFFFFF",0,2)+IF(getRGB1($E1705)="FFFFFF",0,3)+IF(getRGB1($F1705)="FFFFFF",0,4)</f>
        <v>4</v>
      </c>
    </row>
    <row r="1706" spans="1:7">
      <c r="A1706" t="s">
        <v>6679</v>
      </c>
      <c r="B1706" s="364" t="s">
        <v>4882</v>
      </c>
      <c r="C1706" s="365" t="s">
        <v>1370</v>
      </c>
      <c r="D1706" s="365" t="s">
        <v>4883</v>
      </c>
      <c r="E1706" s="365" t="s">
        <v>1372</v>
      </c>
      <c r="F1706" s="366" t="s">
        <v>1117</v>
      </c>
      <c r="G1706">
        <f>IF(getRGB1($C1706)="FFFFFF",0,1)+IF(getRGB1($D1706)="FFFFFF",0,2)+IF(getRGB1($E1706)="FFFFFF",0,3)+IF(getRGB1($F1706)="FFFFFF",0,4)</f>
        <v>4</v>
      </c>
    </row>
    <row r="1707" spans="1:7" ht="25.5">
      <c r="A1707" t="s">
        <v>6679</v>
      </c>
      <c r="B1707" s="364" t="s">
        <v>5044</v>
      </c>
      <c r="C1707" s="365" t="s">
        <v>5045</v>
      </c>
      <c r="D1707" s="365" t="s">
        <v>2514</v>
      </c>
      <c r="E1707" s="366" t="s">
        <v>5046</v>
      </c>
      <c r="F1707" s="365" t="s">
        <v>1272</v>
      </c>
      <c r="G1707">
        <f>IF(getRGB1($C1707)="FFFFFF",0,1)+IF(getRGB1($D1707)="FFFFFF",0,2)+IF(getRGB1($E1707)="FFFFFF",0,3)+IF(getRGB1($F1707)="FFFFFF",0,4)</f>
        <v>3</v>
      </c>
    </row>
    <row r="1708" spans="1:7" ht="25.5">
      <c r="A1708" t="s">
        <v>6679</v>
      </c>
      <c r="B1708" s="364" t="s">
        <v>5047</v>
      </c>
      <c r="C1708" s="366" t="s">
        <v>1272</v>
      </c>
      <c r="D1708" s="365" t="s">
        <v>5048</v>
      </c>
      <c r="E1708" s="365" t="s">
        <v>5049</v>
      </c>
      <c r="F1708" s="365" t="s">
        <v>5050</v>
      </c>
      <c r="G1708">
        <f>IF(getRGB1($C1708)="FFFFFF",0,1)+IF(getRGB1($D1708)="FFFFFF",0,2)+IF(getRGB1($E1708)="FFFFFF",0,3)+IF(getRGB1($F1708)="FFFFFF",0,4)</f>
        <v>1</v>
      </c>
    </row>
    <row r="1709" spans="1:7">
      <c r="A1709" t="s">
        <v>6679</v>
      </c>
      <c r="B1709" s="364" t="s">
        <v>5051</v>
      </c>
      <c r="C1709" s="365" t="s">
        <v>5052</v>
      </c>
      <c r="D1709" s="365" t="s">
        <v>3139</v>
      </c>
      <c r="E1709" s="366" t="s">
        <v>5053</v>
      </c>
      <c r="F1709" s="365" t="s">
        <v>5054</v>
      </c>
      <c r="G1709">
        <f>IF(getRGB1($C1709)="FFFFFF",0,1)+IF(getRGB1($D1709)="FFFFFF",0,2)+IF(getRGB1($E1709)="FFFFFF",0,3)+IF(getRGB1($F1709)="FFFFFF",0,4)</f>
        <v>3</v>
      </c>
    </row>
    <row r="1710" spans="1:7">
      <c r="A1710" t="s">
        <v>6679</v>
      </c>
      <c r="B1710" s="364" t="s">
        <v>5055</v>
      </c>
      <c r="C1710" s="365" t="s">
        <v>5056</v>
      </c>
      <c r="D1710" s="365" t="s">
        <v>5057</v>
      </c>
      <c r="E1710" s="366" t="s">
        <v>5058</v>
      </c>
      <c r="F1710" s="365" t="s">
        <v>5059</v>
      </c>
      <c r="G1710">
        <f>IF(getRGB1($C1710)="FFFFFF",0,1)+IF(getRGB1($D1710)="FFFFFF",0,2)+IF(getRGB1($E1710)="FFFFFF",0,3)+IF(getRGB1($F1710)="FFFFFF",0,4)</f>
        <v>3</v>
      </c>
    </row>
    <row r="1711" spans="1:7">
      <c r="A1711" t="s">
        <v>6679</v>
      </c>
      <c r="B1711" s="364" t="s">
        <v>4112</v>
      </c>
      <c r="C1711" s="369">
        <v>40269</v>
      </c>
      <c r="D1711" s="369">
        <v>40271</v>
      </c>
      <c r="E1711" s="370">
        <v>40666</v>
      </c>
      <c r="F1711" s="371">
        <v>40330</v>
      </c>
      <c r="G1711">
        <f>IF(getRGB1($C1711)="FFFFFF",0,1)+IF(getRGB1($D1711)="FFFFFF",0,2)+IF(getRGB1($E1711)="FFFFFF",0,3)+IF(getRGB1($F1711)="FFFFFF",0,4)</f>
        <v>3</v>
      </c>
    </row>
    <row r="1712" spans="1:7" ht="26.25">
      <c r="A1712" t="s">
        <v>6679</v>
      </c>
      <c r="B1712" s="372" t="s">
        <v>5442</v>
      </c>
      <c r="C1712" s="372" t="s">
        <v>4130</v>
      </c>
      <c r="D1712" s="372" t="s">
        <v>4131</v>
      </c>
      <c r="E1712" s="373" t="s">
        <v>4132</v>
      </c>
      <c r="F1712" s="374" t="s">
        <v>4133</v>
      </c>
      <c r="G1712">
        <f>IF(getRGB1($C1712)="FFFFFF",0,1)+IF(getRGB1($D1712)="FFFFFF",0,2)+IF(getRGB1($E1712)="FFFFFF",0,3)+IF(getRGB1($F1712)="FFFFFF",0,4)</f>
        <v>3</v>
      </c>
    </row>
    <row r="1713" spans="1:7" ht="39">
      <c r="A1713" t="s">
        <v>6679</v>
      </c>
      <c r="B1713" s="372" t="s">
        <v>4196</v>
      </c>
      <c r="C1713" s="372" t="s">
        <v>5443</v>
      </c>
      <c r="D1713" s="375" t="s">
        <v>4136</v>
      </c>
      <c r="E1713" s="373" t="s">
        <v>4137</v>
      </c>
      <c r="F1713" s="374" t="s">
        <v>4138</v>
      </c>
      <c r="G1713">
        <f>IF(getRGB1($C1713)="FFFFFF",0,1)+IF(getRGB1($D1713)="FFFFFF",0,2)+IF(getRGB1($E1713)="FFFFFF",0,3)+IF(getRGB1($F1713)="FFFFFF",0,4)</f>
        <v>3</v>
      </c>
    </row>
    <row r="1714" spans="1:7" ht="51.75">
      <c r="A1714" t="s">
        <v>6679</v>
      </c>
      <c r="B1714" s="372" t="s">
        <v>4139</v>
      </c>
      <c r="C1714" s="372" t="s">
        <v>4140</v>
      </c>
      <c r="D1714" s="373" t="s">
        <v>4141</v>
      </c>
      <c r="E1714" s="372" t="s">
        <v>4142</v>
      </c>
      <c r="F1714" s="374" t="s">
        <v>4143</v>
      </c>
      <c r="G1714">
        <f>IF(getRGB1($C1714)="FFFFFF",0,1)+IF(getRGB1($D1714)="FFFFFF",0,2)+IF(getRGB1($E1714)="FFFFFF",0,3)+IF(getRGB1($F1714)="FFFFFF",0,4)</f>
        <v>2</v>
      </c>
    </row>
    <row r="1715" spans="1:7" ht="26.25">
      <c r="A1715" t="s">
        <v>6679</v>
      </c>
      <c r="B1715" s="372" t="s">
        <v>4144</v>
      </c>
      <c r="C1715" s="372" t="s">
        <v>4140</v>
      </c>
      <c r="D1715" s="373" t="s">
        <v>4141</v>
      </c>
      <c r="E1715" s="372" t="s">
        <v>4142</v>
      </c>
      <c r="F1715" s="374" t="s">
        <v>4143</v>
      </c>
      <c r="G1715">
        <f>IF(getRGB1($C1715)="FFFFFF",0,1)+IF(getRGB1($D1715)="FFFFFF",0,2)+IF(getRGB1($E1715)="FFFFFF",0,3)+IF(getRGB1($F1715)="FFFFFF",0,4)</f>
        <v>2</v>
      </c>
    </row>
    <row r="1716" spans="1:7" ht="26.25">
      <c r="A1716" t="s">
        <v>6679</v>
      </c>
      <c r="B1716" s="372" t="s">
        <v>4145</v>
      </c>
      <c r="C1716" s="372" t="s">
        <v>4146</v>
      </c>
      <c r="D1716" s="372" t="s">
        <v>4147</v>
      </c>
      <c r="E1716" s="373" t="s">
        <v>4148</v>
      </c>
      <c r="F1716" s="374" t="s">
        <v>4149</v>
      </c>
      <c r="G1716">
        <f>IF(getRGB1($C1716)="FFFFFF",0,1)+IF(getRGB1($D1716)="FFFFFF",0,2)+IF(getRGB1($E1716)="FFFFFF",0,3)+IF(getRGB1($F1716)="FFFFFF",0,4)</f>
        <v>3</v>
      </c>
    </row>
    <row r="1717" spans="1:7" ht="39">
      <c r="A1717" t="s">
        <v>6679</v>
      </c>
      <c r="B1717" s="372" t="s">
        <v>4150</v>
      </c>
      <c r="C1717" s="372" t="s">
        <v>76</v>
      </c>
      <c r="D1717" s="372" t="s">
        <v>137</v>
      </c>
      <c r="E1717" s="373" t="s">
        <v>179</v>
      </c>
      <c r="F1717" s="374" t="s">
        <v>3708</v>
      </c>
      <c r="G1717">
        <f>IF(getRGB1($C1717)="FFFFFF",0,1)+IF(getRGB1($D1717)="FFFFFF",0,2)+IF(getRGB1($E1717)="FFFFFF",0,3)+IF(getRGB1($F1717)="FFFFFF",0,4)</f>
        <v>3</v>
      </c>
    </row>
    <row r="1718" spans="1:7" ht="39">
      <c r="A1718" t="s">
        <v>6679</v>
      </c>
      <c r="B1718" s="372" t="s">
        <v>4151</v>
      </c>
      <c r="C1718" s="372" t="s">
        <v>4152</v>
      </c>
      <c r="D1718" s="373" t="s">
        <v>4153</v>
      </c>
      <c r="E1718" s="372" t="s">
        <v>4154</v>
      </c>
      <c r="F1718" s="374" t="s">
        <v>4155</v>
      </c>
      <c r="G1718">
        <f>IF(getRGB1($C1718)="FFFFFF",0,1)+IF(getRGB1($D1718)="FFFFFF",0,2)+IF(getRGB1($E1718)="FFFFFF",0,3)+IF(getRGB1($F1718)="FFFFFF",0,4)</f>
        <v>2</v>
      </c>
    </row>
    <row r="1719" spans="1:7" ht="26.25">
      <c r="A1719" t="s">
        <v>6679</v>
      </c>
      <c r="B1719" s="372" t="s">
        <v>4156</v>
      </c>
      <c r="C1719" s="372" t="s">
        <v>3710</v>
      </c>
      <c r="D1719" s="373" t="s">
        <v>8</v>
      </c>
      <c r="E1719" s="372" t="s">
        <v>1599</v>
      </c>
      <c r="F1719" s="374" t="s">
        <v>1289</v>
      </c>
      <c r="G1719">
        <f>IF(getRGB1($C1719)="FFFFFF",0,1)+IF(getRGB1($D1719)="FFFFFF",0,2)+IF(getRGB1($E1719)="FFFFFF",0,3)+IF(getRGB1($F1719)="FFFFFF",0,4)</f>
        <v>2</v>
      </c>
    </row>
    <row r="1720" spans="1:7" ht="51.75">
      <c r="A1720" t="s">
        <v>6679</v>
      </c>
      <c r="B1720" s="372" t="s">
        <v>4157</v>
      </c>
      <c r="C1720" s="372" t="s">
        <v>3712</v>
      </c>
      <c r="D1720" s="373" t="s">
        <v>3713</v>
      </c>
      <c r="E1720" s="372" t="s">
        <v>3714</v>
      </c>
      <c r="F1720" s="374" t="s">
        <v>3715</v>
      </c>
      <c r="G1720">
        <f>IF(getRGB1($C1720)="FFFFFF",0,1)+IF(getRGB1($D1720)="FFFFFF",0,2)+IF(getRGB1($E1720)="FFFFFF",0,3)+IF(getRGB1($F1720)="FFFFFF",0,4)</f>
        <v>2</v>
      </c>
    </row>
    <row r="1721" spans="1:7" ht="26.25">
      <c r="A1721" t="s">
        <v>6679</v>
      </c>
      <c r="B1721" s="372" t="s">
        <v>4158</v>
      </c>
      <c r="C1721" s="373" t="s">
        <v>4159</v>
      </c>
      <c r="D1721" s="372" t="s">
        <v>4160</v>
      </c>
      <c r="E1721" s="372" t="s">
        <v>4161</v>
      </c>
      <c r="F1721" s="374" t="s">
        <v>4162</v>
      </c>
      <c r="G1721">
        <f>IF(getRGB1($C1721)="FFFFFF",0,1)+IF(getRGB1($D1721)="FFFFFF",0,2)+IF(getRGB1($E1721)="FFFFFF",0,3)+IF(getRGB1($F1721)="FFFFFF",0,4)</f>
        <v>1</v>
      </c>
    </row>
    <row r="1722" spans="1:7" ht="30">
      <c r="A1722" t="s">
        <v>6679</v>
      </c>
      <c r="B1722" s="376" t="s">
        <v>5444</v>
      </c>
      <c r="C1722" s="377" t="s">
        <v>5445</v>
      </c>
      <c r="D1722" s="378" t="s">
        <v>5446</v>
      </c>
      <c r="E1722" s="378" t="s">
        <v>5447</v>
      </c>
      <c r="F1722" s="378" t="s">
        <v>468</v>
      </c>
      <c r="G1722">
        <f>IF(getRGB1($C1722)="FFFFFF",0,1)+IF(getRGB1($D1722)="FFFFFF",0,2)+IF(getRGB1($E1722)="FFFFFF",0,3)+IF(getRGB1($F1722)="FFFFFF",0,4)</f>
        <v>1</v>
      </c>
    </row>
    <row r="1723" spans="1:7">
      <c r="A1723" t="s">
        <v>6679</v>
      </c>
      <c r="B1723" s="379" t="s">
        <v>5448</v>
      </c>
      <c r="C1723" s="380" t="s">
        <v>5449</v>
      </c>
      <c r="D1723" s="380" t="s">
        <v>5450</v>
      </c>
      <c r="E1723" s="377" t="s">
        <v>5447</v>
      </c>
      <c r="F1723" s="378" t="s">
        <v>468</v>
      </c>
      <c r="G1723">
        <f>IF(getRGB1($C1723)="FFFFFF",0,1)+IF(getRGB1($D1723)="FFFFFF",0,2)+IF(getRGB1($E1723)="FFFFFF",0,3)+IF(getRGB1($F1723)="FFFFFF",0,4)</f>
        <v>3</v>
      </c>
    </row>
    <row r="1724" spans="1:7" ht="30">
      <c r="A1724" t="s">
        <v>6679</v>
      </c>
      <c r="B1724" s="381" t="s">
        <v>5451</v>
      </c>
      <c r="C1724" s="208" t="s">
        <v>5452</v>
      </c>
      <c r="D1724" s="382" t="s">
        <v>5453</v>
      </c>
      <c r="E1724" s="380" t="s">
        <v>5454</v>
      </c>
      <c r="F1724" s="380" t="s">
        <v>5455</v>
      </c>
      <c r="G1724">
        <f>IF(getRGB1($C1724)="FFFFFF",0,1)+IF(getRGB1($D1724)="FFFFFF",0,2)+IF(getRGB1($E1724)="FFFFFF",0,3)+IF(getRGB1($F1724)="FFFFFF",0,4)</f>
        <v>2</v>
      </c>
    </row>
    <row r="1725" spans="1:7" ht="30">
      <c r="A1725" t="s">
        <v>6679</v>
      </c>
      <c r="B1725" s="383" t="s">
        <v>5456</v>
      </c>
      <c r="C1725" s="382">
        <v>19975</v>
      </c>
      <c r="D1725" s="208">
        <v>20000</v>
      </c>
      <c r="E1725" s="380">
        <v>16550</v>
      </c>
      <c r="F1725" s="380">
        <v>21667</v>
      </c>
      <c r="G1725">
        <f>IF(getRGB1($C1725)="FFFFFF",0,1)+IF(getRGB1($D1725)="FFFFFF",0,2)+IF(getRGB1($E1725)="FFFFFF",0,3)+IF(getRGB1($F1725)="FFFFFF",0,4)</f>
        <v>1</v>
      </c>
    </row>
    <row r="1726" spans="1:7">
      <c r="A1726" t="s">
        <v>6679</v>
      </c>
      <c r="B1726" s="384" t="s">
        <v>5457</v>
      </c>
      <c r="C1726" s="385">
        <v>18500</v>
      </c>
      <c r="D1726" s="380">
        <v>16000</v>
      </c>
      <c r="E1726" s="208">
        <v>16500</v>
      </c>
      <c r="F1726" s="380">
        <v>17000</v>
      </c>
      <c r="G1726">
        <f>IF(getRGB1($C1726)="FFFFFF",0,1)+IF(getRGB1($D1726)="FFFFFF",0,2)+IF(getRGB1($E1726)="FFFFFF",0,3)+IF(getRGB1($F1726)="FFFFFF",0,4)</f>
        <v>1</v>
      </c>
    </row>
    <row r="1727" spans="1:7">
      <c r="A1727" t="s">
        <v>6679</v>
      </c>
      <c r="B1727" s="384" t="s">
        <v>5458</v>
      </c>
      <c r="C1727" s="380">
        <v>30000</v>
      </c>
      <c r="D1727" s="386">
        <v>30500</v>
      </c>
      <c r="E1727" s="380">
        <v>31000</v>
      </c>
      <c r="F1727" s="380">
        <v>31500</v>
      </c>
      <c r="G1727">
        <f>IF(getRGB1($C1727)="FFFFFF",0,1)+IF(getRGB1($D1727)="FFFFFF",0,2)+IF(getRGB1($E1727)="FFFFFF",0,3)+IF(getRGB1($F1727)="FFFFFF",0,4)</f>
        <v>2</v>
      </c>
    </row>
    <row r="1728" spans="1:7" ht="30">
      <c r="A1728" t="s">
        <v>6679</v>
      </c>
      <c r="B1728" s="383" t="s">
        <v>5459</v>
      </c>
      <c r="C1728" s="380" t="s">
        <v>5460</v>
      </c>
      <c r="D1728" s="386" t="s">
        <v>5461</v>
      </c>
      <c r="E1728" s="380" t="s">
        <v>5462</v>
      </c>
      <c r="F1728" s="380" t="s">
        <v>5463</v>
      </c>
      <c r="G1728">
        <f>IF(getRGB1($C1728)="FFFFFF",0,1)+IF(getRGB1($D1728)="FFFFFF",0,2)+IF(getRGB1($E1728)="FFFFFF",0,3)+IF(getRGB1($F1728)="FFFFFF",0,4)</f>
        <v>2</v>
      </c>
    </row>
    <row r="1729" spans="1:7" ht="30">
      <c r="A1729" t="s">
        <v>6679</v>
      </c>
      <c r="B1729" s="387" t="s">
        <v>5464</v>
      </c>
      <c r="C1729" s="382" t="s">
        <v>5465</v>
      </c>
      <c r="D1729" s="380" t="s">
        <v>5466</v>
      </c>
      <c r="E1729" s="208" t="s">
        <v>5447</v>
      </c>
      <c r="F1729" s="378" t="s">
        <v>468</v>
      </c>
      <c r="G1729">
        <f>IF(getRGB1($C1729)="FFFFFF",0,1)+IF(getRGB1($D1729)="FFFFFF",0,2)+IF(getRGB1($E1729)="FFFFFF",0,3)+IF(getRGB1($F1729)="FFFFFF",0,4)</f>
        <v>1</v>
      </c>
    </row>
    <row r="1730" spans="1:7">
      <c r="A1730" t="s">
        <v>6679</v>
      </c>
      <c r="B1730" s="388" t="s">
        <v>5467</v>
      </c>
      <c r="C1730" s="389" t="s">
        <v>5468</v>
      </c>
      <c r="D1730" s="390" t="s">
        <v>5469</v>
      </c>
      <c r="E1730" s="391" t="s">
        <v>5447</v>
      </c>
      <c r="F1730" s="378" t="s">
        <v>468</v>
      </c>
      <c r="G1730">
        <f>IF(getRGB1($C1730)="FFFFFF",0,1)+IF(getRGB1($D1730)="FFFFFF",0,2)+IF(getRGB1($E1730)="FFFFFF",0,3)+IF(getRGB1($F1730)="FFFFFF",0,4)</f>
        <v>3</v>
      </c>
    </row>
    <row r="1731" spans="1:7" ht="30">
      <c r="A1731" t="s">
        <v>6679</v>
      </c>
      <c r="B1731" s="392" t="s">
        <v>5470</v>
      </c>
      <c r="C1731" s="393" t="s">
        <v>5471</v>
      </c>
      <c r="D1731" s="393" t="s">
        <v>5472</v>
      </c>
      <c r="E1731" s="393" t="s">
        <v>5473</v>
      </c>
      <c r="F1731" s="382" t="s">
        <v>3313</v>
      </c>
      <c r="G1731">
        <f>IF(getRGB1($C1731)="FFFFFF",0,1)+IF(getRGB1($D1731)="FFFFFF",0,2)+IF(getRGB1($E1731)="FFFFFF",0,3)+IF(getRGB1($F1731)="FFFFFF",0,4)</f>
        <v>4</v>
      </c>
    </row>
    <row r="1732" spans="1:7" ht="30">
      <c r="A1732" t="s">
        <v>6679</v>
      </c>
      <c r="B1732" s="394" t="s">
        <v>5474</v>
      </c>
      <c r="C1732" s="380">
        <v>5</v>
      </c>
      <c r="D1732" s="382">
        <v>15</v>
      </c>
      <c r="E1732" s="380">
        <v>25</v>
      </c>
      <c r="F1732" s="380">
        <v>30</v>
      </c>
      <c r="G1732">
        <f>IF(getRGB1($C1732)="FFFFFF",0,1)+IF(getRGB1($D1732)="FFFFFF",0,2)+IF(getRGB1($E1732)="FFFFFF",0,3)+IF(getRGB1($F1732)="FFFFFF",0,4)</f>
        <v>2</v>
      </c>
    </row>
    <row r="1733" spans="1:7" ht="30">
      <c r="A1733" t="s">
        <v>6679</v>
      </c>
      <c r="B1733" s="394" t="s">
        <v>5475</v>
      </c>
      <c r="C1733" s="380">
        <v>5</v>
      </c>
      <c r="D1733" s="380">
        <v>25</v>
      </c>
      <c r="E1733" s="380">
        <v>30</v>
      </c>
      <c r="F1733" s="382">
        <v>30</v>
      </c>
      <c r="G1733">
        <f>IF(getRGB1($C1733)="FFFFFF",0,1)+IF(getRGB1($D1733)="FFFFFF",0,2)+IF(getRGB1($E1733)="FFFFFF",0,3)+IF(getRGB1($F1733)="FFFFFF",0,4)</f>
        <v>4</v>
      </c>
    </row>
    <row r="1734" spans="1:7" ht="30">
      <c r="A1734" t="s">
        <v>6679</v>
      </c>
      <c r="B1734" s="394" t="s">
        <v>5476</v>
      </c>
      <c r="C1734" s="380">
        <v>10</v>
      </c>
      <c r="D1734" s="382">
        <v>15</v>
      </c>
      <c r="E1734" s="380">
        <v>20</v>
      </c>
      <c r="F1734" s="380">
        <v>25</v>
      </c>
      <c r="G1734">
        <f>IF(getRGB1($C1734)="FFFFFF",0,1)+IF(getRGB1($D1734)="FFFFFF",0,2)+IF(getRGB1($E1734)="FFFFFF",0,3)+IF(getRGB1($F1734)="FFFFFF",0,4)</f>
        <v>2</v>
      </c>
    </row>
    <row r="1735" spans="1:7">
      <c r="A1735" t="s">
        <v>6679</v>
      </c>
      <c r="B1735" s="381" t="s">
        <v>5477</v>
      </c>
      <c r="C1735" s="380" t="s">
        <v>5478</v>
      </c>
      <c r="D1735" s="382" t="s">
        <v>5479</v>
      </c>
      <c r="E1735" s="378" t="s">
        <v>5447</v>
      </c>
      <c r="F1735" s="378" t="s">
        <v>468</v>
      </c>
      <c r="G1735">
        <f>IF(getRGB1($C1735)="FFFFFF",0,1)+IF(getRGB1($D1735)="FFFFFF",0,2)+IF(getRGB1($E1735)="FFFFFF",0,3)+IF(getRGB1($F1735)="FFFFFF",0,4)</f>
        <v>2</v>
      </c>
    </row>
    <row r="1736" spans="1:7" ht="30">
      <c r="A1736" t="s">
        <v>6679</v>
      </c>
      <c r="B1736" s="394" t="s">
        <v>5480</v>
      </c>
      <c r="C1736" s="382">
        <v>2000</v>
      </c>
      <c r="D1736" s="380">
        <v>3000</v>
      </c>
      <c r="E1736" s="380">
        <v>4000</v>
      </c>
      <c r="F1736" s="380">
        <v>5000</v>
      </c>
      <c r="G1736">
        <f>IF(getRGB1($C1736)="FFFFFF",0,1)+IF(getRGB1($D1736)="FFFFFF",0,2)+IF(getRGB1($E1736)="FFFFFF",0,3)+IF(getRGB1($F1736)="FFFFFF",0,4)</f>
        <v>1</v>
      </c>
    </row>
    <row r="1737" spans="1:7" ht="30">
      <c r="A1737" t="s">
        <v>6679</v>
      </c>
      <c r="B1737" s="394" t="s">
        <v>5481</v>
      </c>
      <c r="C1737" s="382" t="s">
        <v>5482</v>
      </c>
      <c r="D1737" s="380" t="s">
        <v>5483</v>
      </c>
      <c r="E1737" s="380" t="s">
        <v>5484</v>
      </c>
      <c r="F1737" s="380" t="s">
        <v>5485</v>
      </c>
      <c r="G1737">
        <f>IF(getRGB1($C1737)="FFFFFF",0,1)+IF(getRGB1($D1737)="FFFFFF",0,2)+IF(getRGB1($E1737)="FFFFFF",0,3)+IF(getRGB1($F1737)="FFFFFF",0,4)</f>
        <v>1</v>
      </c>
    </row>
    <row r="1738" spans="1:7" ht="30">
      <c r="A1738" t="s">
        <v>6679</v>
      </c>
      <c r="B1738" s="394" t="s">
        <v>5486</v>
      </c>
      <c r="C1738" s="382" t="s">
        <v>5487</v>
      </c>
      <c r="D1738" s="380" t="s">
        <v>5488</v>
      </c>
      <c r="E1738" s="380" t="s">
        <v>5489</v>
      </c>
      <c r="F1738" s="380" t="s">
        <v>209</v>
      </c>
      <c r="G1738">
        <f>IF(getRGB1($C1738)="FFFFFF",0,1)+IF(getRGB1($D1738)="FFFFFF",0,2)+IF(getRGB1($E1738)="FFFFFF",0,3)+IF(getRGB1($F1738)="FFFFFF",0,4)</f>
        <v>1</v>
      </c>
    </row>
    <row r="1739" spans="1:7" ht="30">
      <c r="A1739" t="s">
        <v>6679</v>
      </c>
      <c r="B1739" s="394" t="s">
        <v>5490</v>
      </c>
      <c r="C1739" s="395" t="b">
        <v>1</v>
      </c>
      <c r="D1739" s="390" t="b">
        <v>0</v>
      </c>
      <c r="E1739" s="390"/>
      <c r="F1739" s="380"/>
      <c r="G1739">
        <f>IF(getRGB1($C1739)="FFFFFF",0,1)+IF(getRGB1($D1739)="FFFFFF",0,2)+IF(getRGB1($E1739)="FFFFFF",0,3)+IF(getRGB1($F1739)="FFFFFF",0,4)</f>
        <v>1</v>
      </c>
    </row>
    <row r="1740" spans="1:7" ht="90">
      <c r="A1740" t="s">
        <v>6679</v>
      </c>
      <c r="B1740" s="383" t="s">
        <v>5491</v>
      </c>
      <c r="C1740" s="383" t="s">
        <v>5492</v>
      </c>
      <c r="D1740" s="383" t="s">
        <v>5493</v>
      </c>
      <c r="E1740" s="383" t="s">
        <v>5494</v>
      </c>
      <c r="F1740" s="382" t="s">
        <v>3313</v>
      </c>
      <c r="G1740">
        <f>IF(getRGB1($C1740)="FFFFFF",0,1)+IF(getRGB1($D1740)="FFFFFF",0,2)+IF(getRGB1($E1740)="FFFFFF",0,3)+IF(getRGB1($F1740)="FFFFFF",0,4)</f>
        <v>4</v>
      </c>
    </row>
    <row r="1741" spans="1:7" ht="15.75">
      <c r="A1741" t="s">
        <v>6679</v>
      </c>
      <c r="B1741" s="396" t="s">
        <v>5495</v>
      </c>
      <c r="C1741" s="380">
        <v>10</v>
      </c>
      <c r="D1741" s="382">
        <v>15</v>
      </c>
      <c r="E1741" s="380">
        <v>20</v>
      </c>
      <c r="F1741" s="380">
        <v>25</v>
      </c>
      <c r="G1741">
        <f>IF(getRGB1($C1741)="FFFFFF",0,1)+IF(getRGB1($D1741)="FFFFFF",0,2)+IF(getRGB1($E1741)="FFFFFF",0,3)+IF(getRGB1($F1741)="FFFFFF",0,4)</f>
        <v>2</v>
      </c>
    </row>
    <row r="1742" spans="1:7">
      <c r="A1742" t="s">
        <v>6679</v>
      </c>
      <c r="B1742" s="394" t="s">
        <v>5496</v>
      </c>
      <c r="C1742" s="380">
        <v>159</v>
      </c>
      <c r="D1742" s="380">
        <v>167</v>
      </c>
      <c r="E1742" s="382">
        <v>182</v>
      </c>
      <c r="F1742" s="380">
        <v>198</v>
      </c>
      <c r="G1742">
        <f>IF(getRGB1($C1742)="FFFFFF",0,1)+IF(getRGB1($D1742)="FFFFFF",0,2)+IF(getRGB1($E1742)="FFFFFF",0,3)+IF(getRGB1($F1742)="FFFFFF",0,4)</f>
        <v>3</v>
      </c>
    </row>
    <row r="1743" spans="1:7" ht="30">
      <c r="A1743" t="s">
        <v>6679</v>
      </c>
      <c r="B1743" s="394" t="s">
        <v>5497</v>
      </c>
      <c r="C1743" s="395" t="b">
        <v>1</v>
      </c>
      <c r="D1743" s="390" t="b">
        <v>0</v>
      </c>
      <c r="E1743" s="390"/>
      <c r="F1743" s="380"/>
      <c r="G1743">
        <f>IF(getRGB1($C1743)="FFFFFF",0,1)+IF(getRGB1($D1743)="FFFFFF",0,2)+IF(getRGB1($E1743)="FFFFFF",0,3)+IF(getRGB1($F1743)="FFFFFF",0,4)</f>
        <v>1</v>
      </c>
    </row>
    <row r="1744" spans="1:7" ht="30">
      <c r="A1744" t="s">
        <v>6679</v>
      </c>
      <c r="B1744" s="381" t="s">
        <v>5498</v>
      </c>
      <c r="C1744" s="383" t="s">
        <v>5499</v>
      </c>
      <c r="D1744" s="383" t="s">
        <v>5500</v>
      </c>
      <c r="E1744" s="383" t="s">
        <v>5501</v>
      </c>
      <c r="F1744" s="382" t="s">
        <v>3313</v>
      </c>
      <c r="G1744">
        <f>IF(getRGB1($C1744)="FFFFFF",0,1)+IF(getRGB1($D1744)="FFFFFF",0,2)+IF(getRGB1($E1744)="FFFFFF",0,3)+IF(getRGB1($F1744)="FFFFFF",0,4)</f>
        <v>4</v>
      </c>
    </row>
    <row r="1745" spans="1:7" ht="30">
      <c r="A1745" t="s">
        <v>6679</v>
      </c>
      <c r="B1745" s="394" t="s">
        <v>5502</v>
      </c>
      <c r="C1745" s="397" t="s">
        <v>5503</v>
      </c>
      <c r="D1745" s="394" t="s">
        <v>5504</v>
      </c>
      <c r="E1745" s="377" t="s">
        <v>5447</v>
      </c>
      <c r="F1745" s="378" t="s">
        <v>468</v>
      </c>
      <c r="G1745">
        <f>IF(getRGB1($C1745)="FFFFFF",0,1)+IF(getRGB1($D1745)="FFFFFF",0,2)+IF(getRGB1($E1745)="FFFFFF",0,3)+IF(getRGB1($F1745)="FFFFFF",0,4)</f>
        <v>3</v>
      </c>
    </row>
    <row r="1746" spans="1:7" ht="30">
      <c r="A1746" t="s">
        <v>6679</v>
      </c>
      <c r="B1746" s="394" t="s">
        <v>5505</v>
      </c>
      <c r="C1746" s="385" t="s">
        <v>5506</v>
      </c>
      <c r="D1746" s="380" t="s">
        <v>5507</v>
      </c>
      <c r="E1746" s="380" t="s">
        <v>5508</v>
      </c>
      <c r="F1746" s="380" t="s">
        <v>5509</v>
      </c>
      <c r="G1746">
        <f>IF(getRGB1($C1746)="FFFFFF",0,1)+IF(getRGB1($D1746)="FFFFFF",0,2)+IF(getRGB1($E1746)="FFFFFF",0,3)+IF(getRGB1($F1746)="FFFFFF",0,4)</f>
        <v>1</v>
      </c>
    </row>
    <row r="1747" spans="1:7" ht="45">
      <c r="A1747" t="s">
        <v>6679</v>
      </c>
      <c r="B1747" s="394" t="s">
        <v>5510</v>
      </c>
      <c r="C1747" s="382" t="s">
        <v>5511</v>
      </c>
      <c r="D1747" s="380" t="s">
        <v>5512</v>
      </c>
      <c r="E1747" s="380" t="s">
        <v>5513</v>
      </c>
      <c r="F1747" s="380" t="s">
        <v>5514</v>
      </c>
      <c r="G1747">
        <f>IF(getRGB1($C1747)="FFFFFF",0,1)+IF(getRGB1($D1747)="FFFFFF",0,2)+IF(getRGB1($E1747)="FFFFFF",0,3)+IF(getRGB1($F1747)="FFFFFF",0,4)</f>
        <v>1</v>
      </c>
    </row>
    <row r="1748" spans="1:7">
      <c r="A1748" t="s">
        <v>6679</v>
      </c>
      <c r="B1748" s="394" t="s">
        <v>5515</v>
      </c>
      <c r="C1748" s="382" t="s">
        <v>5516</v>
      </c>
      <c r="D1748" s="380" t="s">
        <v>5517</v>
      </c>
      <c r="E1748" s="380" t="s">
        <v>5518</v>
      </c>
      <c r="F1748" s="380" t="s">
        <v>5519</v>
      </c>
      <c r="G1748">
        <f>IF(getRGB1($C1748)="FFFFFF",0,1)+IF(getRGB1($D1748)="FFFFFF",0,2)+IF(getRGB1($E1748)="FFFFFF",0,3)+IF(getRGB1($F1748)="FFFFFF",0,4)</f>
        <v>1</v>
      </c>
    </row>
    <row r="1749" spans="1:7" ht="30">
      <c r="A1749" t="s">
        <v>6679</v>
      </c>
      <c r="B1749" s="394" t="s">
        <v>5520</v>
      </c>
      <c r="C1749" s="380">
        <v>107000</v>
      </c>
      <c r="D1749" s="398">
        <v>109000</v>
      </c>
      <c r="E1749" s="380">
        <v>110000</v>
      </c>
      <c r="F1749" s="380">
        <v>130000</v>
      </c>
      <c r="G1749">
        <f>IF(getRGB1($C1749)="FFFFFF",0,1)+IF(getRGB1($D1749)="FFFFFF",0,2)+IF(getRGB1($E1749)="FFFFFF",0,3)+IF(getRGB1($F1749)="FFFFFF",0,4)</f>
        <v>2</v>
      </c>
    </row>
    <row r="1750" spans="1:7" ht="30">
      <c r="A1750" t="s">
        <v>6679</v>
      </c>
      <c r="B1750" s="394" t="s">
        <v>5521</v>
      </c>
      <c r="C1750" s="399">
        <v>260000</v>
      </c>
      <c r="D1750" s="385">
        <v>270000</v>
      </c>
      <c r="E1750" s="380">
        <v>280000</v>
      </c>
      <c r="F1750" s="380">
        <v>290000</v>
      </c>
      <c r="G1750">
        <f>IF(getRGB1($C1750)="FFFFFF",0,1)+IF(getRGB1($D1750)="FFFFFF",0,2)+IF(getRGB1($E1750)="FFFFFF",0,3)+IF(getRGB1($F1750)="FFFFFF",0,4)</f>
        <v>2</v>
      </c>
    </row>
    <row r="1751" spans="1:7" ht="30">
      <c r="A1751" t="s">
        <v>6679</v>
      </c>
      <c r="B1751" s="394" t="s">
        <v>5522</v>
      </c>
      <c r="C1751" s="380">
        <v>9000</v>
      </c>
      <c r="D1751" s="380">
        <v>11000</v>
      </c>
      <c r="E1751" s="385">
        <v>13000</v>
      </c>
      <c r="F1751" s="380">
        <v>15000</v>
      </c>
      <c r="G1751">
        <f>IF(getRGB1($C1751)="FFFFFF",0,1)+IF(getRGB1($D1751)="FFFFFF",0,2)+IF(getRGB1($E1751)="FFFFFF",0,3)+IF(getRGB1($F1751)="FFFFFF",0,4)</f>
        <v>3</v>
      </c>
    </row>
    <row r="1752" spans="1:7" ht="30">
      <c r="A1752" t="s">
        <v>6679</v>
      </c>
      <c r="B1752" s="394" t="s">
        <v>5523</v>
      </c>
      <c r="C1752" s="385">
        <v>180000</v>
      </c>
      <c r="D1752" s="380">
        <v>170000</v>
      </c>
      <c r="E1752" s="380">
        <v>190000</v>
      </c>
      <c r="F1752" s="380">
        <v>195000</v>
      </c>
      <c r="G1752">
        <f>IF(getRGB1($C1752)="FFFFFF",0,1)+IF(getRGB1($D1752)="FFFFFF",0,2)+IF(getRGB1($E1752)="FFFFFF",0,3)+IF(getRGB1($F1752)="FFFFFF",0,4)</f>
        <v>1</v>
      </c>
    </row>
    <row r="1753" spans="1:7" ht="30">
      <c r="A1753" t="s">
        <v>6679</v>
      </c>
      <c r="B1753" s="394" t="s">
        <v>5524</v>
      </c>
      <c r="C1753" s="380">
        <v>90000</v>
      </c>
      <c r="D1753" s="382">
        <v>100000</v>
      </c>
      <c r="E1753" s="380">
        <v>11000</v>
      </c>
      <c r="F1753" s="380">
        <v>12000</v>
      </c>
      <c r="G1753">
        <f>IF(getRGB1($C1753)="FFFFFF",0,1)+IF(getRGB1($D1753)="FFFFFF",0,2)+IF(getRGB1($E1753)="FFFFFF",0,3)+IF(getRGB1($F1753)="FFFFFF",0,4)</f>
        <v>2</v>
      </c>
    </row>
    <row r="1754" spans="1:7" ht="30">
      <c r="A1754" t="s">
        <v>6679</v>
      </c>
      <c r="B1754" s="394" t="s">
        <v>5525</v>
      </c>
      <c r="C1754" s="380">
        <v>45000</v>
      </c>
      <c r="D1754" s="382">
        <v>55000</v>
      </c>
      <c r="E1754" s="380">
        <v>65000</v>
      </c>
      <c r="F1754" s="380">
        <v>75000</v>
      </c>
      <c r="G1754">
        <f>IF(getRGB1($C1754)="FFFFFF",0,1)+IF(getRGB1($D1754)="FFFFFF",0,2)+IF(getRGB1($E1754)="FFFFFF",0,3)+IF(getRGB1($F1754)="FFFFFF",0,4)</f>
        <v>2</v>
      </c>
    </row>
    <row r="1755" spans="1:7" ht="30">
      <c r="A1755" t="s">
        <v>6679</v>
      </c>
      <c r="B1755" s="394" t="s">
        <v>5526</v>
      </c>
      <c r="C1755" s="382">
        <v>25000</v>
      </c>
      <c r="D1755" s="380">
        <v>30000</v>
      </c>
      <c r="E1755" s="380">
        <v>35000</v>
      </c>
      <c r="F1755" s="380">
        <v>40000</v>
      </c>
      <c r="G1755">
        <f>IF(getRGB1($C1755)="FFFFFF",0,1)+IF(getRGB1($D1755)="FFFFFF",0,2)+IF(getRGB1($E1755)="FFFFFF",0,3)+IF(getRGB1($F1755)="FFFFFF",0,4)</f>
        <v>1</v>
      </c>
    </row>
    <row r="1756" spans="1:7">
      <c r="A1756" t="s">
        <v>6679</v>
      </c>
      <c r="B1756" s="381" t="s">
        <v>5527</v>
      </c>
      <c r="C1756" s="382">
        <v>130000</v>
      </c>
      <c r="D1756" s="380">
        <v>140000</v>
      </c>
      <c r="E1756" s="380">
        <v>150000</v>
      </c>
      <c r="F1756" s="380">
        <v>160000</v>
      </c>
      <c r="G1756">
        <f>IF(getRGB1($C1756)="FFFFFF",0,1)+IF(getRGB1($D1756)="FFFFFF",0,2)+IF(getRGB1($E1756)="FFFFFF",0,3)+IF(getRGB1($F1756)="FFFFFF",0,4)</f>
        <v>1</v>
      </c>
    </row>
    <row r="1757" spans="1:7">
      <c r="A1757" t="s">
        <v>6679</v>
      </c>
      <c r="B1757" s="381" t="s">
        <v>5528</v>
      </c>
      <c r="C1757" s="380">
        <v>290000</v>
      </c>
      <c r="D1757" s="382">
        <v>300000</v>
      </c>
      <c r="E1757" s="380">
        <v>310000</v>
      </c>
      <c r="F1757" s="380">
        <v>320000</v>
      </c>
      <c r="G1757">
        <f>IF(getRGB1($C1757)="FFFFFF",0,1)+IF(getRGB1($D1757)="FFFFFF",0,2)+IF(getRGB1($E1757)="FFFFFF",0,3)+IF(getRGB1($F1757)="FFFFFF",0,4)</f>
        <v>2</v>
      </c>
    </row>
    <row r="1758" spans="1:7" ht="30">
      <c r="A1758" t="s">
        <v>6679</v>
      </c>
      <c r="B1758" s="381" t="s">
        <v>5529</v>
      </c>
      <c r="C1758" s="380">
        <v>180000</v>
      </c>
      <c r="D1758" s="380">
        <v>190000</v>
      </c>
      <c r="E1758" s="382">
        <v>200000</v>
      </c>
      <c r="F1758" s="380">
        <v>210000</v>
      </c>
      <c r="G1758">
        <f>IF(getRGB1($C1758)="FFFFFF",0,1)+IF(getRGB1($D1758)="FFFFFF",0,2)+IF(getRGB1($E1758)="FFFFFF",0,3)+IF(getRGB1($F1758)="FFFFFF",0,4)</f>
        <v>3</v>
      </c>
    </row>
    <row r="1759" spans="1:7" ht="30">
      <c r="A1759" t="s">
        <v>6679</v>
      </c>
      <c r="B1759" s="383" t="s">
        <v>5530</v>
      </c>
      <c r="C1759" s="400" t="s">
        <v>5531</v>
      </c>
      <c r="D1759" s="401" t="s">
        <v>5532</v>
      </c>
      <c r="E1759" s="401" t="s">
        <v>5533</v>
      </c>
      <c r="F1759" s="382" t="s">
        <v>3313</v>
      </c>
      <c r="G1759">
        <f>IF(getRGB1($C1759)="FFFFFF",0,1)+IF(getRGB1($D1759)="FFFFFF",0,2)+IF(getRGB1($E1759)="FFFFFF",0,3)+IF(getRGB1($F1759)="FFFFFF",0,4)</f>
        <v>4</v>
      </c>
    </row>
    <row r="1760" spans="1:7">
      <c r="A1760" t="s">
        <v>6679</v>
      </c>
      <c r="B1760" s="381" t="s">
        <v>5534</v>
      </c>
      <c r="C1760" s="402">
        <v>39448</v>
      </c>
      <c r="D1760" s="403">
        <v>39479</v>
      </c>
      <c r="E1760" s="402">
        <v>39508</v>
      </c>
      <c r="F1760" s="402">
        <v>39539</v>
      </c>
      <c r="G1760">
        <f>IF(getRGB1($C1760)="FFFFFF",0,1)+IF(getRGB1($D1760)="FFFFFF",0,2)+IF(getRGB1($E1760)="FFFFFF",0,3)+IF(getRGB1($F1760)="FFFFFF",0,4)</f>
        <v>2</v>
      </c>
    </row>
    <row r="1761" spans="1:7" ht="30">
      <c r="A1761" t="s">
        <v>6679</v>
      </c>
      <c r="B1761" s="97" t="s">
        <v>5535</v>
      </c>
      <c r="C1761" s="360" t="s">
        <v>1490</v>
      </c>
      <c r="D1761" s="359" t="s">
        <v>5536</v>
      </c>
      <c r="E1761" s="359" t="s">
        <v>1502</v>
      </c>
      <c r="F1761" s="359" t="s">
        <v>203</v>
      </c>
      <c r="G1761">
        <f>IF(getRGB1($C1761)="FFFFFF",0,1)+IF(getRGB1($D1761)="FFFFFF",0,2)+IF(getRGB1($E1761)="FFFFFF",0,3)+IF(getRGB1($F1761)="FFFFFF",0,4)</f>
        <v>1</v>
      </c>
    </row>
    <row r="1762" spans="1:7" ht="75">
      <c r="A1762" t="s">
        <v>6679</v>
      </c>
      <c r="B1762" s="97" t="s">
        <v>5537</v>
      </c>
      <c r="C1762" s="113" t="s">
        <v>5538</v>
      </c>
      <c r="D1762" s="132" t="s">
        <v>5539</v>
      </c>
      <c r="E1762" s="97" t="s">
        <v>5540</v>
      </c>
      <c r="F1762" s="97" t="s">
        <v>5541</v>
      </c>
      <c r="G1762">
        <f>IF(getRGB1($C1762)="FFFFFF",0,1)+IF(getRGB1($D1762)="FFFFFF",0,2)+IF(getRGB1($E1762)="FFFFFF",0,3)+IF(getRGB1($F1762)="FFFFFF",0,4)</f>
        <v>2</v>
      </c>
    </row>
    <row r="1763" spans="1:7" ht="30">
      <c r="A1763" t="s">
        <v>6679</v>
      </c>
      <c r="B1763" s="97" t="s">
        <v>5542</v>
      </c>
      <c r="C1763" s="113" t="s">
        <v>5543</v>
      </c>
      <c r="D1763" s="97" t="s">
        <v>5544</v>
      </c>
      <c r="E1763" s="97" t="s">
        <v>5545</v>
      </c>
      <c r="F1763" s="132" t="s">
        <v>5546</v>
      </c>
      <c r="G1763">
        <f>IF(getRGB1($C1763)="FFFFFF",0,1)+IF(getRGB1($D1763)="FFFFFF",0,2)+IF(getRGB1($E1763)="FFFFFF",0,3)+IF(getRGB1($F1763)="FFFFFF",0,4)</f>
        <v>4</v>
      </c>
    </row>
    <row r="1764" spans="1:7" ht="25.5">
      <c r="A1764" t="s">
        <v>6680</v>
      </c>
      <c r="B1764" s="269" t="s">
        <v>5547</v>
      </c>
      <c r="C1764" s="366" t="s">
        <v>5548</v>
      </c>
      <c r="D1764" s="276" t="s">
        <v>5549</v>
      </c>
      <c r="E1764" s="276" t="s">
        <v>5550</v>
      </c>
      <c r="F1764" s="276" t="s">
        <v>3313</v>
      </c>
      <c r="G1764">
        <f>IF(getRGB1($C1764)="FFFFFF",0,1)+IF(getRGB1($D1764)="FFFFFF",0,2)+IF(getRGB1($E1764)="FFFFFF",0,3)+IF(getRGB1($F1764)="FFFFFF",0,4)</f>
        <v>1</v>
      </c>
    </row>
    <row r="1765" spans="1:7" ht="51">
      <c r="A1765" t="s">
        <v>6680</v>
      </c>
      <c r="B1765" s="269" t="s">
        <v>5551</v>
      </c>
      <c r="C1765" s="366" t="s">
        <v>5552</v>
      </c>
      <c r="D1765" s="276" t="s">
        <v>5553</v>
      </c>
      <c r="E1765" s="276" t="s">
        <v>5554</v>
      </c>
      <c r="F1765" s="276" t="s">
        <v>5555</v>
      </c>
      <c r="G1765">
        <f>IF(getRGB1($C1765)="FFFFFF",0,1)+IF(getRGB1($D1765)="FFFFFF",0,2)+IF(getRGB1($E1765)="FFFFFF",0,3)+IF(getRGB1($F1765)="FFFFFF",0,4)</f>
        <v>1</v>
      </c>
    </row>
    <row r="1766" spans="1:7" ht="25.5">
      <c r="A1766" t="s">
        <v>6680</v>
      </c>
      <c r="B1766" s="269" t="s">
        <v>5556</v>
      </c>
      <c r="C1766" s="276" t="s">
        <v>5557</v>
      </c>
      <c r="D1766" s="366" t="s">
        <v>5558</v>
      </c>
      <c r="E1766" s="276" t="s">
        <v>137</v>
      </c>
      <c r="F1766" s="276"/>
      <c r="G1766">
        <f>IF(getRGB1($C1766)="FFFFFF",0,1)+IF(getRGB1($D1766)="FFFFFF",0,2)+IF(getRGB1($E1766)="FFFFFF",0,3)+IF(getRGB1($F1766)="FFFFFF",0,4)</f>
        <v>2</v>
      </c>
    </row>
    <row r="1767" spans="1:7" ht="51">
      <c r="A1767" t="s">
        <v>6680</v>
      </c>
      <c r="B1767" s="269" t="s">
        <v>5559</v>
      </c>
      <c r="C1767" s="276" t="s">
        <v>5560</v>
      </c>
      <c r="D1767" s="276" t="s">
        <v>5561</v>
      </c>
      <c r="E1767" s="276" t="s">
        <v>5562</v>
      </c>
      <c r="F1767" s="366" t="s">
        <v>5563</v>
      </c>
      <c r="G1767">
        <f>IF(getRGB1($C1767)="FFFFFF",0,1)+IF(getRGB1($D1767)="FFFFFF",0,2)+IF(getRGB1($E1767)="FFFFFF",0,3)+IF(getRGB1($F1767)="FFFFFF",0,4)</f>
        <v>4</v>
      </c>
    </row>
    <row r="1768" spans="1:7" ht="51">
      <c r="A1768" t="s">
        <v>6680</v>
      </c>
      <c r="B1768" s="269" t="s">
        <v>5564</v>
      </c>
      <c r="C1768" s="276" t="s">
        <v>5565</v>
      </c>
      <c r="D1768" s="276" t="s">
        <v>3213</v>
      </c>
      <c r="E1768" s="366" t="s">
        <v>5566</v>
      </c>
      <c r="F1768" s="276" t="s">
        <v>5567</v>
      </c>
      <c r="G1768">
        <f>IF(getRGB1($C1768)="FFFFFF",0,1)+IF(getRGB1($D1768)="FFFFFF",0,2)+IF(getRGB1($E1768)="FFFFFF",0,3)+IF(getRGB1($F1768)="FFFFFF",0,4)</f>
        <v>3</v>
      </c>
    </row>
    <row r="1769" spans="1:7">
      <c r="A1769" t="s">
        <v>6680</v>
      </c>
      <c r="B1769" s="269" t="s">
        <v>5568</v>
      </c>
      <c r="C1769" s="276" t="s">
        <v>5569</v>
      </c>
      <c r="D1769" s="276" t="s">
        <v>5570</v>
      </c>
      <c r="E1769" s="366" t="s">
        <v>5571</v>
      </c>
      <c r="F1769" s="276"/>
      <c r="G1769">
        <f>IF(getRGB1($C1769)="FFFFFF",0,1)+IF(getRGB1($D1769)="FFFFFF",0,2)+IF(getRGB1($E1769)="FFFFFF",0,3)+IF(getRGB1($F1769)="FFFFFF",0,4)</f>
        <v>3</v>
      </c>
    </row>
    <row r="1770" spans="1:7" ht="25.5">
      <c r="A1770" t="s">
        <v>6680</v>
      </c>
      <c r="B1770" s="269" t="s">
        <v>5572</v>
      </c>
      <c r="C1770" s="276" t="s">
        <v>5573</v>
      </c>
      <c r="D1770" s="276" t="s">
        <v>5574</v>
      </c>
      <c r="E1770" s="276" t="s">
        <v>5575</v>
      </c>
      <c r="F1770" s="366" t="s">
        <v>3313</v>
      </c>
      <c r="G1770">
        <f>IF(getRGB1($C1770)="FFFFFF",0,1)+IF(getRGB1($D1770)="FFFFFF",0,2)+IF(getRGB1($E1770)="FFFFFF",0,3)+IF(getRGB1($F1770)="FFFFFF",0,4)</f>
        <v>4</v>
      </c>
    </row>
    <row r="1771" spans="1:7" ht="38.25">
      <c r="A1771" t="s">
        <v>6680</v>
      </c>
      <c r="B1771" s="269" t="s">
        <v>5576</v>
      </c>
      <c r="C1771" s="366" t="s">
        <v>5577</v>
      </c>
      <c r="D1771" s="276" t="s">
        <v>5578</v>
      </c>
      <c r="E1771" s="276" t="s">
        <v>179</v>
      </c>
      <c r="F1771" s="276" t="s">
        <v>137</v>
      </c>
      <c r="G1771">
        <f>IF(getRGB1($C1771)="FFFFFF",0,1)+IF(getRGB1($D1771)="FFFFFF",0,2)+IF(getRGB1($E1771)="FFFFFF",0,3)+IF(getRGB1($F1771)="FFFFFF",0,4)</f>
        <v>1</v>
      </c>
    </row>
    <row r="1772" spans="1:7">
      <c r="A1772" t="s">
        <v>6680</v>
      </c>
      <c r="B1772" s="269" t="s">
        <v>5579</v>
      </c>
      <c r="C1772" s="276" t="s">
        <v>5557</v>
      </c>
      <c r="D1772" s="276" t="s">
        <v>5558</v>
      </c>
      <c r="E1772" s="276" t="s">
        <v>5580</v>
      </c>
      <c r="F1772" s="366" t="s">
        <v>3313</v>
      </c>
      <c r="G1772">
        <f>IF(getRGB1($C1772)="FFFFFF",0,1)+IF(getRGB1($D1772)="FFFFFF",0,2)+IF(getRGB1($E1772)="FFFFFF",0,3)+IF(getRGB1($F1772)="FFFFFF",0,4)</f>
        <v>4</v>
      </c>
    </row>
    <row r="1773" spans="1:7" ht="38.25">
      <c r="A1773" t="s">
        <v>6680</v>
      </c>
      <c r="B1773" s="269" t="s">
        <v>5581</v>
      </c>
      <c r="C1773" s="366" t="s">
        <v>5582</v>
      </c>
      <c r="D1773" s="276" t="s">
        <v>5578</v>
      </c>
      <c r="E1773" s="276" t="s">
        <v>179</v>
      </c>
      <c r="F1773" s="276" t="s">
        <v>137</v>
      </c>
      <c r="G1773">
        <f>IF(getRGB1($C1773)="FFFFFF",0,1)+IF(getRGB1($D1773)="FFFFFF",0,2)+IF(getRGB1($E1773)="FFFFFF",0,3)+IF(getRGB1($F1773)="FFFFFF",0,4)</f>
        <v>1</v>
      </c>
    </row>
    <row r="1774" spans="1:7" ht="30">
      <c r="A1774" t="s">
        <v>6680</v>
      </c>
      <c r="B1774" s="97" t="s">
        <v>5583</v>
      </c>
      <c r="C1774" s="115" t="b">
        <v>1</v>
      </c>
      <c r="D1774" s="113" t="b">
        <v>0</v>
      </c>
      <c r="E1774" s="113"/>
      <c r="F1774" s="113"/>
      <c r="G1774">
        <f>IF(getRGB1($C1774)="FFFFFF",0,1)+IF(getRGB1($D1774)="FFFFFF",0,2)+IF(getRGB1($E1774)="FFFFFF",0,3)+IF(getRGB1($F1774)="FFFFFF",0,4)</f>
        <v>1</v>
      </c>
    </row>
    <row r="1775" spans="1:7" ht="105">
      <c r="A1775" t="s">
        <v>6680</v>
      </c>
      <c r="B1775" s="97" t="s">
        <v>6649</v>
      </c>
      <c r="C1775" s="366" t="s">
        <v>5584</v>
      </c>
      <c r="D1775" s="113" t="s">
        <v>5585</v>
      </c>
      <c r="E1775" s="113" t="s">
        <v>5586</v>
      </c>
      <c r="F1775" s="113" t="s">
        <v>5587</v>
      </c>
      <c r="G1775">
        <f>IF(getRGB1($C1775)="FFFFFF",0,1)+IF(getRGB1($D1775)="FFFFFF",0,2)+IF(getRGB1($E1775)="FFFFFF",0,3)+IF(getRGB1($F1775)="FFFFFF",0,4)</f>
        <v>1</v>
      </c>
    </row>
    <row r="1776" spans="1:7" ht="30">
      <c r="A1776" t="s">
        <v>6680</v>
      </c>
      <c r="B1776" s="97" t="s">
        <v>5588</v>
      </c>
      <c r="C1776" s="366" t="s">
        <v>137</v>
      </c>
      <c r="D1776" s="113" t="s">
        <v>179</v>
      </c>
      <c r="E1776" s="113" t="s">
        <v>5589</v>
      </c>
      <c r="F1776" s="113" t="s">
        <v>5590</v>
      </c>
      <c r="G1776">
        <f>IF(getRGB1($C1776)="FFFFFF",0,1)+IF(getRGB1($D1776)="FFFFFF",0,2)+IF(getRGB1($E1776)="FFFFFF",0,3)+IF(getRGB1($F1776)="FFFFFF",0,4)</f>
        <v>1</v>
      </c>
    </row>
    <row r="1777" spans="1:7" ht="30">
      <c r="A1777" t="s">
        <v>6680</v>
      </c>
      <c r="B1777" s="97" t="s">
        <v>5591</v>
      </c>
      <c r="C1777" s="113" t="s">
        <v>137</v>
      </c>
      <c r="D1777" s="113" t="s">
        <v>179</v>
      </c>
      <c r="E1777" s="366" t="s">
        <v>5589</v>
      </c>
      <c r="F1777" s="113" t="s">
        <v>5590</v>
      </c>
      <c r="G1777">
        <f>IF(getRGB1($C1777)="FFFFFF",0,1)+IF(getRGB1($D1777)="FFFFFF",0,2)+IF(getRGB1($E1777)="FFFFFF",0,3)+IF(getRGB1($F1777)="FFFFFF",0,4)</f>
        <v>3</v>
      </c>
    </row>
    <row r="1778" spans="1:7" ht="30">
      <c r="A1778" t="s">
        <v>6680</v>
      </c>
      <c r="B1778" s="97" t="s">
        <v>5592</v>
      </c>
      <c r="C1778" s="113" t="s">
        <v>5593</v>
      </c>
      <c r="D1778" s="113" t="s">
        <v>179</v>
      </c>
      <c r="E1778" s="113" t="s">
        <v>137</v>
      </c>
      <c r="F1778" s="366" t="s">
        <v>2812</v>
      </c>
      <c r="G1778">
        <f>IF(getRGB1($C1778)="FFFFFF",0,1)+IF(getRGB1($D1778)="FFFFFF",0,2)+IF(getRGB1($E1778)="FFFFFF",0,3)+IF(getRGB1($F1778)="FFFFFF",0,4)</f>
        <v>4</v>
      </c>
    </row>
    <row r="1779" spans="1:7" ht="30">
      <c r="A1779" t="s">
        <v>6680</v>
      </c>
      <c r="B1779" s="97" t="s">
        <v>5594</v>
      </c>
      <c r="C1779" s="366" t="s">
        <v>5595</v>
      </c>
      <c r="D1779" s="113" t="s">
        <v>5596</v>
      </c>
      <c r="E1779" s="113" t="s">
        <v>5554</v>
      </c>
      <c r="F1779" s="113" t="s">
        <v>5597</v>
      </c>
      <c r="G1779">
        <f>IF(getRGB1($C1779)="FFFFFF",0,1)+IF(getRGB1($D1779)="FFFFFF",0,2)+IF(getRGB1($E1779)="FFFFFF",0,3)+IF(getRGB1($F1779)="FFFFFF",0,4)</f>
        <v>1</v>
      </c>
    </row>
    <row r="1780" spans="1:7" ht="30">
      <c r="A1780" t="s">
        <v>6680</v>
      </c>
      <c r="B1780" s="97" t="s">
        <v>5598</v>
      </c>
      <c r="C1780" s="115" t="b">
        <v>1</v>
      </c>
      <c r="D1780" s="113" t="b">
        <v>0</v>
      </c>
      <c r="E1780" s="113"/>
      <c r="F1780" s="113"/>
      <c r="G1780">
        <f>IF(getRGB1($C1780)="FFFFFF",0,1)+IF(getRGB1($D1780)="FFFFFF",0,2)+IF(getRGB1($E1780)="FFFFFF",0,3)+IF(getRGB1($F1780)="FFFFFF",0,4)</f>
        <v>1</v>
      </c>
    </row>
    <row r="1781" spans="1:7" ht="38.25">
      <c r="A1781" t="s">
        <v>6680</v>
      </c>
      <c r="B1781" s="97" t="s">
        <v>5599</v>
      </c>
      <c r="C1781" s="366" t="s">
        <v>5600</v>
      </c>
      <c r="D1781" s="276" t="s">
        <v>179</v>
      </c>
      <c r="E1781" s="276" t="s">
        <v>137</v>
      </c>
      <c r="F1781" s="113"/>
      <c r="G1781">
        <f>IF(getRGB1($C1781)="FFFFFF",0,1)+IF(getRGB1($D1781)="FFFFFF",0,2)+IF(getRGB1($E1781)="FFFFFF",0,3)+IF(getRGB1($F1781)="FFFFFF",0,4)</f>
        <v>1</v>
      </c>
    </row>
    <row r="1782" spans="1:7" ht="30">
      <c r="A1782" t="s">
        <v>6680</v>
      </c>
      <c r="B1782" s="97" t="s">
        <v>5601</v>
      </c>
      <c r="C1782" s="366" t="s">
        <v>5602</v>
      </c>
      <c r="D1782" s="113" t="s">
        <v>5603</v>
      </c>
      <c r="E1782" s="113" t="s">
        <v>5604</v>
      </c>
      <c r="F1782" s="113" t="s">
        <v>5605</v>
      </c>
      <c r="G1782">
        <f>IF(getRGB1($C1782)="FFFFFF",0,1)+IF(getRGB1($D1782)="FFFFFF",0,2)+IF(getRGB1($E1782)="FFFFFF",0,3)+IF(getRGB1($F1782)="FFFFFF",0,4)</f>
        <v>1</v>
      </c>
    </row>
    <row r="1783" spans="1:7">
      <c r="A1783" t="s">
        <v>6680</v>
      </c>
      <c r="B1783" s="97" t="s">
        <v>5606</v>
      </c>
      <c r="C1783" s="366" t="s">
        <v>5602</v>
      </c>
      <c r="D1783" s="113" t="s">
        <v>5603</v>
      </c>
      <c r="E1783" s="113" t="s">
        <v>5604</v>
      </c>
      <c r="F1783" s="113" t="s">
        <v>5605</v>
      </c>
      <c r="G1783">
        <f>IF(getRGB1($C1783)="FFFFFF",0,1)+IF(getRGB1($D1783)="FFFFFF",0,2)+IF(getRGB1($E1783)="FFFFFF",0,3)+IF(getRGB1($F1783)="FFFFFF",0,4)</f>
        <v>1</v>
      </c>
    </row>
    <row r="1784" spans="1:7" ht="30">
      <c r="A1784" t="s">
        <v>6680</v>
      </c>
      <c r="B1784" s="97" t="s">
        <v>5607</v>
      </c>
      <c r="C1784" s="366" t="s">
        <v>5608</v>
      </c>
      <c r="D1784" s="113" t="s">
        <v>5609</v>
      </c>
      <c r="E1784" s="113" t="s">
        <v>5610</v>
      </c>
      <c r="F1784" s="113" t="s">
        <v>5611</v>
      </c>
      <c r="G1784">
        <f>IF(getRGB1($C1784)="FFFFFF",0,1)+IF(getRGB1($D1784)="FFFFFF",0,2)+IF(getRGB1($E1784)="FFFFFF",0,3)+IF(getRGB1($F1784)="FFFFFF",0,4)</f>
        <v>1</v>
      </c>
    </row>
    <row r="1785" spans="1:7">
      <c r="A1785" t="s">
        <v>6680</v>
      </c>
      <c r="B1785" s="97" t="s">
        <v>5612</v>
      </c>
      <c r="C1785" s="366" t="s">
        <v>5613</v>
      </c>
      <c r="D1785" s="113" t="s">
        <v>5614</v>
      </c>
      <c r="E1785" s="113" t="s">
        <v>5615</v>
      </c>
      <c r="F1785" s="113" t="s">
        <v>5616</v>
      </c>
      <c r="G1785">
        <f>IF(getRGB1($C1785)="FFFFFF",0,1)+IF(getRGB1($D1785)="FFFFFF",0,2)+IF(getRGB1($E1785)="FFFFFF",0,3)+IF(getRGB1($F1785)="FFFFFF",0,4)</f>
        <v>1</v>
      </c>
    </row>
    <row r="1786" spans="1:7">
      <c r="A1786" t="s">
        <v>6680</v>
      </c>
      <c r="B1786" s="97" t="s">
        <v>5617</v>
      </c>
      <c r="C1786" s="113" t="s">
        <v>5613</v>
      </c>
      <c r="D1786" s="366" t="s">
        <v>5614</v>
      </c>
      <c r="E1786" s="113" t="s">
        <v>5615</v>
      </c>
      <c r="F1786" s="113" t="s">
        <v>5616</v>
      </c>
      <c r="G1786">
        <f>IF(getRGB1($C1786)="FFFFFF",0,1)+IF(getRGB1($D1786)="FFFFFF",0,2)+IF(getRGB1($E1786)="FFFFFF",0,3)+IF(getRGB1($F1786)="FFFFFF",0,4)</f>
        <v>2</v>
      </c>
    </row>
    <row r="1787" spans="1:7" ht="30">
      <c r="A1787" t="s">
        <v>6680</v>
      </c>
      <c r="B1787" s="97" t="s">
        <v>5618</v>
      </c>
      <c r="C1787" s="115">
        <v>519</v>
      </c>
      <c r="D1787" s="113">
        <v>419</v>
      </c>
      <c r="E1787" s="113">
        <v>319</v>
      </c>
      <c r="F1787" s="113">
        <v>619</v>
      </c>
      <c r="G1787">
        <f>IF(getRGB1($C1787)="FFFFFF",0,1)+IF(getRGB1($D1787)="FFFFFF",0,2)+IF(getRGB1($E1787)="FFFFFF",0,3)+IF(getRGB1($F1787)="FFFFFF",0,4)</f>
        <v>1</v>
      </c>
    </row>
    <row r="1788" spans="1:7" ht="30">
      <c r="A1788" t="s">
        <v>6680</v>
      </c>
      <c r="B1788" s="97" t="s">
        <v>5619</v>
      </c>
      <c r="C1788" s="366" t="s">
        <v>5620</v>
      </c>
      <c r="D1788" s="113" t="s">
        <v>5621</v>
      </c>
      <c r="E1788" s="113" t="s">
        <v>5622</v>
      </c>
      <c r="F1788" s="113" t="s">
        <v>5623</v>
      </c>
      <c r="G1788">
        <f>IF(getRGB1($C1788)="FFFFFF",0,1)+IF(getRGB1($D1788)="FFFFFF",0,2)+IF(getRGB1($E1788)="FFFFFF",0,3)+IF(getRGB1($F1788)="FFFFFF",0,4)</f>
        <v>1</v>
      </c>
    </row>
    <row r="1789" spans="1:7" ht="30">
      <c r="A1789" t="s">
        <v>6680</v>
      </c>
      <c r="B1789" s="97" t="s">
        <v>5624</v>
      </c>
      <c r="C1789" s="113" t="s">
        <v>5625</v>
      </c>
      <c r="D1789" s="113" t="s">
        <v>5621</v>
      </c>
      <c r="E1789" s="366" t="s">
        <v>5622</v>
      </c>
      <c r="F1789" s="113" t="s">
        <v>5623</v>
      </c>
      <c r="G1789">
        <f>IF(getRGB1($C1789)="FFFFFF",0,1)+IF(getRGB1($D1789)="FFFFFF",0,2)+IF(getRGB1($E1789)="FFFFFF",0,3)+IF(getRGB1($F1789)="FFFFFF",0,4)</f>
        <v>3</v>
      </c>
    </row>
    <row r="1790" spans="1:7" ht="45">
      <c r="A1790" t="s">
        <v>6680</v>
      </c>
      <c r="B1790" s="97" t="s">
        <v>5626</v>
      </c>
      <c r="C1790" s="113" t="s">
        <v>5621</v>
      </c>
      <c r="D1790" s="113" t="s">
        <v>5622</v>
      </c>
      <c r="E1790" s="366" t="s">
        <v>5627</v>
      </c>
      <c r="F1790" s="113" t="s">
        <v>5623</v>
      </c>
      <c r="G1790">
        <f>IF(getRGB1($C1790)="FFFFFF",0,1)+IF(getRGB1($D1790)="FFFFFF",0,2)+IF(getRGB1($E1790)="FFFFFF",0,3)+IF(getRGB1($F1790)="FFFFFF",0,4)</f>
        <v>3</v>
      </c>
    </row>
    <row r="1791" spans="1:7" ht="30">
      <c r="A1791" t="s">
        <v>6680</v>
      </c>
      <c r="B1791" s="97" t="s">
        <v>5628</v>
      </c>
      <c r="C1791" s="404">
        <v>1.05</v>
      </c>
      <c r="D1791" s="405">
        <v>1.1000000000000001</v>
      </c>
      <c r="E1791" s="405">
        <v>1</v>
      </c>
      <c r="F1791" s="405">
        <v>1.25</v>
      </c>
      <c r="G1791">
        <f>IF(getRGB1($C1791)="FFFFFF",0,1)+IF(getRGB1($D1791)="FFFFFF",0,2)+IF(getRGB1($E1791)="FFFFFF",0,3)+IF(getRGB1($F1791)="FFFFFF",0,4)</f>
        <v>1</v>
      </c>
    </row>
    <row r="1792" spans="1:7" ht="30">
      <c r="A1792" t="s">
        <v>6680</v>
      </c>
      <c r="B1792" s="97" t="s">
        <v>5629</v>
      </c>
      <c r="C1792" s="405">
        <v>1.05</v>
      </c>
      <c r="D1792" s="404">
        <v>1.1000000000000001</v>
      </c>
      <c r="E1792" s="405">
        <v>1</v>
      </c>
      <c r="F1792" s="405">
        <v>1.25</v>
      </c>
      <c r="G1792">
        <f>IF(getRGB1($C1792)="FFFFFF",0,1)+IF(getRGB1($D1792)="FFFFFF",0,2)+IF(getRGB1($E1792)="FFFFFF",0,3)+IF(getRGB1($F1792)="FFFFFF",0,4)</f>
        <v>2</v>
      </c>
    </row>
    <row r="1793" spans="1:7" ht="30">
      <c r="A1793" t="s">
        <v>6680</v>
      </c>
      <c r="B1793" s="97" t="s">
        <v>5630</v>
      </c>
      <c r="C1793" s="113" t="s">
        <v>1287</v>
      </c>
      <c r="D1793" s="366" t="s">
        <v>1288</v>
      </c>
      <c r="E1793" s="113" t="s">
        <v>1439</v>
      </c>
      <c r="F1793" s="113" t="s">
        <v>5631</v>
      </c>
      <c r="G1793">
        <f>IF(getRGB1($C1793)="FFFFFF",0,1)+IF(getRGB1($D1793)="FFFFFF",0,2)+IF(getRGB1($E1793)="FFFFFF",0,3)+IF(getRGB1($F1793)="FFFFFF",0,4)</f>
        <v>2</v>
      </c>
    </row>
    <row r="1794" spans="1:7">
      <c r="A1794" t="s">
        <v>6680</v>
      </c>
      <c r="B1794" s="97" t="s">
        <v>5632</v>
      </c>
      <c r="C1794" s="115" t="s">
        <v>5633</v>
      </c>
      <c r="D1794" s="113" t="s">
        <v>5596</v>
      </c>
      <c r="E1794" s="113" t="s">
        <v>5554</v>
      </c>
      <c r="F1794" s="113" t="s">
        <v>5634</v>
      </c>
      <c r="G1794">
        <f>IF(getRGB1($C1794)="FFFFFF",0,1)+IF(getRGB1($D1794)="FFFFFF",0,2)+IF(getRGB1($E1794)="FFFFFF",0,3)+IF(getRGB1($F1794)="FFFFFF",0,4)</f>
        <v>1</v>
      </c>
    </row>
    <row r="1795" spans="1:7" ht="51">
      <c r="A1795" t="s">
        <v>6680</v>
      </c>
      <c r="B1795" s="97" t="s">
        <v>5635</v>
      </c>
      <c r="C1795" s="366" t="s">
        <v>5636</v>
      </c>
      <c r="D1795" s="113" t="s">
        <v>5637</v>
      </c>
      <c r="E1795" s="113" t="s">
        <v>5638</v>
      </c>
      <c r="F1795" s="113" t="s">
        <v>5639</v>
      </c>
      <c r="G1795">
        <f>IF(getRGB1($C1795)="FFFFFF",0,1)+IF(getRGB1($D1795)="FFFFFF",0,2)+IF(getRGB1($E1795)="FFFFFF",0,3)+IF(getRGB1($F1795)="FFFFFF",0,4)</f>
        <v>1</v>
      </c>
    </row>
    <row r="1796" spans="1:7" ht="60">
      <c r="A1796" t="s">
        <v>6680</v>
      </c>
      <c r="B1796" s="97" t="s">
        <v>5640</v>
      </c>
      <c r="C1796" s="113" t="s">
        <v>5636</v>
      </c>
      <c r="D1796" s="366" t="s">
        <v>5637</v>
      </c>
      <c r="E1796" s="113" t="s">
        <v>5638</v>
      </c>
      <c r="F1796" s="113" t="s">
        <v>5639</v>
      </c>
      <c r="G1796">
        <f>IF(getRGB1($C1796)="FFFFFF",0,1)+IF(getRGB1($D1796)="FFFFFF",0,2)+IF(getRGB1($E1796)="FFFFFF",0,3)+IF(getRGB1($F1796)="FFFFFF",0,4)</f>
        <v>2</v>
      </c>
    </row>
    <row r="1797" spans="1:7" ht="60">
      <c r="A1797" t="s">
        <v>6680</v>
      </c>
      <c r="B1797" s="97" t="s">
        <v>5641</v>
      </c>
      <c r="C1797" s="113" t="s">
        <v>5636</v>
      </c>
      <c r="D1797" s="113" t="s">
        <v>5637</v>
      </c>
      <c r="E1797" s="366" t="s">
        <v>5638</v>
      </c>
      <c r="F1797" s="113" t="s">
        <v>5639</v>
      </c>
      <c r="G1797">
        <f>IF(getRGB1($C1797)="FFFFFF",0,1)+IF(getRGB1($D1797)="FFFFFF",0,2)+IF(getRGB1($E1797)="FFFFFF",0,3)+IF(getRGB1($F1797)="FFFFFF",0,4)</f>
        <v>3</v>
      </c>
    </row>
    <row r="1798" spans="1:7" ht="60">
      <c r="A1798" t="s">
        <v>6680</v>
      </c>
      <c r="B1798" s="97" t="s">
        <v>5642</v>
      </c>
      <c r="C1798" s="113" t="s">
        <v>5636</v>
      </c>
      <c r="D1798" s="113" t="s">
        <v>5637</v>
      </c>
      <c r="E1798" s="113" t="s">
        <v>5638</v>
      </c>
      <c r="F1798" s="366" t="s">
        <v>5643</v>
      </c>
      <c r="G1798">
        <f>IF(getRGB1($C1798)="FFFFFF",0,1)+IF(getRGB1($D1798)="FFFFFF",0,2)+IF(getRGB1($E1798)="FFFFFF",0,3)+IF(getRGB1($F1798)="FFFFFF",0,4)</f>
        <v>4</v>
      </c>
    </row>
    <row r="1799" spans="1:7" ht="30">
      <c r="A1799" t="s">
        <v>6680</v>
      </c>
      <c r="B1799" s="97" t="s">
        <v>5644</v>
      </c>
      <c r="C1799" s="366" t="s">
        <v>5645</v>
      </c>
      <c r="D1799" s="113" t="s">
        <v>5637</v>
      </c>
      <c r="E1799" s="113" t="s">
        <v>5638</v>
      </c>
      <c r="F1799" s="113" t="s">
        <v>5639</v>
      </c>
      <c r="G1799">
        <f>IF(getRGB1($C1799)="FFFFFF",0,1)+IF(getRGB1($D1799)="FFFFFF",0,2)+IF(getRGB1($E1799)="FFFFFF",0,3)+IF(getRGB1($F1799)="FFFFFF",0,4)</f>
        <v>1</v>
      </c>
    </row>
    <row r="1800" spans="1:7">
      <c r="A1800" t="s">
        <v>6680</v>
      </c>
      <c r="B1800" s="97" t="s">
        <v>5646</v>
      </c>
      <c r="C1800" s="366">
        <v>0.95</v>
      </c>
      <c r="D1800" s="113">
        <v>0.9</v>
      </c>
      <c r="E1800" s="113">
        <v>0.85</v>
      </c>
      <c r="F1800" s="113">
        <v>1</v>
      </c>
      <c r="G1800">
        <f>IF(getRGB1($C1800)="FFFFFF",0,1)+IF(getRGB1($D1800)="FFFFFF",0,2)+IF(getRGB1($E1800)="FFFFFF",0,3)+IF(getRGB1($F1800)="FFFFFF",0,4)</f>
        <v>1</v>
      </c>
    </row>
    <row r="1801" spans="1:7" ht="30">
      <c r="A1801" t="s">
        <v>6680</v>
      </c>
      <c r="B1801" s="97" t="s">
        <v>5647</v>
      </c>
      <c r="C1801" s="366" t="s">
        <v>5648</v>
      </c>
      <c r="D1801" s="113" t="s">
        <v>5649</v>
      </c>
      <c r="E1801" s="113" t="s">
        <v>5650</v>
      </c>
      <c r="F1801" s="113" t="s">
        <v>5651</v>
      </c>
      <c r="G1801">
        <f>IF(getRGB1($C1801)="FFFFFF",0,1)+IF(getRGB1($D1801)="FFFFFF",0,2)+IF(getRGB1($E1801)="FFFFFF",0,3)+IF(getRGB1($F1801)="FFFFFF",0,4)</f>
        <v>1</v>
      </c>
    </row>
    <row r="1802" spans="1:7" ht="30">
      <c r="A1802" t="s">
        <v>6680</v>
      </c>
      <c r="B1802" s="97" t="s">
        <v>5652</v>
      </c>
      <c r="C1802" s="406">
        <v>0.08</v>
      </c>
      <c r="D1802" s="405">
        <v>0.05</v>
      </c>
      <c r="E1802" s="405">
        <v>7.0000000000000007E-2</v>
      </c>
      <c r="F1802" s="405">
        <v>0.03</v>
      </c>
      <c r="G1802">
        <f>IF(getRGB1($C1802)="FFFFFF",0,1)+IF(getRGB1($D1802)="FFFFFF",0,2)+IF(getRGB1($E1802)="FFFFFF",0,3)+IF(getRGB1($F1802)="FFFFFF",0,4)</f>
        <v>1</v>
      </c>
    </row>
    <row r="1803" spans="1:7">
      <c r="A1803" t="s">
        <v>6680</v>
      </c>
      <c r="B1803" s="97" t="s">
        <v>5653</v>
      </c>
      <c r="C1803" s="406">
        <v>0.03</v>
      </c>
      <c r="D1803" s="405">
        <v>0.05</v>
      </c>
      <c r="E1803" s="405">
        <v>7.0000000000000007E-2</v>
      </c>
      <c r="F1803" s="405">
        <v>0.08</v>
      </c>
      <c r="G1803">
        <f>IF(getRGB1($C1803)="FFFFFF",0,1)+IF(getRGB1($D1803)="FFFFFF",0,2)+IF(getRGB1($E1803)="FFFFFF",0,3)+IF(getRGB1($F1803)="FFFFFF",0,4)</f>
        <v>1</v>
      </c>
    </row>
    <row r="1804" spans="1:7" ht="38.25">
      <c r="A1804" t="s">
        <v>6680</v>
      </c>
      <c r="B1804" s="97" t="s">
        <v>5654</v>
      </c>
      <c r="C1804" s="113" t="s">
        <v>5655</v>
      </c>
      <c r="D1804" s="113" t="s">
        <v>5656</v>
      </c>
      <c r="E1804" s="113" t="s">
        <v>5657</v>
      </c>
      <c r="F1804" s="366" t="s">
        <v>5658</v>
      </c>
      <c r="G1804">
        <f>IF(getRGB1($C1804)="FFFFFF",0,1)+IF(getRGB1($D1804)="FFFFFF",0,2)+IF(getRGB1($E1804)="FFFFFF",0,3)+IF(getRGB1($F1804)="FFFFFF",0,4)</f>
        <v>4</v>
      </c>
    </row>
    <row r="1805" spans="1:7" ht="30">
      <c r="A1805" t="s">
        <v>6680</v>
      </c>
      <c r="B1805" s="106" t="s">
        <v>5659</v>
      </c>
      <c r="C1805" s="113" t="s">
        <v>5655</v>
      </c>
      <c r="D1805" s="113" t="s">
        <v>5657</v>
      </c>
      <c r="E1805" s="115" t="s">
        <v>5660</v>
      </c>
      <c r="F1805" s="113" t="s">
        <v>3359</v>
      </c>
      <c r="G1805">
        <f>IF(getRGB1($C1805)="FFFFFF",0,1)+IF(getRGB1($D1805)="FFFFFF",0,2)+IF(getRGB1($E1805)="FFFFFF",0,3)+IF(getRGB1($F1805)="FFFFFF",0,4)</f>
        <v>3</v>
      </c>
    </row>
    <row r="1806" spans="1:7" ht="30">
      <c r="A1806" t="s">
        <v>6680</v>
      </c>
      <c r="B1806" s="106" t="s">
        <v>5661</v>
      </c>
      <c r="C1806" s="113" t="s">
        <v>5662</v>
      </c>
      <c r="D1806" s="113" t="s">
        <v>5663</v>
      </c>
      <c r="E1806" s="115" t="s">
        <v>5664</v>
      </c>
      <c r="F1806" s="113" t="s">
        <v>328</v>
      </c>
      <c r="G1806">
        <f>IF(getRGB1($C1806)="FFFFFF",0,1)+IF(getRGB1($D1806)="FFFFFF",0,2)+IF(getRGB1($E1806)="FFFFFF",0,3)+IF(getRGB1($F1806)="FFFFFF",0,4)</f>
        <v>3</v>
      </c>
    </row>
    <row r="1807" spans="1:7" ht="30">
      <c r="A1807" t="s">
        <v>6680</v>
      </c>
      <c r="B1807" s="106" t="s">
        <v>5665</v>
      </c>
      <c r="C1807" s="113" t="s">
        <v>5666</v>
      </c>
      <c r="D1807" s="113" t="s">
        <v>5667</v>
      </c>
      <c r="E1807" s="115" t="s">
        <v>5571</v>
      </c>
      <c r="F1807" s="113" t="s">
        <v>328</v>
      </c>
      <c r="G1807">
        <f>IF(getRGB1($C1807)="FFFFFF",0,1)+IF(getRGB1($D1807)="FFFFFF",0,2)+IF(getRGB1($E1807)="FFFFFF",0,3)+IF(getRGB1($F1807)="FFFFFF",0,4)</f>
        <v>3</v>
      </c>
    </row>
    <row r="1808" spans="1:7" ht="45">
      <c r="A1808" t="s">
        <v>6680</v>
      </c>
      <c r="B1808" s="106" t="s">
        <v>5668</v>
      </c>
      <c r="C1808" s="113" t="s">
        <v>5669</v>
      </c>
      <c r="D1808" s="115" t="s">
        <v>5670</v>
      </c>
      <c r="E1808" s="113" t="s">
        <v>179</v>
      </c>
      <c r="F1808" s="113" t="s">
        <v>5671</v>
      </c>
      <c r="G1808">
        <f>IF(getRGB1($C1808)="FFFFFF",0,1)+IF(getRGB1($D1808)="FFFFFF",0,2)+IF(getRGB1($E1808)="FFFFFF",0,3)+IF(getRGB1($F1808)="FFFFFF",0,4)</f>
        <v>2</v>
      </c>
    </row>
    <row r="1809" spans="1:7">
      <c r="A1809" t="s">
        <v>6680</v>
      </c>
      <c r="B1809" s="106" t="s">
        <v>5672</v>
      </c>
      <c r="C1809" s="115" t="s">
        <v>5673</v>
      </c>
      <c r="D1809" s="113" t="s">
        <v>5674</v>
      </c>
      <c r="E1809" s="113" t="s">
        <v>5675</v>
      </c>
      <c r="F1809" s="113" t="s">
        <v>5676</v>
      </c>
      <c r="G1809">
        <f>IF(getRGB1($C1809)="FFFFFF",0,1)+IF(getRGB1($D1809)="FFFFFF",0,2)+IF(getRGB1($E1809)="FFFFFF",0,3)+IF(getRGB1($F1809)="FFFFFF",0,4)</f>
        <v>1</v>
      </c>
    </row>
    <row r="1810" spans="1:7" ht="45">
      <c r="A1810" t="s">
        <v>6680</v>
      </c>
      <c r="B1810" s="97" t="s">
        <v>5677</v>
      </c>
      <c r="C1810" s="115" t="b">
        <v>1</v>
      </c>
      <c r="D1810" s="113" t="b">
        <v>0</v>
      </c>
      <c r="E1810" s="113"/>
      <c r="F1810" s="113"/>
      <c r="G1810">
        <f>IF(getRGB1($C1810)="FFFFFF",0,1)+IF(getRGB1($D1810)="FFFFFF",0,2)+IF(getRGB1($E1810)="FFFFFF",0,3)+IF(getRGB1($F1810)="FFFFFF",0,4)</f>
        <v>1</v>
      </c>
    </row>
    <row r="1811" spans="1:7" ht="45">
      <c r="A1811" t="s">
        <v>6680</v>
      </c>
      <c r="B1811" s="97" t="s">
        <v>5678</v>
      </c>
      <c r="C1811" s="115" t="s">
        <v>5679</v>
      </c>
      <c r="D1811" s="113" t="s">
        <v>5680</v>
      </c>
      <c r="E1811" s="113" t="s">
        <v>5681</v>
      </c>
      <c r="F1811" s="113" t="s">
        <v>5682</v>
      </c>
      <c r="G1811">
        <f>IF(getRGB1($C1811)="FFFFFF",0,1)+IF(getRGB1($D1811)="FFFFFF",0,2)+IF(getRGB1($E1811)="FFFFFF",0,3)+IF(getRGB1($F1811)="FFFFFF",0,4)</f>
        <v>1</v>
      </c>
    </row>
    <row r="1812" spans="1:7">
      <c r="A1812" t="s">
        <v>6680</v>
      </c>
      <c r="B1812" s="106" t="s">
        <v>5683</v>
      </c>
      <c r="C1812" s="115" t="s">
        <v>5684</v>
      </c>
      <c r="D1812" s="113" t="s">
        <v>5685</v>
      </c>
      <c r="E1812" s="113" t="s">
        <v>5686</v>
      </c>
      <c r="F1812" s="113" t="s">
        <v>5687</v>
      </c>
      <c r="G1812">
        <f>IF(getRGB1($C1812)="FFFFFF",0,1)+IF(getRGB1($D1812)="FFFFFF",0,2)+IF(getRGB1($E1812)="FFFFFF",0,3)+IF(getRGB1($F1812)="FFFFFF",0,4)</f>
        <v>1</v>
      </c>
    </row>
    <row r="1813" spans="1:7" ht="45">
      <c r="A1813" t="s">
        <v>6680</v>
      </c>
      <c r="B1813" s="97" t="s">
        <v>5688</v>
      </c>
      <c r="C1813" s="113" t="s">
        <v>5684</v>
      </c>
      <c r="D1813" s="113" t="s">
        <v>5689</v>
      </c>
      <c r="E1813" s="113" t="s">
        <v>5690</v>
      </c>
      <c r="F1813" s="115" t="s">
        <v>5691</v>
      </c>
      <c r="G1813">
        <f>IF(getRGB1($C1813)="FFFFFF",0,1)+IF(getRGB1($D1813)="FFFFFF",0,2)+IF(getRGB1($E1813)="FFFFFF",0,3)+IF(getRGB1($F1813)="FFFFFF",0,4)</f>
        <v>4</v>
      </c>
    </row>
    <row r="1814" spans="1:7" ht="45">
      <c r="A1814" t="s">
        <v>6680</v>
      </c>
      <c r="B1814" s="97" t="s">
        <v>5692</v>
      </c>
      <c r="C1814" s="407">
        <v>1E-3</v>
      </c>
      <c r="D1814" s="408">
        <v>5.0000000000000001E-3</v>
      </c>
      <c r="E1814" s="405">
        <v>0.01</v>
      </c>
      <c r="F1814" s="405">
        <v>0.02</v>
      </c>
      <c r="G1814">
        <f>IF(getRGB1($C1814)="FFFFFF",0,1)+IF(getRGB1($D1814)="FFFFFF",0,2)+IF(getRGB1($E1814)="FFFFFF",0,3)+IF(getRGB1($F1814)="FFFFFF",0,4)</f>
        <v>2</v>
      </c>
    </row>
    <row r="1815" spans="1:7" ht="45">
      <c r="A1815" t="s">
        <v>6680</v>
      </c>
      <c r="B1815" s="106" t="s">
        <v>5693</v>
      </c>
      <c r="C1815" s="115" t="s">
        <v>5694</v>
      </c>
      <c r="D1815" s="113" t="s">
        <v>5695</v>
      </c>
      <c r="E1815" s="113" t="s">
        <v>5696</v>
      </c>
      <c r="F1815" s="113" t="s">
        <v>5697</v>
      </c>
      <c r="G1815">
        <f>IF(getRGB1($C1815)="FFFFFF",0,1)+IF(getRGB1($D1815)="FFFFFF",0,2)+IF(getRGB1($E1815)="FFFFFF",0,3)+IF(getRGB1($F1815)="FFFFFF",0,4)</f>
        <v>1</v>
      </c>
    </row>
    <row r="1816" spans="1:7" ht="30">
      <c r="A1816" t="s">
        <v>6680</v>
      </c>
      <c r="B1816" s="106" t="s">
        <v>5698</v>
      </c>
      <c r="C1816" s="113" t="s">
        <v>5699</v>
      </c>
      <c r="D1816" s="113" t="s">
        <v>5700</v>
      </c>
      <c r="E1816" s="115" t="s">
        <v>5701</v>
      </c>
      <c r="F1816" s="113" t="s">
        <v>5702</v>
      </c>
      <c r="G1816">
        <f>IF(getRGB1($C1816)="FFFFFF",0,1)+IF(getRGB1($D1816)="FFFFFF",0,2)+IF(getRGB1($E1816)="FFFFFF",0,3)+IF(getRGB1($F1816)="FFFFFF",0,4)</f>
        <v>3</v>
      </c>
    </row>
    <row r="1817" spans="1:7" ht="30">
      <c r="A1817" t="s">
        <v>6680</v>
      </c>
      <c r="B1817" s="97" t="s">
        <v>5703</v>
      </c>
      <c r="C1817" s="115" t="s">
        <v>5704</v>
      </c>
      <c r="D1817" s="113" t="s">
        <v>5622</v>
      </c>
      <c r="E1817" s="113" t="s">
        <v>5627</v>
      </c>
      <c r="F1817" s="113" t="s">
        <v>5623</v>
      </c>
      <c r="G1817">
        <f>IF(getRGB1($C1817)="FFFFFF",0,1)+IF(getRGB1($D1817)="FFFFFF",0,2)+IF(getRGB1($E1817)="FFFFFF",0,3)+IF(getRGB1($F1817)="FFFFFF",0,4)</f>
        <v>1</v>
      </c>
    </row>
    <row r="1818" spans="1:7" ht="60">
      <c r="A1818" t="s">
        <v>6680</v>
      </c>
      <c r="B1818" s="106" t="s">
        <v>5705</v>
      </c>
      <c r="C1818" s="113" t="b">
        <v>0</v>
      </c>
      <c r="D1818" s="115" t="b">
        <v>1</v>
      </c>
      <c r="E1818" s="113"/>
      <c r="F1818" s="113"/>
      <c r="G1818">
        <f>IF(getRGB1($C1818)="FFFFFF",0,1)+IF(getRGB1($D1818)="FFFFFF",0,2)+IF(getRGB1($E1818)="FFFFFF",0,3)+IF(getRGB1($F1818)="FFFFFF",0,4)</f>
        <v>2</v>
      </c>
    </row>
    <row r="1819" spans="1:7" ht="30">
      <c r="A1819" t="s">
        <v>6680</v>
      </c>
      <c r="B1819" s="106" t="s">
        <v>5706</v>
      </c>
      <c r="C1819" s="115" t="s">
        <v>5707</v>
      </c>
      <c r="D1819" s="113" t="s">
        <v>5660</v>
      </c>
      <c r="E1819" s="113" t="s">
        <v>5689</v>
      </c>
      <c r="F1819" s="113" t="s">
        <v>5694</v>
      </c>
      <c r="G1819">
        <f>IF(getRGB1($C1819)="FFFFFF",0,1)+IF(getRGB1($D1819)="FFFFFF",0,2)+IF(getRGB1($E1819)="FFFFFF",0,3)+IF(getRGB1($F1819)="FFFFFF",0,4)</f>
        <v>1</v>
      </c>
    </row>
    <row r="1820" spans="1:7" ht="45">
      <c r="A1820" t="s">
        <v>6680</v>
      </c>
      <c r="B1820" s="409" t="s">
        <v>5708</v>
      </c>
      <c r="C1820" s="113" t="s">
        <v>5709</v>
      </c>
      <c r="D1820" s="113" t="s">
        <v>5710</v>
      </c>
      <c r="E1820" s="113" t="s">
        <v>5711</v>
      </c>
      <c r="F1820" s="115" t="s">
        <v>5712</v>
      </c>
      <c r="G1820">
        <f>IF(getRGB1($C1820)="FFFFFF",0,1)+IF(getRGB1($D1820)="FFFFFF",0,2)+IF(getRGB1($E1820)="FFFFFF",0,3)+IF(getRGB1($F1820)="FFFFFF",0,4)</f>
        <v>4</v>
      </c>
    </row>
    <row r="1821" spans="1:7" ht="45">
      <c r="A1821" t="s">
        <v>6680</v>
      </c>
      <c r="B1821" s="97" t="s">
        <v>5713</v>
      </c>
      <c r="C1821" s="115" t="s">
        <v>5714</v>
      </c>
      <c r="D1821" s="113" t="s">
        <v>5715</v>
      </c>
      <c r="E1821" s="113" t="s">
        <v>5716</v>
      </c>
      <c r="F1821" s="113" t="s">
        <v>328</v>
      </c>
      <c r="G1821">
        <f>IF(getRGB1($C1821)="FFFFFF",0,1)+IF(getRGB1($D1821)="FFFFFF",0,2)+IF(getRGB1($E1821)="FFFFFF",0,3)+IF(getRGB1($F1821)="FFFFFF",0,4)</f>
        <v>1</v>
      </c>
    </row>
    <row r="1822" spans="1:7" ht="60">
      <c r="A1822" t="s">
        <v>6680</v>
      </c>
      <c r="B1822" s="106" t="s">
        <v>5713</v>
      </c>
      <c r="C1822" s="115" t="s">
        <v>5717</v>
      </c>
      <c r="D1822" s="113" t="s">
        <v>5718</v>
      </c>
      <c r="E1822" s="113" t="s">
        <v>5719</v>
      </c>
      <c r="F1822" s="113" t="s">
        <v>5720</v>
      </c>
      <c r="G1822">
        <f>IF(getRGB1($C1822)="FFFFFF",0,1)+IF(getRGB1($D1822)="FFFFFF",0,2)+IF(getRGB1($E1822)="FFFFFF",0,3)+IF(getRGB1($F1822)="FFFFFF",0,4)</f>
        <v>1</v>
      </c>
    </row>
    <row r="1823" spans="1:7" ht="30">
      <c r="A1823" t="s">
        <v>6680</v>
      </c>
      <c r="B1823" s="106" t="s">
        <v>5721</v>
      </c>
      <c r="C1823" s="115" t="b">
        <v>1</v>
      </c>
      <c r="D1823" s="113" t="b">
        <v>0</v>
      </c>
      <c r="E1823" s="113"/>
      <c r="F1823" s="113"/>
      <c r="G1823">
        <f>IF(getRGB1($C1823)="FFFFFF",0,1)+IF(getRGB1($D1823)="FFFFFF",0,2)+IF(getRGB1($E1823)="FFFFFF",0,3)+IF(getRGB1($F1823)="FFFFFF",0,4)</f>
        <v>1</v>
      </c>
    </row>
    <row r="1824" spans="1:7" ht="30">
      <c r="A1824" t="s">
        <v>6680</v>
      </c>
      <c r="B1824" s="106" t="s">
        <v>5722</v>
      </c>
      <c r="C1824" s="113" t="b">
        <v>0</v>
      </c>
      <c r="D1824" s="115" t="b">
        <v>1</v>
      </c>
      <c r="E1824" s="113"/>
      <c r="F1824" s="113"/>
      <c r="G1824">
        <f>IF(getRGB1($C1824)="FFFFFF",0,1)+IF(getRGB1($D1824)="FFFFFF",0,2)+IF(getRGB1($E1824)="FFFFFF",0,3)+IF(getRGB1($F1824)="FFFFFF",0,4)</f>
        <v>2</v>
      </c>
    </row>
    <row r="1825" spans="1:7" ht="45">
      <c r="A1825" t="s">
        <v>6680</v>
      </c>
      <c r="B1825" s="106" t="s">
        <v>5723</v>
      </c>
      <c r="C1825" s="405">
        <v>1.5</v>
      </c>
      <c r="D1825" s="405">
        <v>1.2</v>
      </c>
      <c r="E1825" s="405">
        <v>1.4</v>
      </c>
      <c r="F1825" s="404">
        <v>2.2000000000000002</v>
      </c>
      <c r="G1825">
        <f>IF(getRGB1($C1825)="FFFFFF",0,1)+IF(getRGB1($D1825)="FFFFFF",0,2)+IF(getRGB1($E1825)="FFFFFF",0,3)+IF(getRGB1($F1825)="FFFFFF",0,4)</f>
        <v>4</v>
      </c>
    </row>
    <row r="1826" spans="1:7" ht="30">
      <c r="A1826" t="s">
        <v>6680</v>
      </c>
      <c r="B1826" s="97" t="s">
        <v>5724</v>
      </c>
      <c r="C1826" s="113" t="s">
        <v>5725</v>
      </c>
      <c r="D1826" s="113" t="s">
        <v>5726</v>
      </c>
      <c r="E1826" s="115" t="s">
        <v>5727</v>
      </c>
      <c r="F1826" s="113" t="s">
        <v>5728</v>
      </c>
      <c r="G1826">
        <f>IF(getRGB1($C1826)="FFFFFF",0,1)+IF(getRGB1($D1826)="FFFFFF",0,2)+IF(getRGB1($E1826)="FFFFFF",0,3)+IF(getRGB1($F1826)="FFFFFF",0,4)</f>
        <v>3</v>
      </c>
    </row>
    <row r="1827" spans="1:7" ht="75">
      <c r="A1827" t="s">
        <v>6681</v>
      </c>
      <c r="B1827" s="331" t="s">
        <v>5729</v>
      </c>
      <c r="C1827" s="331" t="s">
        <v>5730</v>
      </c>
      <c r="D1827" s="331" t="s">
        <v>5731</v>
      </c>
      <c r="E1827" s="331" t="s">
        <v>5732</v>
      </c>
      <c r="F1827" s="410" t="s">
        <v>5733</v>
      </c>
      <c r="G1827">
        <f>IF(getRGB1($C1827)="FFFFFF",0,1)+IF(getRGB1($D1827)="FFFFFF",0,2)+IF(getRGB1($E1827)="FFFFFF",0,3)+IF(getRGB1($F1827)="FFFFFF",0,4)</f>
        <v>4</v>
      </c>
    </row>
    <row r="1828" spans="1:7" ht="30">
      <c r="A1828" t="s">
        <v>6681</v>
      </c>
      <c r="B1828" s="331" t="s">
        <v>5734</v>
      </c>
      <c r="C1828" s="331" t="s">
        <v>5735</v>
      </c>
      <c r="D1828" s="410" t="s">
        <v>5736</v>
      </c>
      <c r="E1828" s="331" t="s">
        <v>5737</v>
      </c>
      <c r="F1828" s="331" t="s">
        <v>5738</v>
      </c>
      <c r="G1828">
        <f>IF(getRGB1($C1828)="FFFFFF",0,1)+IF(getRGB1($D1828)="FFFFFF",0,2)+IF(getRGB1($E1828)="FFFFFF",0,3)+IF(getRGB1($F1828)="FFFFFF",0,4)</f>
        <v>2</v>
      </c>
    </row>
    <row r="1829" spans="1:7" ht="45">
      <c r="A1829" t="s">
        <v>6681</v>
      </c>
      <c r="B1829" s="331" t="s">
        <v>5739</v>
      </c>
      <c r="C1829" s="331" t="s">
        <v>5740</v>
      </c>
      <c r="D1829" s="331" t="s">
        <v>5741</v>
      </c>
      <c r="E1829" s="331" t="s">
        <v>5742</v>
      </c>
      <c r="F1829" s="410" t="s">
        <v>1000</v>
      </c>
      <c r="G1829">
        <f>IF(getRGB1($C1829)="FFFFFF",0,1)+IF(getRGB1($D1829)="FFFFFF",0,2)+IF(getRGB1($E1829)="FFFFFF",0,3)+IF(getRGB1($F1829)="FFFFFF",0,4)</f>
        <v>4</v>
      </c>
    </row>
    <row r="1830" spans="1:7" ht="30">
      <c r="A1830" t="s">
        <v>6681</v>
      </c>
      <c r="B1830" s="331" t="s">
        <v>5743</v>
      </c>
      <c r="C1830" s="410" t="s">
        <v>5744</v>
      </c>
      <c r="D1830" s="331" t="s">
        <v>5745</v>
      </c>
      <c r="E1830" s="331" t="s">
        <v>5746</v>
      </c>
      <c r="F1830" s="331" t="s">
        <v>61</v>
      </c>
      <c r="G1830">
        <f>IF(getRGB1($C1830)="FFFFFF",0,1)+IF(getRGB1($D1830)="FFFFFF",0,2)+IF(getRGB1($E1830)="FFFFFF",0,3)+IF(getRGB1($F1830)="FFFFFF",0,4)</f>
        <v>1</v>
      </c>
    </row>
    <row r="1831" spans="1:7" ht="60">
      <c r="A1831" t="s">
        <v>6681</v>
      </c>
      <c r="B1831" s="331" t="s">
        <v>5747</v>
      </c>
      <c r="C1831" s="331" t="s">
        <v>5748</v>
      </c>
      <c r="D1831" s="410" t="s">
        <v>5749</v>
      </c>
      <c r="E1831" s="331" t="s">
        <v>5750</v>
      </c>
      <c r="F1831" s="331" t="s">
        <v>5751</v>
      </c>
      <c r="G1831">
        <f>IF(getRGB1($C1831)="FFFFFF",0,1)+IF(getRGB1($D1831)="FFFFFF",0,2)+IF(getRGB1($E1831)="FFFFFF",0,3)+IF(getRGB1($F1831)="FFFFFF",0,4)</f>
        <v>2</v>
      </c>
    </row>
    <row r="1832" spans="1:7" ht="60">
      <c r="A1832" t="s">
        <v>6681</v>
      </c>
      <c r="B1832" s="331" t="s">
        <v>5752</v>
      </c>
      <c r="C1832" s="331" t="s">
        <v>5753</v>
      </c>
      <c r="D1832" s="331" t="s">
        <v>5754</v>
      </c>
      <c r="E1832" s="331" t="s">
        <v>5755</v>
      </c>
      <c r="F1832" s="410" t="s">
        <v>5756</v>
      </c>
      <c r="G1832">
        <f>IF(getRGB1($C1832)="FFFFFF",0,1)+IF(getRGB1($D1832)="FFFFFF",0,2)+IF(getRGB1($E1832)="FFFFFF",0,3)+IF(getRGB1($F1832)="FFFFFF",0,4)</f>
        <v>4</v>
      </c>
    </row>
    <row r="1833" spans="1:7" ht="30">
      <c r="A1833" t="s">
        <v>6681</v>
      </c>
      <c r="B1833" s="331" t="s">
        <v>5757</v>
      </c>
      <c r="C1833" s="410" t="s">
        <v>5758</v>
      </c>
      <c r="D1833" s="331" t="s">
        <v>5745</v>
      </c>
      <c r="E1833" s="331" t="s">
        <v>5759</v>
      </c>
      <c r="F1833" s="331" t="s">
        <v>5760</v>
      </c>
      <c r="G1833">
        <f>IF(getRGB1($C1833)="FFFFFF",0,1)+IF(getRGB1($D1833)="FFFFFF",0,2)+IF(getRGB1($E1833)="FFFFFF",0,3)+IF(getRGB1($F1833)="FFFFFF",0,4)</f>
        <v>1</v>
      </c>
    </row>
    <row r="1834" spans="1:7" ht="30">
      <c r="A1834" t="s">
        <v>6681</v>
      </c>
      <c r="B1834" s="331" t="s">
        <v>5761</v>
      </c>
      <c r="C1834" s="410" t="s">
        <v>5762</v>
      </c>
      <c r="D1834" s="331" t="s">
        <v>5763</v>
      </c>
      <c r="E1834" s="331" t="s">
        <v>5764</v>
      </c>
      <c r="F1834" s="331" t="s">
        <v>5765</v>
      </c>
      <c r="G1834">
        <f>IF(getRGB1($C1834)="FFFFFF",0,1)+IF(getRGB1($D1834)="FFFFFF",0,2)+IF(getRGB1($E1834)="FFFFFF",0,3)+IF(getRGB1($F1834)="FFFFFF",0,4)</f>
        <v>1</v>
      </c>
    </row>
    <row r="1835" spans="1:7" ht="45">
      <c r="A1835" t="s">
        <v>6681</v>
      </c>
      <c r="B1835" s="331" t="s">
        <v>5766</v>
      </c>
      <c r="C1835" s="331" t="s">
        <v>5767</v>
      </c>
      <c r="D1835" s="331" t="s">
        <v>5768</v>
      </c>
      <c r="E1835" s="331" t="s">
        <v>5769</v>
      </c>
      <c r="F1835" s="410" t="s">
        <v>5770</v>
      </c>
      <c r="G1835">
        <f>IF(getRGB1($C1835)="FFFFFF",0,1)+IF(getRGB1($D1835)="FFFFFF",0,2)+IF(getRGB1($E1835)="FFFFFF",0,3)+IF(getRGB1($F1835)="FFFFFF",0,4)</f>
        <v>4</v>
      </c>
    </row>
    <row r="1836" spans="1:7" ht="60">
      <c r="A1836" t="s">
        <v>6681</v>
      </c>
      <c r="B1836" s="331" t="s">
        <v>5771</v>
      </c>
      <c r="C1836" s="331" t="s">
        <v>5772</v>
      </c>
      <c r="D1836" s="410" t="s">
        <v>5773</v>
      </c>
      <c r="E1836" s="331" t="s">
        <v>5774</v>
      </c>
      <c r="F1836" s="331" t="s">
        <v>5775</v>
      </c>
      <c r="G1836">
        <f>IF(getRGB1($C1836)="FFFFFF",0,1)+IF(getRGB1($D1836)="FFFFFF",0,2)+IF(getRGB1($E1836)="FFFFFF",0,3)+IF(getRGB1($F1836)="FFFFFF",0,4)</f>
        <v>2</v>
      </c>
    </row>
    <row r="1837" spans="1:7" ht="45">
      <c r="A1837" t="s">
        <v>6681</v>
      </c>
      <c r="B1837" s="331" t="s">
        <v>5776</v>
      </c>
      <c r="C1837" s="331" t="s">
        <v>5777</v>
      </c>
      <c r="D1837" s="331" t="s">
        <v>5778</v>
      </c>
      <c r="E1837" s="410" t="s">
        <v>5779</v>
      </c>
      <c r="F1837" s="331" t="s">
        <v>5780</v>
      </c>
      <c r="G1837">
        <f>IF(getRGB1($C1837)="FFFFFF",0,1)+IF(getRGB1($D1837)="FFFFFF",0,2)+IF(getRGB1($E1837)="FFFFFF",0,3)+IF(getRGB1($F1837)="FFFFFF",0,4)</f>
        <v>3</v>
      </c>
    </row>
    <row r="1838" spans="1:7" ht="45">
      <c r="A1838" t="s">
        <v>6681</v>
      </c>
      <c r="B1838" s="331" t="s">
        <v>5781</v>
      </c>
      <c r="C1838" s="410" t="s">
        <v>5782</v>
      </c>
      <c r="D1838" s="331" t="s">
        <v>5783</v>
      </c>
      <c r="E1838" s="331" t="s">
        <v>5784</v>
      </c>
      <c r="F1838" s="331" t="s">
        <v>5785</v>
      </c>
      <c r="G1838">
        <f>IF(getRGB1($C1838)="FFFFFF",0,1)+IF(getRGB1($D1838)="FFFFFF",0,2)+IF(getRGB1($E1838)="FFFFFF",0,3)+IF(getRGB1($F1838)="FFFFFF",0,4)</f>
        <v>1</v>
      </c>
    </row>
    <row r="1839" spans="1:7" ht="30">
      <c r="A1839" t="s">
        <v>6681</v>
      </c>
      <c r="B1839" s="331" t="s">
        <v>5786</v>
      </c>
      <c r="C1839" s="331" t="s">
        <v>5787</v>
      </c>
      <c r="D1839" s="410" t="s">
        <v>5745</v>
      </c>
      <c r="E1839" s="331" t="s">
        <v>5788</v>
      </c>
      <c r="F1839" s="331" t="s">
        <v>1773</v>
      </c>
      <c r="G1839">
        <f>IF(getRGB1($C1839)="FFFFFF",0,1)+IF(getRGB1($D1839)="FFFFFF",0,2)+IF(getRGB1($E1839)="FFFFFF",0,3)+IF(getRGB1($F1839)="FFFFFF",0,4)</f>
        <v>2</v>
      </c>
    </row>
    <row r="1840" spans="1:7" ht="30">
      <c r="A1840" t="s">
        <v>6681</v>
      </c>
      <c r="B1840" s="331" t="s">
        <v>5789</v>
      </c>
      <c r="C1840" s="331" t="s">
        <v>5790</v>
      </c>
      <c r="D1840" s="331" t="s">
        <v>5758</v>
      </c>
      <c r="E1840" s="410" t="s">
        <v>5791</v>
      </c>
      <c r="F1840" s="331" t="s">
        <v>5792</v>
      </c>
      <c r="G1840">
        <f>IF(getRGB1($C1840)="FFFFFF",0,1)+IF(getRGB1($D1840)="FFFFFF",0,2)+IF(getRGB1($E1840)="FFFFFF",0,3)+IF(getRGB1($F1840)="FFFFFF",0,4)</f>
        <v>3</v>
      </c>
    </row>
    <row r="1841" spans="1:7" ht="75">
      <c r="A1841" t="s">
        <v>6681</v>
      </c>
      <c r="B1841" s="331" t="s">
        <v>5793</v>
      </c>
      <c r="C1841" s="331" t="s">
        <v>5794</v>
      </c>
      <c r="D1841" s="331" t="s">
        <v>5795</v>
      </c>
      <c r="E1841" s="331" t="s">
        <v>61</v>
      </c>
      <c r="F1841" s="410" t="s">
        <v>2074</v>
      </c>
      <c r="G1841">
        <f>IF(getRGB1($C1841)="FFFFFF",0,1)+IF(getRGB1($D1841)="FFFFFF",0,2)+IF(getRGB1($E1841)="FFFFFF",0,3)+IF(getRGB1($F1841)="FFFFFF",0,4)</f>
        <v>4</v>
      </c>
    </row>
    <row r="1842" spans="1:7">
      <c r="A1842" t="s">
        <v>6681</v>
      </c>
      <c r="B1842" s="331" t="s">
        <v>5796</v>
      </c>
      <c r="C1842" s="331" t="s">
        <v>5797</v>
      </c>
      <c r="D1842" s="331" t="s">
        <v>5798</v>
      </c>
      <c r="E1842" s="331" t="s">
        <v>5799</v>
      </c>
      <c r="F1842" s="410" t="s">
        <v>5800</v>
      </c>
      <c r="G1842">
        <f>IF(getRGB1($C1842)="FFFFFF",0,1)+IF(getRGB1($D1842)="FFFFFF",0,2)+IF(getRGB1($E1842)="FFFFFF",0,3)+IF(getRGB1($F1842)="FFFFFF",0,4)</f>
        <v>4</v>
      </c>
    </row>
    <row r="1843" spans="1:7" ht="45">
      <c r="A1843" t="s">
        <v>6681</v>
      </c>
      <c r="B1843" s="331" t="s">
        <v>5801</v>
      </c>
      <c r="C1843" s="410" t="s">
        <v>5802</v>
      </c>
      <c r="D1843" s="331" t="s">
        <v>5803</v>
      </c>
      <c r="E1843" s="331" t="s">
        <v>5804</v>
      </c>
      <c r="F1843" s="331" t="s">
        <v>5805</v>
      </c>
      <c r="G1843">
        <f>IF(getRGB1($C1843)="FFFFFF",0,1)+IF(getRGB1($D1843)="FFFFFF",0,2)+IF(getRGB1($E1843)="FFFFFF",0,3)+IF(getRGB1($F1843)="FFFFFF",0,4)</f>
        <v>1</v>
      </c>
    </row>
    <row r="1844" spans="1:7">
      <c r="A1844" t="s">
        <v>6681</v>
      </c>
      <c r="B1844" s="331" t="s">
        <v>5806</v>
      </c>
      <c r="C1844" s="331" t="s">
        <v>5767</v>
      </c>
      <c r="D1844" s="331" t="s">
        <v>5807</v>
      </c>
      <c r="E1844" s="410" t="s">
        <v>5808</v>
      </c>
      <c r="F1844" s="331" t="s">
        <v>5809</v>
      </c>
      <c r="G1844">
        <f>IF(getRGB1($C1844)="FFFFFF",0,1)+IF(getRGB1($D1844)="FFFFFF",0,2)+IF(getRGB1($E1844)="FFFFFF",0,3)+IF(getRGB1($F1844)="FFFFFF",0,4)</f>
        <v>3</v>
      </c>
    </row>
    <row r="1845" spans="1:7" ht="30">
      <c r="A1845" t="s">
        <v>6681</v>
      </c>
      <c r="B1845" s="331" t="s">
        <v>5810</v>
      </c>
      <c r="C1845" s="410" t="s">
        <v>5811</v>
      </c>
      <c r="D1845" s="331" t="s">
        <v>5812</v>
      </c>
      <c r="E1845" s="331" t="s">
        <v>5813</v>
      </c>
      <c r="F1845" s="331" t="s">
        <v>5814</v>
      </c>
      <c r="G1845">
        <f>IF(getRGB1($C1845)="FFFFFF",0,1)+IF(getRGB1($D1845)="FFFFFF",0,2)+IF(getRGB1($E1845)="FFFFFF",0,3)+IF(getRGB1($F1845)="FFFFFF",0,4)</f>
        <v>1</v>
      </c>
    </row>
    <row r="1846" spans="1:7" ht="45">
      <c r="A1846" t="s">
        <v>6681</v>
      </c>
      <c r="B1846" s="331" t="s">
        <v>5815</v>
      </c>
      <c r="C1846" s="331" t="s">
        <v>5816</v>
      </c>
      <c r="D1846" s="331" t="s">
        <v>5817</v>
      </c>
      <c r="E1846" s="331" t="s">
        <v>5818</v>
      </c>
      <c r="F1846" s="410" t="s">
        <v>1000</v>
      </c>
      <c r="G1846">
        <f>IF(getRGB1($C1846)="FFFFFF",0,1)+IF(getRGB1($D1846)="FFFFFF",0,2)+IF(getRGB1($E1846)="FFFFFF",0,3)+IF(getRGB1($F1846)="FFFFFF",0,4)</f>
        <v>4</v>
      </c>
    </row>
    <row r="1847" spans="1:7" ht="45">
      <c r="A1847" t="s">
        <v>6681</v>
      </c>
      <c r="B1847" s="331" t="s">
        <v>5819</v>
      </c>
      <c r="C1847" s="331" t="s">
        <v>5820</v>
      </c>
      <c r="D1847" s="410" t="s">
        <v>5821</v>
      </c>
      <c r="E1847" s="331" t="s">
        <v>5822</v>
      </c>
      <c r="F1847" s="331" t="s">
        <v>5823</v>
      </c>
      <c r="G1847">
        <f>IF(getRGB1($C1847)="FFFFFF",0,1)+IF(getRGB1($D1847)="FFFFFF",0,2)+IF(getRGB1($E1847)="FFFFFF",0,3)+IF(getRGB1($F1847)="FFFFFF",0,4)</f>
        <v>2</v>
      </c>
    </row>
    <row r="1848" spans="1:7" ht="45">
      <c r="A1848" t="s">
        <v>6681</v>
      </c>
      <c r="B1848" s="331" t="s">
        <v>5824</v>
      </c>
      <c r="C1848" s="410" t="s">
        <v>5825</v>
      </c>
      <c r="D1848" s="331" t="s">
        <v>5826</v>
      </c>
      <c r="E1848" s="331" t="s">
        <v>5827</v>
      </c>
      <c r="F1848" s="331" t="s">
        <v>5828</v>
      </c>
      <c r="G1848">
        <f>IF(getRGB1($C1848)="FFFFFF",0,1)+IF(getRGB1($D1848)="FFFFFF",0,2)+IF(getRGB1($E1848)="FFFFFF",0,3)+IF(getRGB1($F1848)="FFFFFF",0,4)</f>
        <v>1</v>
      </c>
    </row>
    <row r="1849" spans="1:7">
      <c r="A1849" t="s">
        <v>6681</v>
      </c>
      <c r="B1849" s="331" t="s">
        <v>5829</v>
      </c>
      <c r="C1849" s="331" t="s">
        <v>5396</v>
      </c>
      <c r="D1849" s="331" t="s">
        <v>5830</v>
      </c>
      <c r="E1849" s="410" t="s">
        <v>5397</v>
      </c>
      <c r="F1849" s="331" t="s">
        <v>5831</v>
      </c>
      <c r="G1849">
        <f>IF(getRGB1($C1849)="FFFFFF",0,1)+IF(getRGB1($D1849)="FFFFFF",0,2)+IF(getRGB1($E1849)="FFFFFF",0,3)+IF(getRGB1($F1849)="FFFFFF",0,4)</f>
        <v>3</v>
      </c>
    </row>
    <row r="1850" spans="1:7" ht="30">
      <c r="A1850" t="s">
        <v>6681</v>
      </c>
      <c r="B1850" s="331" t="s">
        <v>5832</v>
      </c>
      <c r="C1850" s="331" t="s">
        <v>5833</v>
      </c>
      <c r="D1850" s="410" t="s">
        <v>5396</v>
      </c>
      <c r="E1850" s="331" t="s">
        <v>5834</v>
      </c>
      <c r="F1850" s="331" t="s">
        <v>5835</v>
      </c>
      <c r="G1850">
        <f>IF(getRGB1($C1850)="FFFFFF",0,1)+IF(getRGB1($D1850)="FFFFFF",0,2)+IF(getRGB1($E1850)="FFFFFF",0,3)+IF(getRGB1($F1850)="FFFFFF",0,4)</f>
        <v>2</v>
      </c>
    </row>
    <row r="1851" spans="1:7">
      <c r="A1851" t="s">
        <v>6681</v>
      </c>
      <c r="B1851" s="331" t="s">
        <v>5836</v>
      </c>
      <c r="C1851" s="410" t="s">
        <v>5837</v>
      </c>
      <c r="D1851" s="331" t="s">
        <v>5838</v>
      </c>
      <c r="E1851" s="331" t="s">
        <v>5839</v>
      </c>
      <c r="F1851" s="331"/>
      <c r="G1851">
        <f>IF(getRGB1($C1851)="FFFFFF",0,1)+IF(getRGB1($D1851)="FFFFFF",0,2)+IF(getRGB1($E1851)="FFFFFF",0,3)+IF(getRGB1($F1851)="FFFFFF",0,4)</f>
        <v>1</v>
      </c>
    </row>
    <row r="1852" spans="1:7" ht="45">
      <c r="A1852" t="s">
        <v>6681</v>
      </c>
      <c r="B1852" s="331" t="s">
        <v>5840</v>
      </c>
      <c r="C1852" s="331" t="s">
        <v>5841</v>
      </c>
      <c r="D1852" s="331" t="s">
        <v>5842</v>
      </c>
      <c r="E1852" s="331" t="s">
        <v>5843</v>
      </c>
      <c r="F1852" s="410" t="s">
        <v>5844</v>
      </c>
      <c r="G1852">
        <f>IF(getRGB1($C1852)="FFFFFF",0,1)+IF(getRGB1($D1852)="FFFFFF",0,2)+IF(getRGB1($E1852)="FFFFFF",0,3)+IF(getRGB1($F1852)="FFFFFF",0,4)</f>
        <v>4</v>
      </c>
    </row>
    <row r="1853" spans="1:7" ht="30">
      <c r="A1853" t="s">
        <v>6682</v>
      </c>
      <c r="B1853" s="97" t="s">
        <v>5845</v>
      </c>
      <c r="C1853" s="115" t="b">
        <v>1</v>
      </c>
      <c r="D1853" s="113" t="b">
        <v>0</v>
      </c>
      <c r="E1853" s="411"/>
      <c r="F1853" s="411"/>
      <c r="G1853">
        <f>IF(getRGB1($C1853)="FFFFFF",0,1)+IF(getRGB1($D1853)="FFFFFF",0,2)+IF(getRGB1($E1853)="FFFFFF",0,3)+IF(getRGB1($F1853)="FFFFFF",0,4)</f>
        <v>1</v>
      </c>
    </row>
    <row r="1854" spans="1:7" ht="30">
      <c r="A1854" t="s">
        <v>6682</v>
      </c>
      <c r="B1854" s="97" t="s">
        <v>5846</v>
      </c>
      <c r="C1854" s="113">
        <v>24</v>
      </c>
      <c r="D1854" s="115">
        <v>72</v>
      </c>
      <c r="E1854" s="113">
        <v>48</v>
      </c>
      <c r="F1854" s="113" t="s">
        <v>209</v>
      </c>
      <c r="G1854">
        <f>IF(getRGB1($C1854)="FFFFFF",0,1)+IF(getRGB1($D1854)="FFFFFF",0,2)+IF(getRGB1($E1854)="FFFFFF",0,3)+IF(getRGB1($F1854)="FFFFFF",0,4)</f>
        <v>2</v>
      </c>
    </row>
    <row r="1855" spans="1:7">
      <c r="A1855" t="s">
        <v>6682</v>
      </c>
      <c r="B1855" s="97" t="s">
        <v>5847</v>
      </c>
      <c r="C1855" s="115">
        <v>10</v>
      </c>
      <c r="D1855" s="113">
        <v>24</v>
      </c>
      <c r="E1855" s="113">
        <v>48</v>
      </c>
      <c r="F1855" s="113" t="s">
        <v>209</v>
      </c>
      <c r="G1855">
        <f>IF(getRGB1($C1855)="FFFFFF",0,1)+IF(getRGB1($D1855)="FFFFFF",0,2)+IF(getRGB1($E1855)="FFFFFF",0,3)+IF(getRGB1($F1855)="FFFFFF",0,4)</f>
        <v>1</v>
      </c>
    </row>
    <row r="1856" spans="1:7" ht="30">
      <c r="A1856" t="s">
        <v>6682</v>
      </c>
      <c r="B1856" s="97" t="s">
        <v>5848</v>
      </c>
      <c r="C1856" s="113">
        <v>10</v>
      </c>
      <c r="D1856" s="115">
        <v>25</v>
      </c>
      <c r="E1856" s="113">
        <v>35</v>
      </c>
      <c r="F1856" s="113" t="s">
        <v>209</v>
      </c>
      <c r="G1856">
        <f>IF(getRGB1($C1856)="FFFFFF",0,1)+IF(getRGB1($D1856)="FFFFFF",0,2)+IF(getRGB1($E1856)="FFFFFF",0,3)+IF(getRGB1($F1856)="FFFFFF",0,4)</f>
        <v>2</v>
      </c>
    </row>
    <row r="1857" spans="1:7">
      <c r="A1857" t="s">
        <v>6682</v>
      </c>
      <c r="B1857" s="97" t="s">
        <v>5849</v>
      </c>
      <c r="C1857" s="113">
        <v>85</v>
      </c>
      <c r="D1857" s="113">
        <v>75</v>
      </c>
      <c r="E1857" s="115">
        <v>90</v>
      </c>
      <c r="F1857" s="113">
        <v>95</v>
      </c>
      <c r="G1857">
        <f>IF(getRGB1($C1857)="FFFFFF",0,1)+IF(getRGB1($D1857)="FFFFFF",0,2)+IF(getRGB1($E1857)="FFFFFF",0,3)+IF(getRGB1($F1857)="FFFFFF",0,4)</f>
        <v>3</v>
      </c>
    </row>
    <row r="1858" spans="1:7">
      <c r="A1858" t="s">
        <v>6682</v>
      </c>
      <c r="B1858" s="97" t="s">
        <v>5850</v>
      </c>
      <c r="C1858" s="113" t="s">
        <v>5851</v>
      </c>
      <c r="D1858" s="115" t="s">
        <v>5852</v>
      </c>
      <c r="E1858" s="113" t="s">
        <v>5853</v>
      </c>
      <c r="F1858" s="113" t="s">
        <v>209</v>
      </c>
      <c r="G1858">
        <f>IF(getRGB1($C1858)="FFFFFF",0,1)+IF(getRGB1($D1858)="FFFFFF",0,2)+IF(getRGB1($E1858)="FFFFFF",0,3)+IF(getRGB1($F1858)="FFFFFF",0,4)</f>
        <v>2</v>
      </c>
    </row>
    <row r="1859" spans="1:7" ht="30">
      <c r="A1859" t="s">
        <v>6682</v>
      </c>
      <c r="B1859" s="97" t="s">
        <v>5854</v>
      </c>
      <c r="C1859" s="113">
        <v>70</v>
      </c>
      <c r="D1859" s="404">
        <v>0.4</v>
      </c>
      <c r="E1859" s="113">
        <v>50</v>
      </c>
      <c r="F1859" s="113">
        <v>25</v>
      </c>
      <c r="G1859">
        <f>IF(getRGB1($C1859)="FFFFFF",0,1)+IF(getRGB1($D1859)="FFFFFF",0,2)+IF(getRGB1($E1859)="FFFFFF",0,3)+IF(getRGB1($F1859)="FFFFFF",0,4)</f>
        <v>2</v>
      </c>
    </row>
    <row r="1860" spans="1:7" ht="30">
      <c r="A1860" t="s">
        <v>6682</v>
      </c>
      <c r="B1860" s="97" t="s">
        <v>5855</v>
      </c>
      <c r="C1860" s="113">
        <v>250</v>
      </c>
      <c r="D1860" s="113">
        <v>500</v>
      </c>
      <c r="E1860" s="115">
        <v>100</v>
      </c>
      <c r="F1860" s="113" t="s">
        <v>209</v>
      </c>
      <c r="G1860">
        <f>IF(getRGB1($C1860)="FFFFFF",0,1)+IF(getRGB1($D1860)="FFFFFF",0,2)+IF(getRGB1($E1860)="FFFFFF",0,3)+IF(getRGB1($F1860)="FFFFFF",0,4)</f>
        <v>3</v>
      </c>
    </row>
    <row r="1861" spans="1:7" ht="30">
      <c r="A1861" t="s">
        <v>6682</v>
      </c>
      <c r="B1861" s="97" t="s">
        <v>5856</v>
      </c>
      <c r="C1861" s="115" t="s">
        <v>1439</v>
      </c>
      <c r="D1861" s="134">
        <v>250</v>
      </c>
      <c r="E1861" s="113">
        <v>500</v>
      </c>
      <c r="F1861" s="113" t="s">
        <v>209</v>
      </c>
      <c r="G1861">
        <f>IF(getRGB1($C1861)="FFFFFF",0,1)+IF(getRGB1($D1861)="FFFFFF",0,2)+IF(getRGB1($E1861)="FFFFFF",0,3)+IF(getRGB1($F1861)="FFFFFF",0,4)</f>
        <v>1</v>
      </c>
    </row>
    <row r="1862" spans="1:7" ht="45">
      <c r="A1862" t="s">
        <v>6682</v>
      </c>
      <c r="B1862" s="97" t="s">
        <v>5857</v>
      </c>
      <c r="C1862" s="113">
        <v>100</v>
      </c>
      <c r="D1862" s="115">
        <v>250</v>
      </c>
      <c r="E1862" s="113">
        <v>500</v>
      </c>
      <c r="F1862" s="113" t="s">
        <v>209</v>
      </c>
      <c r="G1862">
        <f>IF(getRGB1($C1862)="FFFFFF",0,1)+IF(getRGB1($D1862)="FFFFFF",0,2)+IF(getRGB1($E1862)="FFFFFF",0,3)+IF(getRGB1($F1862)="FFFFFF",0,4)</f>
        <v>2</v>
      </c>
    </row>
    <row r="1863" spans="1:7" ht="30">
      <c r="A1863" t="s">
        <v>6682</v>
      </c>
      <c r="B1863" s="97" t="s">
        <v>5858</v>
      </c>
      <c r="C1863" s="115" t="b">
        <v>1</v>
      </c>
      <c r="D1863" s="113" t="b">
        <v>0</v>
      </c>
      <c r="E1863" s="113"/>
      <c r="F1863" s="113"/>
      <c r="G1863">
        <f>IF(getRGB1($C1863)="FFFFFF",0,1)+IF(getRGB1($D1863)="FFFFFF",0,2)+IF(getRGB1($E1863)="FFFFFF",0,3)+IF(getRGB1($F1863)="FFFFFF",0,4)</f>
        <v>1</v>
      </c>
    </row>
    <row r="1864" spans="1:7" ht="30">
      <c r="A1864" t="s">
        <v>6682</v>
      </c>
      <c r="B1864" s="97" t="s">
        <v>5859</v>
      </c>
      <c r="C1864" s="113">
        <v>25</v>
      </c>
      <c r="D1864" s="113">
        <v>50</v>
      </c>
      <c r="E1864" s="113">
        <v>75</v>
      </c>
      <c r="F1864" s="115">
        <v>100</v>
      </c>
      <c r="G1864">
        <f>IF(getRGB1($C1864)="FFFFFF",0,1)+IF(getRGB1($D1864)="FFFFFF",0,2)+IF(getRGB1($E1864)="FFFFFF",0,3)+IF(getRGB1($F1864)="FFFFFF",0,4)</f>
        <v>4</v>
      </c>
    </row>
    <row r="1865" spans="1:7">
      <c r="A1865" t="s">
        <v>6682</v>
      </c>
      <c r="B1865" s="97" t="s">
        <v>5860</v>
      </c>
      <c r="C1865" s="113">
        <v>1500</v>
      </c>
      <c r="D1865" s="113">
        <v>3000</v>
      </c>
      <c r="E1865" s="115">
        <v>4500</v>
      </c>
      <c r="F1865" s="134" t="s">
        <v>209</v>
      </c>
      <c r="G1865">
        <f>IF(getRGB1($C1865)="FFFFFF",0,1)+IF(getRGB1($D1865)="FFFFFF",0,2)+IF(getRGB1($E1865)="FFFFFF",0,3)+IF(getRGB1($F1865)="FFFFFF",0,4)</f>
        <v>3</v>
      </c>
    </row>
    <row r="1866" spans="1:7">
      <c r="A1866" t="s">
        <v>6682</v>
      </c>
      <c r="B1866" s="106" t="s">
        <v>5861</v>
      </c>
      <c r="C1866" s="113">
        <v>30</v>
      </c>
      <c r="D1866" s="113">
        <v>40</v>
      </c>
      <c r="E1866" s="115">
        <v>50</v>
      </c>
      <c r="F1866" s="113">
        <v>85</v>
      </c>
      <c r="G1866">
        <f>IF(getRGB1($C1866)="FFFFFF",0,1)+IF(getRGB1($D1866)="FFFFFF",0,2)+IF(getRGB1($E1866)="FFFFFF",0,3)+IF(getRGB1($F1866)="FFFFFF",0,4)</f>
        <v>3</v>
      </c>
    </row>
    <row r="1867" spans="1:7" ht="30">
      <c r="A1867" t="s">
        <v>6682</v>
      </c>
      <c r="B1867" s="106" t="s">
        <v>5862</v>
      </c>
      <c r="C1867" s="412" t="b">
        <v>1</v>
      </c>
      <c r="D1867" s="280" t="b">
        <v>0</v>
      </c>
      <c r="E1867" s="280"/>
      <c r="F1867" s="280"/>
      <c r="G1867">
        <f>IF(getRGB1($C1867)="FFFFFF",0,1)+IF(getRGB1($D1867)="FFFFFF",0,2)+IF(getRGB1($E1867)="FFFFFF",0,3)+IF(getRGB1($F1867)="FFFFFF",0,4)</f>
        <v>1</v>
      </c>
    </row>
    <row r="1868" spans="1:7" ht="75">
      <c r="A1868" t="s">
        <v>6683</v>
      </c>
      <c r="B1868" s="359" t="s">
        <v>5863</v>
      </c>
      <c r="C1868" s="359" t="s">
        <v>5864</v>
      </c>
      <c r="D1868" s="359" t="s">
        <v>5865</v>
      </c>
      <c r="E1868" s="360" t="s">
        <v>5866</v>
      </c>
      <c r="F1868" s="359" t="s">
        <v>5867</v>
      </c>
      <c r="G1868">
        <f>IF(getRGB1($C1868)="FFFFFF",0,1)+IF(getRGB1($D1868)="FFFFFF",0,2)+IF(getRGB1($E1868)="FFFFFF",0,3)+IF(getRGB1($F1868)="FFFFFF",0,4)</f>
        <v>3</v>
      </c>
    </row>
    <row r="1869" spans="1:7" ht="60">
      <c r="A1869" t="s">
        <v>6683</v>
      </c>
      <c r="B1869" s="359" t="s">
        <v>5868</v>
      </c>
      <c r="C1869" s="359" t="s">
        <v>5869</v>
      </c>
      <c r="D1869" s="360" t="s">
        <v>5870</v>
      </c>
      <c r="E1869" s="359" t="s">
        <v>5871</v>
      </c>
      <c r="F1869" s="359" t="s">
        <v>209</v>
      </c>
      <c r="G1869">
        <f>IF(getRGB1($C1869)="FFFFFF",0,1)+IF(getRGB1($D1869)="FFFFFF",0,2)+IF(getRGB1($E1869)="FFFFFF",0,3)+IF(getRGB1($F1869)="FFFFFF",0,4)</f>
        <v>2</v>
      </c>
    </row>
    <row r="1870" spans="1:7" ht="270">
      <c r="A1870" t="s">
        <v>6683</v>
      </c>
      <c r="B1870" s="359" t="s">
        <v>5872</v>
      </c>
      <c r="C1870" s="359" t="s">
        <v>5873</v>
      </c>
      <c r="D1870" s="360" t="s">
        <v>5874</v>
      </c>
      <c r="E1870" s="359" t="s">
        <v>5875</v>
      </c>
      <c r="F1870" s="359" t="s">
        <v>209</v>
      </c>
      <c r="G1870">
        <f>IF(getRGB1($C1870)="FFFFFF",0,1)+IF(getRGB1($D1870)="FFFFFF",0,2)+IF(getRGB1($E1870)="FFFFFF",0,3)+IF(getRGB1($F1870)="FFFFFF",0,4)</f>
        <v>2</v>
      </c>
    </row>
    <row r="1871" spans="1:7" ht="45">
      <c r="A1871" t="s">
        <v>6683</v>
      </c>
      <c r="B1871" s="359" t="s">
        <v>5876</v>
      </c>
      <c r="C1871" s="359" t="s">
        <v>5114</v>
      </c>
      <c r="D1871" s="359" t="s">
        <v>5877</v>
      </c>
      <c r="E1871" s="360" t="s">
        <v>5878</v>
      </c>
      <c r="F1871" s="359" t="s">
        <v>209</v>
      </c>
      <c r="G1871">
        <f>IF(getRGB1($C1871)="FFFFFF",0,1)+IF(getRGB1($D1871)="FFFFFF",0,2)+IF(getRGB1($E1871)="FFFFFF",0,3)+IF(getRGB1($F1871)="FFFFFF",0,4)</f>
        <v>3</v>
      </c>
    </row>
    <row r="1872" spans="1:7" ht="90">
      <c r="A1872" t="s">
        <v>6683</v>
      </c>
      <c r="B1872" s="359" t="s">
        <v>5879</v>
      </c>
      <c r="C1872" s="359" t="s">
        <v>5880</v>
      </c>
      <c r="D1872" s="359" t="s">
        <v>5881</v>
      </c>
      <c r="E1872" s="360" t="s">
        <v>5882</v>
      </c>
      <c r="F1872" s="359" t="s">
        <v>5883</v>
      </c>
      <c r="G1872">
        <f>IF(getRGB1($C1872)="FFFFFF",0,1)+IF(getRGB1($D1872)="FFFFFF",0,2)+IF(getRGB1($E1872)="FFFFFF",0,3)+IF(getRGB1($F1872)="FFFFFF",0,4)</f>
        <v>3</v>
      </c>
    </row>
    <row r="1873" spans="1:7" ht="75">
      <c r="A1873" t="s">
        <v>6683</v>
      </c>
      <c r="B1873" s="359" t="s">
        <v>5884</v>
      </c>
      <c r="C1873" s="360" t="s">
        <v>5885</v>
      </c>
      <c r="D1873" s="359" t="s">
        <v>5886</v>
      </c>
      <c r="E1873" s="359" t="s">
        <v>5887</v>
      </c>
      <c r="F1873" s="359" t="s">
        <v>209</v>
      </c>
      <c r="G1873">
        <f>IF(getRGB1($C1873)="FFFFFF",0,1)+IF(getRGB1($D1873)="FFFFFF",0,2)+IF(getRGB1($E1873)="FFFFFF",0,3)+IF(getRGB1($F1873)="FFFFFF",0,4)</f>
        <v>1</v>
      </c>
    </row>
    <row r="1874" spans="1:7" ht="45">
      <c r="A1874" t="s">
        <v>6684</v>
      </c>
      <c r="B1874" s="359" t="s">
        <v>5888</v>
      </c>
      <c r="C1874" s="360" t="s">
        <v>2777</v>
      </c>
      <c r="D1874" s="359" t="s">
        <v>2776</v>
      </c>
      <c r="E1874" s="359" t="s">
        <v>5889</v>
      </c>
      <c r="F1874" s="359" t="s">
        <v>5890</v>
      </c>
      <c r="G1874">
        <f>IF(getRGB1($C1874)="FFFFFF",0,1)+IF(getRGB1($D1874)="FFFFFF",0,2)+IF(getRGB1($E1874)="FFFFFF",0,3)+IF(getRGB1($F1874)="FFFFFF",0,4)</f>
        <v>1</v>
      </c>
    </row>
    <row r="1875" spans="1:7" ht="30">
      <c r="A1875" t="s">
        <v>6684</v>
      </c>
      <c r="B1875" s="359" t="s">
        <v>5891</v>
      </c>
      <c r="C1875" s="359" t="s">
        <v>5892</v>
      </c>
      <c r="D1875" s="359" t="s">
        <v>5893</v>
      </c>
      <c r="E1875" s="359" t="s">
        <v>5894</v>
      </c>
      <c r="F1875" s="360" t="s">
        <v>457</v>
      </c>
      <c r="G1875">
        <f>IF(getRGB1($C1875)="FFFFFF",0,1)+IF(getRGB1($D1875)="FFFFFF",0,2)+IF(getRGB1($E1875)="FFFFFF",0,3)+IF(getRGB1($F1875)="FFFFFF",0,4)</f>
        <v>4</v>
      </c>
    </row>
    <row r="1876" spans="1:7" ht="45">
      <c r="A1876" t="s">
        <v>6684</v>
      </c>
      <c r="B1876" s="359" t="s">
        <v>5895</v>
      </c>
      <c r="C1876" s="359" t="s">
        <v>5896</v>
      </c>
      <c r="D1876" s="359" t="s">
        <v>5897</v>
      </c>
      <c r="E1876" s="360" t="s">
        <v>5898</v>
      </c>
      <c r="F1876" s="359" t="s">
        <v>209</v>
      </c>
      <c r="G1876">
        <f>IF(getRGB1($C1876)="FFFFFF",0,1)+IF(getRGB1($D1876)="FFFFFF",0,2)+IF(getRGB1($E1876)="FFFFFF",0,3)+IF(getRGB1($F1876)="FFFFFF",0,4)</f>
        <v>3</v>
      </c>
    </row>
    <row r="1877" spans="1:7" ht="45">
      <c r="A1877" t="s">
        <v>6684</v>
      </c>
      <c r="B1877" s="413" t="s">
        <v>5899</v>
      </c>
      <c r="C1877" s="413" t="s">
        <v>5900</v>
      </c>
      <c r="D1877" s="414" t="s">
        <v>5901</v>
      </c>
      <c r="E1877" s="413" t="s">
        <v>5902</v>
      </c>
      <c r="F1877" s="413" t="s">
        <v>5903</v>
      </c>
      <c r="G1877">
        <f>IF(getRGB1($C1877)="FFFFFF",0,1)+IF(getRGB1($D1877)="FFFFFF",0,2)+IF(getRGB1($E1877)="FFFFFF",0,3)+IF(getRGB1($F1877)="FFFFFF",0,4)</f>
        <v>2</v>
      </c>
    </row>
    <row r="1878" spans="1:7" ht="45">
      <c r="A1878" t="s">
        <v>6684</v>
      </c>
      <c r="B1878" s="359" t="s">
        <v>5904</v>
      </c>
      <c r="C1878" s="360" t="s">
        <v>5905</v>
      </c>
      <c r="D1878" s="361" t="s">
        <v>5906</v>
      </c>
      <c r="E1878" s="359" t="s">
        <v>5907</v>
      </c>
      <c r="F1878" s="359" t="s">
        <v>209</v>
      </c>
      <c r="G1878">
        <f>IF(getRGB1($C1878)="FFFFFF",0,1)+IF(getRGB1($D1878)="FFFFFF",0,2)+IF(getRGB1($E1878)="FFFFFF",0,3)+IF(getRGB1($F1878)="FFFFFF",0,4)</f>
        <v>1</v>
      </c>
    </row>
    <row r="1879" spans="1:7" ht="30">
      <c r="A1879" t="s">
        <v>6684</v>
      </c>
      <c r="B1879" s="359" t="s">
        <v>5908</v>
      </c>
      <c r="C1879" s="359" t="s">
        <v>5909</v>
      </c>
      <c r="D1879" s="360" t="s">
        <v>5910</v>
      </c>
      <c r="E1879" s="359" t="s">
        <v>5911</v>
      </c>
      <c r="F1879" s="359" t="s">
        <v>5912</v>
      </c>
      <c r="G1879">
        <f>IF(getRGB1($C1879)="FFFFFF",0,1)+IF(getRGB1($D1879)="FFFFFF",0,2)+IF(getRGB1($E1879)="FFFFFF",0,3)+IF(getRGB1($F1879)="FFFFFF",0,4)</f>
        <v>2</v>
      </c>
    </row>
    <row r="1880" spans="1:7" ht="45">
      <c r="A1880" t="s">
        <v>6684</v>
      </c>
      <c r="B1880" s="359" t="s">
        <v>5913</v>
      </c>
      <c r="C1880" s="360" t="s">
        <v>5914</v>
      </c>
      <c r="D1880" s="361" t="s">
        <v>5915</v>
      </c>
      <c r="E1880" s="359" t="s">
        <v>107</v>
      </c>
      <c r="F1880" s="359" t="s">
        <v>5916</v>
      </c>
      <c r="G1880">
        <f>IF(getRGB1($C1880)="FFFFFF",0,1)+IF(getRGB1($D1880)="FFFFFF",0,2)+IF(getRGB1($E1880)="FFFFFF",0,3)+IF(getRGB1($F1880)="FFFFFF",0,4)</f>
        <v>1</v>
      </c>
    </row>
    <row r="1881" spans="1:7" ht="30">
      <c r="A1881" t="s">
        <v>6684</v>
      </c>
      <c r="B1881" s="359" t="s">
        <v>5917</v>
      </c>
      <c r="C1881" s="359" t="s">
        <v>5914</v>
      </c>
      <c r="D1881" s="361" t="s">
        <v>5915</v>
      </c>
      <c r="E1881" s="360" t="s">
        <v>107</v>
      </c>
      <c r="F1881" s="359" t="s">
        <v>5916</v>
      </c>
      <c r="G1881">
        <f>IF(getRGB1($C1881)="FFFFFF",0,1)+IF(getRGB1($D1881)="FFFFFF",0,2)+IF(getRGB1($E1881)="FFFFFF",0,3)+IF(getRGB1($F1881)="FFFFFF",0,4)</f>
        <v>3</v>
      </c>
    </row>
    <row r="1882" spans="1:7" ht="45">
      <c r="A1882" t="s">
        <v>6684</v>
      </c>
      <c r="B1882" s="359" t="s">
        <v>5918</v>
      </c>
      <c r="C1882" s="360" t="s">
        <v>5919</v>
      </c>
      <c r="D1882" s="359" t="s">
        <v>5920</v>
      </c>
      <c r="E1882" s="359" t="s">
        <v>5921</v>
      </c>
      <c r="F1882" s="359" t="s">
        <v>209</v>
      </c>
      <c r="G1882">
        <f>IF(getRGB1($C1882)="FFFFFF",0,1)+IF(getRGB1($D1882)="FFFFFF",0,2)+IF(getRGB1($E1882)="FFFFFF",0,3)+IF(getRGB1($F1882)="FFFFFF",0,4)</f>
        <v>1</v>
      </c>
    </row>
    <row r="1883" spans="1:7" ht="75">
      <c r="A1883" t="s">
        <v>6685</v>
      </c>
      <c r="B1883" s="326" t="s">
        <v>5922</v>
      </c>
      <c r="C1883" s="415" t="s">
        <v>5923</v>
      </c>
      <c r="D1883" s="352" t="s">
        <v>5924</v>
      </c>
      <c r="E1883" s="352" t="s">
        <v>5925</v>
      </c>
      <c r="F1883" s="327" t="s">
        <v>209</v>
      </c>
      <c r="G1883">
        <f>IF(getRGB1($C1883)="FFFFFF",0,1)+IF(getRGB1($D1883)="FFFFFF",0,2)+IF(getRGB1($E1883)="FFFFFF",0,3)+IF(getRGB1($F1883)="FFFFFF",0,4)</f>
        <v>1</v>
      </c>
    </row>
    <row r="1884" spans="1:7" ht="157.5">
      <c r="A1884" t="s">
        <v>6685</v>
      </c>
      <c r="B1884" s="326" t="s">
        <v>5926</v>
      </c>
      <c r="C1884" s="416" t="s">
        <v>5927</v>
      </c>
      <c r="D1884" s="416" t="s">
        <v>5928</v>
      </c>
      <c r="E1884" s="417" t="s">
        <v>5929</v>
      </c>
      <c r="F1884" s="416" t="s">
        <v>5930</v>
      </c>
      <c r="G1884">
        <f>IF(getRGB1($C1884)="FFFFFF",0,1)+IF(getRGB1($D1884)="FFFFFF",0,2)+IF(getRGB1($E1884)="FFFFFF",0,3)+IF(getRGB1($F1884)="FFFFFF",0,4)</f>
        <v>3</v>
      </c>
    </row>
    <row r="1885" spans="1:7" ht="60">
      <c r="A1885" t="s">
        <v>6685</v>
      </c>
      <c r="B1885" s="418" t="s">
        <v>5931</v>
      </c>
      <c r="C1885" s="329" t="s">
        <v>5932</v>
      </c>
      <c r="D1885" s="327" t="s">
        <v>5933</v>
      </c>
      <c r="E1885" s="327" t="s">
        <v>5934</v>
      </c>
      <c r="F1885" s="327" t="s">
        <v>209</v>
      </c>
      <c r="G1885">
        <f>IF(getRGB1($C1885)="FFFFFF",0,1)+IF(getRGB1($D1885)="FFFFFF",0,2)+IF(getRGB1($E1885)="FFFFFF",0,3)+IF(getRGB1($F1885)="FFFFFF",0,4)</f>
        <v>1</v>
      </c>
    </row>
    <row r="1886" spans="1:7" ht="75">
      <c r="A1886" t="s">
        <v>6685</v>
      </c>
      <c r="B1886" s="326" t="s">
        <v>5935</v>
      </c>
      <c r="C1886" s="419" t="s">
        <v>5936</v>
      </c>
      <c r="D1886" s="420" t="s">
        <v>5937</v>
      </c>
      <c r="E1886" s="419" t="s">
        <v>5938</v>
      </c>
      <c r="F1886" s="419" t="s">
        <v>5939</v>
      </c>
      <c r="G1886">
        <f>IF(getRGB1($C1886)="FFFFFF",0,1)+IF(getRGB1($D1886)="FFFFFF",0,2)+IF(getRGB1($E1886)="FFFFFF",0,3)+IF(getRGB1($F1886)="FFFFFF",0,4)</f>
        <v>2</v>
      </c>
    </row>
    <row r="1887" spans="1:7" ht="75">
      <c r="A1887" t="s">
        <v>6685</v>
      </c>
      <c r="B1887" s="326" t="s">
        <v>5940</v>
      </c>
      <c r="C1887" s="327" t="s">
        <v>5941</v>
      </c>
      <c r="D1887" s="327" t="s">
        <v>5942</v>
      </c>
      <c r="E1887" s="329" t="s">
        <v>5943</v>
      </c>
      <c r="F1887" s="327" t="s">
        <v>209</v>
      </c>
      <c r="G1887">
        <f>IF(getRGB1($C1887)="FFFFFF",0,1)+IF(getRGB1($D1887)="FFFFFF",0,2)+IF(getRGB1($E1887)="FFFFFF",0,3)+IF(getRGB1($F1887)="FFFFFF",0,4)</f>
        <v>3</v>
      </c>
    </row>
    <row r="1888" spans="1:7" ht="91.5">
      <c r="A1888" t="s">
        <v>6685</v>
      </c>
      <c r="B1888" s="326" t="s">
        <v>5944</v>
      </c>
      <c r="C1888" s="329" t="b">
        <v>1</v>
      </c>
      <c r="D1888" s="331" t="b">
        <v>0</v>
      </c>
      <c r="E1888" s="331"/>
      <c r="F1888" s="331"/>
      <c r="G1888">
        <f>IF(getRGB1($C1888)="FFFFFF",0,1)+IF(getRGB1($D1888)="FFFFFF",0,2)+IF(getRGB1($E1888)="FFFFFF",0,3)+IF(getRGB1($F1888)="FFFFFF",0,4)</f>
        <v>1</v>
      </c>
    </row>
    <row r="1889" spans="1:7" ht="60">
      <c r="A1889" t="s">
        <v>6685</v>
      </c>
      <c r="B1889" s="326" t="s">
        <v>5945</v>
      </c>
      <c r="C1889" s="329" t="s">
        <v>5946</v>
      </c>
      <c r="D1889" s="326" t="s">
        <v>5236</v>
      </c>
      <c r="E1889" s="326" t="s">
        <v>5947</v>
      </c>
      <c r="F1889" s="326" t="s">
        <v>209</v>
      </c>
      <c r="G1889">
        <f>IF(getRGB1($C1889)="FFFFFF",0,1)+IF(getRGB1($D1889)="FFFFFF",0,2)+IF(getRGB1($E1889)="FFFFFF",0,3)+IF(getRGB1($F1889)="FFFFFF",0,4)</f>
        <v>1</v>
      </c>
    </row>
    <row r="1890" spans="1:7" ht="90">
      <c r="A1890" t="s">
        <v>6685</v>
      </c>
      <c r="B1890" s="326" t="s">
        <v>5948</v>
      </c>
      <c r="C1890" s="329" t="s">
        <v>5949</v>
      </c>
      <c r="D1890" s="326" t="s">
        <v>5950</v>
      </c>
      <c r="E1890" s="326" t="s">
        <v>5951</v>
      </c>
      <c r="F1890" s="326" t="s">
        <v>209</v>
      </c>
      <c r="G1890">
        <f>IF(getRGB1($C1890)="FFFFFF",0,1)+IF(getRGB1($D1890)="FFFFFF",0,2)+IF(getRGB1($E1890)="FFFFFF",0,3)+IF(getRGB1($F1890)="FFFFFF",0,4)</f>
        <v>1</v>
      </c>
    </row>
    <row r="1891" spans="1:7">
      <c r="A1891" t="s">
        <v>6686</v>
      </c>
      <c r="B1891" s="381" t="s">
        <v>5952</v>
      </c>
      <c r="C1891" s="386" t="s">
        <v>5953</v>
      </c>
      <c r="D1891" s="208" t="s">
        <v>5954</v>
      </c>
      <c r="E1891" s="208" t="s">
        <v>5759</v>
      </c>
      <c r="F1891" s="208" t="s">
        <v>457</v>
      </c>
      <c r="G1891">
        <f>IF(getRGB1($C1891)="FFFFFF",0,1)+IF(getRGB1($D1891)="FFFFFF",0,2)+IF(getRGB1($E1891)="FFFFFF",0,3)+IF(getRGB1($F1891)="FFFFFF",0,4)</f>
        <v>1</v>
      </c>
    </row>
    <row r="1892" spans="1:7">
      <c r="A1892" t="s">
        <v>6686</v>
      </c>
      <c r="B1892" s="381" t="s">
        <v>5955</v>
      </c>
      <c r="C1892" s="208" t="s">
        <v>5956</v>
      </c>
      <c r="D1892" s="208" t="s">
        <v>5957</v>
      </c>
      <c r="E1892" s="386" t="s">
        <v>5958</v>
      </c>
      <c r="F1892" s="208" t="s">
        <v>468</v>
      </c>
      <c r="G1892">
        <f>IF(getRGB1($C1892)="FFFFFF",0,1)+IF(getRGB1($D1892)="FFFFFF",0,2)+IF(getRGB1($E1892)="FFFFFF",0,3)+IF(getRGB1($F1892)="FFFFFF",0,4)</f>
        <v>3</v>
      </c>
    </row>
    <row r="1893" spans="1:7" ht="30">
      <c r="A1893" t="s">
        <v>6686</v>
      </c>
      <c r="B1893" s="383" t="s">
        <v>5959</v>
      </c>
      <c r="C1893" s="208" t="s">
        <v>5960</v>
      </c>
      <c r="D1893" s="208" t="s">
        <v>5961</v>
      </c>
      <c r="E1893" s="208" t="s">
        <v>5962</v>
      </c>
      <c r="F1893" s="386" t="s">
        <v>5963</v>
      </c>
      <c r="G1893">
        <f>IF(getRGB1($C1893)="FFFFFF",0,1)+IF(getRGB1($D1893)="FFFFFF",0,2)+IF(getRGB1($E1893)="FFFFFF",0,3)+IF(getRGB1($F1893)="FFFFFF",0,4)</f>
        <v>4</v>
      </c>
    </row>
    <row r="1894" spans="1:7" ht="30">
      <c r="A1894" t="s">
        <v>6686</v>
      </c>
      <c r="B1894" s="383" t="s">
        <v>5964</v>
      </c>
      <c r="C1894" s="208" t="s">
        <v>5965</v>
      </c>
      <c r="D1894" s="208" t="s">
        <v>5966</v>
      </c>
      <c r="E1894" s="386" t="s">
        <v>5967</v>
      </c>
      <c r="F1894" s="208" t="s">
        <v>5968</v>
      </c>
      <c r="G1894">
        <f>IF(getRGB1($C1894)="FFFFFF",0,1)+IF(getRGB1($D1894)="FFFFFF",0,2)+IF(getRGB1($E1894)="FFFFFF",0,3)+IF(getRGB1($F1894)="FFFFFF",0,4)</f>
        <v>3</v>
      </c>
    </row>
    <row r="1895" spans="1:7" ht="30">
      <c r="A1895" t="s">
        <v>6686</v>
      </c>
      <c r="B1895" s="383" t="s">
        <v>5969</v>
      </c>
      <c r="C1895" s="208" t="s">
        <v>5970</v>
      </c>
      <c r="D1895" s="386" t="s">
        <v>5971</v>
      </c>
      <c r="E1895" s="208" t="s">
        <v>5972</v>
      </c>
      <c r="F1895" s="208" t="s">
        <v>5973</v>
      </c>
      <c r="G1895">
        <f>IF(getRGB1($C1895)="FFFFFF",0,1)+IF(getRGB1($D1895)="FFFFFF",0,2)+IF(getRGB1($E1895)="FFFFFF",0,3)+IF(getRGB1($F1895)="FFFFFF",0,4)</f>
        <v>2</v>
      </c>
    </row>
    <row r="1896" spans="1:7" ht="45">
      <c r="A1896" t="s">
        <v>6686</v>
      </c>
      <c r="B1896" s="383" t="s">
        <v>5974</v>
      </c>
      <c r="C1896" s="208">
        <v>0.4</v>
      </c>
      <c r="D1896" s="208">
        <v>0.5</v>
      </c>
      <c r="E1896" s="386">
        <v>0.6</v>
      </c>
      <c r="F1896" s="208">
        <v>0.7</v>
      </c>
      <c r="G1896">
        <f>IF(getRGB1($C1896)="FFFFFF",0,1)+IF(getRGB1($D1896)="FFFFFF",0,2)+IF(getRGB1($E1896)="FFFFFF",0,3)+IF(getRGB1($F1896)="FFFFFF",0,4)</f>
        <v>3</v>
      </c>
    </row>
    <row r="1897" spans="1:7">
      <c r="A1897" t="s">
        <v>6686</v>
      </c>
      <c r="B1897" s="387" t="s">
        <v>5975</v>
      </c>
      <c r="C1897" s="208">
        <v>1.5</v>
      </c>
      <c r="D1897" s="386">
        <v>1.6</v>
      </c>
      <c r="E1897" s="208">
        <v>1.7</v>
      </c>
      <c r="F1897" s="208">
        <v>1.8</v>
      </c>
      <c r="G1897">
        <f>IF(getRGB1($C1897)="FFFFFF",0,1)+IF(getRGB1($D1897)="FFFFFF",0,2)+IF(getRGB1($E1897)="FFFFFF",0,3)+IF(getRGB1($F1897)="FFFFFF",0,4)</f>
        <v>2</v>
      </c>
    </row>
    <row r="1898" spans="1:7" ht="30">
      <c r="A1898" t="s">
        <v>6686</v>
      </c>
      <c r="B1898" s="381" t="s">
        <v>5976</v>
      </c>
      <c r="C1898" s="208">
        <v>4.5999999999999996</v>
      </c>
      <c r="D1898" s="208">
        <v>4.9000000000000004</v>
      </c>
      <c r="E1898" s="386">
        <v>5.2</v>
      </c>
      <c r="F1898" s="208">
        <v>5.7</v>
      </c>
      <c r="G1898">
        <f>IF(getRGB1($C1898)="FFFFFF",0,1)+IF(getRGB1($D1898)="FFFFFF",0,2)+IF(getRGB1($E1898)="FFFFFF",0,3)+IF(getRGB1($F1898)="FFFFFF",0,4)</f>
        <v>3</v>
      </c>
    </row>
    <row r="1899" spans="1:7" ht="30">
      <c r="A1899" t="s">
        <v>6686</v>
      </c>
      <c r="B1899" s="384" t="s">
        <v>5977</v>
      </c>
      <c r="C1899" s="386" t="b">
        <v>1</v>
      </c>
      <c r="D1899" s="208" t="b">
        <v>0</v>
      </c>
      <c r="E1899" s="208"/>
      <c r="F1899" s="208"/>
      <c r="G1899">
        <f>IF(getRGB1($C1899)="FFFFFF",0,1)+IF(getRGB1($D1899)="FFFFFF",0,2)+IF(getRGB1($E1899)="FFFFFF",0,3)+IF(getRGB1($F1899)="FFFFFF",0,4)</f>
        <v>1</v>
      </c>
    </row>
    <row r="1900" spans="1:7">
      <c r="A1900" t="s">
        <v>6686</v>
      </c>
      <c r="B1900" s="383" t="s">
        <v>5978</v>
      </c>
      <c r="C1900" s="208" t="s">
        <v>5979</v>
      </c>
      <c r="D1900" s="208" t="s">
        <v>5954</v>
      </c>
      <c r="E1900" s="208" t="s">
        <v>5980</v>
      </c>
      <c r="F1900" s="386" t="s">
        <v>457</v>
      </c>
      <c r="G1900">
        <f>IF(getRGB1($C1900)="FFFFFF",0,1)+IF(getRGB1($D1900)="FFFFFF",0,2)+IF(getRGB1($E1900)="FFFFFF",0,3)+IF(getRGB1($F1900)="FFFFFF",0,4)</f>
        <v>4</v>
      </c>
    </row>
    <row r="1901" spans="1:7">
      <c r="A1901" t="s">
        <v>6686</v>
      </c>
      <c r="B1901" s="383" t="s">
        <v>5981</v>
      </c>
      <c r="C1901" s="208" t="s">
        <v>5954</v>
      </c>
      <c r="D1901" s="386" t="s">
        <v>5982</v>
      </c>
      <c r="E1901" s="208" t="s">
        <v>4666</v>
      </c>
      <c r="F1901" s="208" t="s">
        <v>209</v>
      </c>
      <c r="G1901">
        <f>IF(getRGB1($C1901)="FFFFFF",0,1)+IF(getRGB1($D1901)="FFFFFF",0,2)+IF(getRGB1($E1901)="FFFFFF",0,3)+IF(getRGB1($F1901)="FFFFFF",0,4)</f>
        <v>2</v>
      </c>
    </row>
    <row r="1902" spans="1:7" ht="30">
      <c r="A1902" t="s">
        <v>6686</v>
      </c>
      <c r="B1902" s="381" t="s">
        <v>5983</v>
      </c>
      <c r="C1902" s="208">
        <v>5</v>
      </c>
      <c r="D1902" s="208">
        <v>6</v>
      </c>
      <c r="E1902" s="386">
        <v>7</v>
      </c>
      <c r="F1902" s="208">
        <v>8</v>
      </c>
      <c r="G1902">
        <f>IF(getRGB1($C1902)="FFFFFF",0,1)+IF(getRGB1($D1902)="FFFFFF",0,2)+IF(getRGB1($E1902)="FFFFFF",0,3)+IF(getRGB1($F1902)="FFFFFF",0,4)</f>
        <v>3</v>
      </c>
    </row>
    <row r="1903" spans="1:7" ht="30">
      <c r="A1903" t="s">
        <v>6686</v>
      </c>
      <c r="B1903" s="383" t="s">
        <v>5984</v>
      </c>
      <c r="C1903" s="386" t="s">
        <v>5985</v>
      </c>
      <c r="D1903" s="208" t="s">
        <v>1494</v>
      </c>
      <c r="E1903" s="208" t="s">
        <v>5986</v>
      </c>
      <c r="F1903" s="208" t="s">
        <v>1887</v>
      </c>
      <c r="G1903">
        <f>IF(getRGB1($C1903)="FFFFFF",0,1)+IF(getRGB1($D1903)="FFFFFF",0,2)+IF(getRGB1($E1903)="FFFFFF",0,3)+IF(getRGB1($F1903)="FFFFFF",0,4)</f>
        <v>1</v>
      </c>
    </row>
    <row r="1904" spans="1:7" ht="30">
      <c r="A1904" t="s">
        <v>6686</v>
      </c>
      <c r="B1904" s="383" t="s">
        <v>5987</v>
      </c>
      <c r="C1904" s="208" t="s">
        <v>5988</v>
      </c>
      <c r="D1904" s="208" t="s">
        <v>5989</v>
      </c>
      <c r="E1904" s="208" t="s">
        <v>5990</v>
      </c>
      <c r="F1904" s="386" t="s">
        <v>457</v>
      </c>
      <c r="G1904">
        <f>IF(getRGB1($C1904)="FFFFFF",0,1)+IF(getRGB1($D1904)="FFFFFF",0,2)+IF(getRGB1($E1904)="FFFFFF",0,3)+IF(getRGB1($F1904)="FFFFFF",0,4)</f>
        <v>4</v>
      </c>
    </row>
    <row r="1905" spans="1:7" ht="30">
      <c r="A1905" t="s">
        <v>6686</v>
      </c>
      <c r="B1905" s="383" t="s">
        <v>5991</v>
      </c>
      <c r="C1905" s="386" t="s">
        <v>5992</v>
      </c>
      <c r="D1905" s="208" t="s">
        <v>5993</v>
      </c>
      <c r="E1905" s="208" t="s">
        <v>5958</v>
      </c>
      <c r="F1905" s="208" t="s">
        <v>5994</v>
      </c>
      <c r="G1905">
        <f>IF(getRGB1($C1905)="FFFFFF",0,1)+IF(getRGB1($D1905)="FFFFFF",0,2)+IF(getRGB1($E1905)="FFFFFF",0,3)+IF(getRGB1($F1905)="FFFFFF",0,4)</f>
        <v>1</v>
      </c>
    </row>
    <row r="1906" spans="1:7">
      <c r="A1906" t="s">
        <v>6686</v>
      </c>
      <c r="B1906" s="383" t="s">
        <v>5995</v>
      </c>
      <c r="C1906" s="208" t="s">
        <v>5996</v>
      </c>
      <c r="D1906" s="208" t="s">
        <v>5997</v>
      </c>
      <c r="E1906" s="386" t="s">
        <v>4666</v>
      </c>
      <c r="F1906" s="208" t="s">
        <v>468</v>
      </c>
      <c r="G1906">
        <f>IF(getRGB1($C1906)="FFFFFF",0,1)+IF(getRGB1($D1906)="FFFFFF",0,2)+IF(getRGB1($E1906)="FFFFFF",0,3)+IF(getRGB1($F1906)="FFFFFF",0,4)</f>
        <v>3</v>
      </c>
    </row>
    <row r="1907" spans="1:7" ht="30">
      <c r="A1907" t="s">
        <v>6686</v>
      </c>
      <c r="B1907" s="383" t="s">
        <v>5998</v>
      </c>
      <c r="C1907" s="208" t="s">
        <v>5999</v>
      </c>
      <c r="D1907" s="386" t="s">
        <v>6000</v>
      </c>
      <c r="E1907" s="208" t="s">
        <v>6001</v>
      </c>
      <c r="F1907" s="208" t="s">
        <v>6002</v>
      </c>
      <c r="G1907">
        <f>IF(getRGB1($C1907)="FFFFFF",0,1)+IF(getRGB1($D1907)="FFFFFF",0,2)+IF(getRGB1($E1907)="FFFFFF",0,3)+IF(getRGB1($F1907)="FFFFFF",0,4)</f>
        <v>2</v>
      </c>
    </row>
    <row r="1908" spans="1:7" ht="47.25">
      <c r="A1908" t="s">
        <v>6686</v>
      </c>
      <c r="B1908" s="421" t="s">
        <v>6003</v>
      </c>
      <c r="C1908" s="386" t="s">
        <v>6004</v>
      </c>
      <c r="D1908" s="208" t="s">
        <v>6005</v>
      </c>
      <c r="E1908" s="208" t="s">
        <v>4666</v>
      </c>
      <c r="F1908" s="208" t="s">
        <v>468</v>
      </c>
      <c r="G1908">
        <f>IF(getRGB1($C1908)="FFFFFF",0,1)+IF(getRGB1($D1908)="FFFFFF",0,2)+IF(getRGB1($E1908)="FFFFFF",0,3)+IF(getRGB1($F1908)="FFFFFF",0,4)</f>
        <v>1</v>
      </c>
    </row>
    <row r="1909" spans="1:7" ht="30">
      <c r="A1909" t="s">
        <v>6686</v>
      </c>
      <c r="B1909" s="383" t="s">
        <v>6006</v>
      </c>
      <c r="C1909" s="386" t="s">
        <v>6007</v>
      </c>
      <c r="D1909" s="208" t="s">
        <v>6008</v>
      </c>
      <c r="E1909" s="208" t="s">
        <v>4666</v>
      </c>
      <c r="F1909" s="208" t="s">
        <v>468</v>
      </c>
      <c r="G1909">
        <f>IF(getRGB1($C1909)="FFFFFF",0,1)+IF(getRGB1($D1909)="FFFFFF",0,2)+IF(getRGB1($E1909)="FFFFFF",0,3)+IF(getRGB1($F1909)="FFFFFF",0,4)</f>
        <v>1</v>
      </c>
    </row>
    <row r="1910" spans="1:7" ht="30">
      <c r="A1910" t="s">
        <v>6686</v>
      </c>
      <c r="B1910" s="383" t="s">
        <v>6009</v>
      </c>
      <c r="C1910" s="208" t="s">
        <v>6010</v>
      </c>
      <c r="D1910" s="386" t="s">
        <v>6011</v>
      </c>
      <c r="E1910" s="208" t="s">
        <v>6012</v>
      </c>
      <c r="F1910" s="208" t="s">
        <v>6013</v>
      </c>
      <c r="G1910">
        <f>IF(getRGB1($C1910)="FFFFFF",0,1)+IF(getRGB1($D1910)="FFFFFF",0,2)+IF(getRGB1($E1910)="FFFFFF",0,3)+IF(getRGB1($F1910)="FFFFFF",0,4)</f>
        <v>2</v>
      </c>
    </row>
    <row r="1911" spans="1:7">
      <c r="A1911" t="s">
        <v>6686</v>
      </c>
      <c r="B1911" s="381" t="s">
        <v>6014</v>
      </c>
      <c r="C1911" s="386" t="b">
        <v>1</v>
      </c>
      <c r="D1911" s="208" t="b">
        <v>0</v>
      </c>
      <c r="E1911" s="208"/>
      <c r="F1911" s="208"/>
      <c r="G1911">
        <f>IF(getRGB1($C1911)="FFFFFF",0,1)+IF(getRGB1($D1911)="FFFFFF",0,2)+IF(getRGB1($E1911)="FFFFFF",0,3)+IF(getRGB1($F1911)="FFFFFF",0,4)</f>
        <v>1</v>
      </c>
    </row>
    <row r="1912" spans="1:7">
      <c r="A1912" t="s">
        <v>6686</v>
      </c>
      <c r="B1912" s="383" t="s">
        <v>6015</v>
      </c>
      <c r="C1912" s="208" t="s">
        <v>6016</v>
      </c>
      <c r="D1912" s="208" t="s">
        <v>6017</v>
      </c>
      <c r="E1912" s="208" t="s">
        <v>6018</v>
      </c>
      <c r="F1912" s="386" t="s">
        <v>5994</v>
      </c>
      <c r="G1912">
        <f>IF(getRGB1($C1912)="FFFFFF",0,1)+IF(getRGB1($D1912)="FFFFFF",0,2)+IF(getRGB1($E1912)="FFFFFF",0,3)+IF(getRGB1($F1912)="FFFFFF",0,4)</f>
        <v>4</v>
      </c>
    </row>
    <row r="1913" spans="1:7" ht="60">
      <c r="A1913" t="s">
        <v>6686</v>
      </c>
      <c r="B1913" s="383" t="s">
        <v>6019</v>
      </c>
      <c r="C1913" s="386" t="b">
        <v>1</v>
      </c>
      <c r="D1913" s="208" t="b">
        <v>0</v>
      </c>
      <c r="E1913" s="208"/>
      <c r="F1913" s="208"/>
      <c r="G1913">
        <f>IF(getRGB1($C1913)="FFFFFF",0,1)+IF(getRGB1($D1913)="FFFFFF",0,2)+IF(getRGB1($E1913)="FFFFFF",0,3)+IF(getRGB1($F1913)="FFFFFF",0,4)</f>
        <v>1</v>
      </c>
    </row>
    <row r="1914" spans="1:7">
      <c r="A1914" t="s">
        <v>6686</v>
      </c>
      <c r="B1914" s="383" t="s">
        <v>6020</v>
      </c>
      <c r="C1914" s="208" t="s">
        <v>6021</v>
      </c>
      <c r="D1914" s="208" t="s">
        <v>6022</v>
      </c>
      <c r="E1914" s="386" t="s">
        <v>6023</v>
      </c>
      <c r="F1914" s="208" t="s">
        <v>6024</v>
      </c>
      <c r="G1914">
        <f>IF(getRGB1($C1914)="FFFFFF",0,1)+IF(getRGB1($D1914)="FFFFFF",0,2)+IF(getRGB1($E1914)="FFFFFF",0,3)+IF(getRGB1($F1914)="FFFFFF",0,4)</f>
        <v>3</v>
      </c>
    </row>
    <row r="1915" spans="1:7" ht="30">
      <c r="A1915" t="s">
        <v>6686</v>
      </c>
      <c r="B1915" s="383" t="s">
        <v>6025</v>
      </c>
      <c r="C1915" s="208">
        <v>10</v>
      </c>
      <c r="D1915" s="208">
        <v>15</v>
      </c>
      <c r="E1915" s="386">
        <v>20</v>
      </c>
      <c r="F1915" s="208">
        <v>25</v>
      </c>
      <c r="G1915">
        <f>IF(getRGB1($C1915)="FFFFFF",0,1)+IF(getRGB1($D1915)="FFFFFF",0,2)+IF(getRGB1($E1915)="FFFFFF",0,3)+IF(getRGB1($F1915)="FFFFFF",0,4)</f>
        <v>3</v>
      </c>
    </row>
    <row r="1916" spans="1:7" ht="30">
      <c r="A1916" t="s">
        <v>6686</v>
      </c>
      <c r="B1916" s="383" t="s">
        <v>6026</v>
      </c>
      <c r="C1916" s="386" t="b">
        <v>1</v>
      </c>
      <c r="D1916" s="208" t="b">
        <v>0</v>
      </c>
      <c r="E1916" s="208"/>
      <c r="F1916" s="208"/>
      <c r="G1916">
        <f>IF(getRGB1($C1916)="FFFFFF",0,1)+IF(getRGB1($D1916)="FFFFFF",0,2)+IF(getRGB1($E1916)="FFFFFF",0,3)+IF(getRGB1($F1916)="FFFFFF",0,4)</f>
        <v>1</v>
      </c>
    </row>
    <row r="1917" spans="1:7" ht="30">
      <c r="A1917" t="s">
        <v>6686</v>
      </c>
      <c r="B1917" s="383" t="s">
        <v>6027</v>
      </c>
      <c r="C1917" s="386" t="b">
        <v>1</v>
      </c>
      <c r="D1917" s="208" t="b">
        <v>0</v>
      </c>
      <c r="E1917" s="208"/>
      <c r="F1917" s="208"/>
      <c r="G1917">
        <f>IF(getRGB1($C1917)="FFFFFF",0,1)+IF(getRGB1($D1917)="FFFFFF",0,2)+IF(getRGB1($E1917)="FFFFFF",0,3)+IF(getRGB1($F1917)="FFFFFF",0,4)</f>
        <v>1</v>
      </c>
    </row>
    <row r="1918" spans="1:7" ht="30">
      <c r="A1918" t="s">
        <v>6686</v>
      </c>
      <c r="B1918" s="383" t="s">
        <v>6028</v>
      </c>
      <c r="C1918" s="386" t="b">
        <v>1</v>
      </c>
      <c r="D1918" s="208" t="b">
        <v>0</v>
      </c>
      <c r="E1918" s="208"/>
      <c r="F1918" s="208"/>
      <c r="G1918">
        <f>IF(getRGB1($C1918)="FFFFFF",0,1)+IF(getRGB1($D1918)="FFFFFF",0,2)+IF(getRGB1($E1918)="FFFFFF",0,3)+IF(getRGB1($F1918)="FFFFFF",0,4)</f>
        <v>1</v>
      </c>
    </row>
    <row r="1919" spans="1:7" ht="30">
      <c r="A1919" t="s">
        <v>6686</v>
      </c>
      <c r="B1919" s="383" t="s">
        <v>6029</v>
      </c>
      <c r="C1919" s="386" t="b">
        <v>1</v>
      </c>
      <c r="D1919" s="208" t="b">
        <v>0</v>
      </c>
      <c r="E1919" s="208"/>
      <c r="F1919" s="208"/>
      <c r="G1919">
        <f>IF(getRGB1($C1919)="FFFFFF",0,1)+IF(getRGB1($D1919)="FFFFFF",0,2)+IF(getRGB1($E1919)="FFFFFF",0,3)+IF(getRGB1($F1919)="FFFFFF",0,4)</f>
        <v>1</v>
      </c>
    </row>
    <row r="1920" spans="1:7" ht="30">
      <c r="A1920" t="s">
        <v>6686</v>
      </c>
      <c r="B1920" s="383" t="s">
        <v>6030</v>
      </c>
      <c r="C1920" s="208">
        <v>25</v>
      </c>
      <c r="D1920" s="208">
        <v>27</v>
      </c>
      <c r="E1920" s="386">
        <v>30</v>
      </c>
      <c r="F1920" s="208">
        <v>33</v>
      </c>
      <c r="G1920">
        <f>IF(getRGB1($C1920)="FFFFFF",0,1)+IF(getRGB1($D1920)="FFFFFF",0,2)+IF(getRGB1($E1920)="FFFFFF",0,3)+IF(getRGB1($F1920)="FFFFFF",0,4)</f>
        <v>3</v>
      </c>
    </row>
    <row r="1921" spans="1:7">
      <c r="A1921" t="s">
        <v>6686</v>
      </c>
      <c r="B1921" s="383" t="s">
        <v>6031</v>
      </c>
      <c r="C1921" s="208" t="s">
        <v>6032</v>
      </c>
      <c r="D1921" s="208" t="s">
        <v>6033</v>
      </c>
      <c r="E1921" s="386" t="s">
        <v>4666</v>
      </c>
      <c r="F1921" s="208" t="s">
        <v>468</v>
      </c>
      <c r="G1921">
        <f>IF(getRGB1($C1921)="FFFFFF",0,1)+IF(getRGB1($D1921)="FFFFFF",0,2)+IF(getRGB1($E1921)="FFFFFF",0,3)+IF(getRGB1($F1921)="FFFFFF",0,4)</f>
        <v>3</v>
      </c>
    </row>
    <row r="1922" spans="1:7" ht="30">
      <c r="A1922" t="s">
        <v>6686</v>
      </c>
      <c r="B1922" s="383" t="s">
        <v>6034</v>
      </c>
      <c r="C1922" s="386" t="b">
        <v>1</v>
      </c>
      <c r="D1922" s="208" t="b">
        <v>0</v>
      </c>
      <c r="E1922" s="208"/>
      <c r="F1922" s="208"/>
      <c r="G1922">
        <f>IF(getRGB1($C1922)="FFFFFF",0,1)+IF(getRGB1($D1922)="FFFFFF",0,2)+IF(getRGB1($E1922)="FFFFFF",0,3)+IF(getRGB1($F1922)="FFFFFF",0,4)</f>
        <v>1</v>
      </c>
    </row>
    <row r="1923" spans="1:7">
      <c r="A1923" t="s">
        <v>6686</v>
      </c>
      <c r="B1923" s="422" t="s">
        <v>6035</v>
      </c>
      <c r="C1923" s="423">
        <v>125</v>
      </c>
      <c r="D1923" s="424">
        <v>350</v>
      </c>
      <c r="E1923" s="423">
        <v>500</v>
      </c>
      <c r="F1923" s="423">
        <v>275</v>
      </c>
      <c r="G1923">
        <f>IF(getRGB1($C1923)="FFFFFF",0,1)+IF(getRGB1($D1923)="FFFFFF",0,2)+IF(getRGB1($E1923)="FFFFFF",0,3)+IF(getRGB1($F1923)="FFFFFF",0,4)</f>
        <v>2</v>
      </c>
    </row>
    <row r="1924" spans="1:7" ht="30">
      <c r="A1924" t="s">
        <v>6686</v>
      </c>
      <c r="B1924" s="422" t="s">
        <v>6036</v>
      </c>
      <c r="C1924" s="423" t="s">
        <v>6037</v>
      </c>
      <c r="D1924" s="423" t="s">
        <v>6038</v>
      </c>
      <c r="E1924" s="425" t="s">
        <v>6039</v>
      </c>
      <c r="F1924" s="382" t="s">
        <v>6040</v>
      </c>
      <c r="G1924">
        <f>IF(getRGB1($C1924)="FFFFFF",0,1)+IF(getRGB1($D1924)="FFFFFF",0,2)+IF(getRGB1($E1924)="FFFFFF",0,3)+IF(getRGB1($F1924)="FFFFFF",0,4)</f>
        <v>4</v>
      </c>
    </row>
    <row r="1925" spans="1:7" ht="30">
      <c r="A1925" t="s">
        <v>6686</v>
      </c>
      <c r="B1925" s="422" t="s">
        <v>6041</v>
      </c>
      <c r="C1925" s="424" t="s">
        <v>6042</v>
      </c>
      <c r="D1925" s="423" t="s">
        <v>6043</v>
      </c>
      <c r="E1925" s="425" t="s">
        <v>6044</v>
      </c>
      <c r="F1925" s="380" t="s">
        <v>6040</v>
      </c>
      <c r="G1925">
        <f>IF(getRGB1($C1925)="FFFFFF",0,1)+IF(getRGB1($D1925)="FFFFFF",0,2)+IF(getRGB1($E1925)="FFFFFF",0,3)+IF(getRGB1($F1925)="FFFFFF",0,4)</f>
        <v>1</v>
      </c>
    </row>
    <row r="1926" spans="1:7" ht="30">
      <c r="A1926" t="s">
        <v>6686</v>
      </c>
      <c r="B1926" s="422" t="s">
        <v>6045</v>
      </c>
      <c r="C1926" s="426" t="s">
        <v>6042</v>
      </c>
      <c r="D1926" s="424" t="s">
        <v>6046</v>
      </c>
      <c r="E1926" s="425" t="s">
        <v>6044</v>
      </c>
      <c r="F1926" s="380" t="s">
        <v>6040</v>
      </c>
      <c r="G1926">
        <f>IF(getRGB1($C1926)="FFFFFF",0,1)+IF(getRGB1($D1926)="FFFFFF",0,2)+IF(getRGB1($E1926)="FFFFFF",0,3)+IF(getRGB1($F1926)="FFFFFF",0,4)</f>
        <v>2</v>
      </c>
    </row>
    <row r="1927" spans="1:7" ht="30">
      <c r="A1927" t="s">
        <v>6686</v>
      </c>
      <c r="B1927" s="422" t="s">
        <v>6047</v>
      </c>
      <c r="C1927" s="426" t="s">
        <v>6048</v>
      </c>
      <c r="D1927" s="424" t="s">
        <v>6049</v>
      </c>
      <c r="E1927" s="426" t="s">
        <v>6050</v>
      </c>
      <c r="F1927" s="426" t="s">
        <v>6051</v>
      </c>
      <c r="G1927">
        <f>IF(getRGB1($C1927)="FFFFFF",0,1)+IF(getRGB1($D1927)="FFFFFF",0,2)+IF(getRGB1($E1927)="FFFFFF",0,3)+IF(getRGB1($F1927)="FFFFFF",0,4)</f>
        <v>2</v>
      </c>
    </row>
    <row r="1928" spans="1:7" ht="30">
      <c r="A1928" t="s">
        <v>6686</v>
      </c>
      <c r="B1928" s="422" t="s">
        <v>6052</v>
      </c>
      <c r="C1928" s="426" t="s">
        <v>6002</v>
      </c>
      <c r="D1928" s="424" t="s">
        <v>6053</v>
      </c>
      <c r="E1928" s="426" t="s">
        <v>6054</v>
      </c>
      <c r="F1928" s="426" t="s">
        <v>6055</v>
      </c>
      <c r="G1928">
        <f>IF(getRGB1($C1928)="FFFFFF",0,1)+IF(getRGB1($D1928)="FFFFFF",0,2)+IF(getRGB1($E1928)="FFFFFF",0,3)+IF(getRGB1($F1928)="FFFFFF",0,4)</f>
        <v>2</v>
      </c>
    </row>
    <row r="1929" spans="1:7" ht="30">
      <c r="A1929" t="s">
        <v>6686</v>
      </c>
      <c r="B1929" s="422" t="s">
        <v>6056</v>
      </c>
      <c r="C1929" s="424">
        <v>270</v>
      </c>
      <c r="D1929" s="426">
        <v>500</v>
      </c>
      <c r="E1929" s="426">
        <v>380</v>
      </c>
      <c r="F1929" s="426">
        <v>410</v>
      </c>
      <c r="G1929">
        <f>IF(getRGB1($C1929)="FFFFFF",0,1)+IF(getRGB1($D1929)="FFFFFF",0,2)+IF(getRGB1($E1929)="FFFFFF",0,3)+IF(getRGB1($F1929)="FFFFFF",0,4)</f>
        <v>1</v>
      </c>
    </row>
    <row r="1930" spans="1:7" ht="30">
      <c r="A1930" t="s">
        <v>6686</v>
      </c>
      <c r="B1930" s="422" t="s">
        <v>6057</v>
      </c>
      <c r="C1930" s="424">
        <v>5.49</v>
      </c>
      <c r="D1930" s="426">
        <v>12.3</v>
      </c>
      <c r="E1930" s="426">
        <v>6.32</v>
      </c>
      <c r="F1930" s="426">
        <v>3.99</v>
      </c>
      <c r="G1930">
        <f>IF(getRGB1($C1930)="FFFFFF",0,1)+IF(getRGB1($D1930)="FFFFFF",0,2)+IF(getRGB1($E1930)="FFFFFF",0,3)+IF(getRGB1($F1930)="FFFFFF",0,4)</f>
        <v>1</v>
      </c>
    </row>
    <row r="1931" spans="1:7" ht="30">
      <c r="A1931" t="s">
        <v>6686</v>
      </c>
      <c r="B1931" s="422" t="s">
        <v>6058</v>
      </c>
      <c r="C1931" s="424">
        <v>7.94</v>
      </c>
      <c r="D1931" s="426">
        <v>15.6</v>
      </c>
      <c r="E1931" s="426">
        <v>11.2</v>
      </c>
      <c r="F1931" s="426">
        <v>9.85</v>
      </c>
      <c r="G1931">
        <f>IF(getRGB1($C1931)="FFFFFF",0,1)+IF(getRGB1($D1931)="FFFFFF",0,2)+IF(getRGB1($E1931)="FFFFFF",0,3)+IF(getRGB1($F1931)="FFFFFF",0,4)</f>
        <v>1</v>
      </c>
    </row>
    <row r="1932" spans="1:7">
      <c r="A1932" t="s">
        <v>6686</v>
      </c>
      <c r="B1932" s="422" t="s">
        <v>6059</v>
      </c>
      <c r="C1932" s="424">
        <v>6.79</v>
      </c>
      <c r="D1932" s="426">
        <v>8.5</v>
      </c>
      <c r="E1932" s="426">
        <v>5.6</v>
      </c>
      <c r="F1932" s="426">
        <v>7.8</v>
      </c>
      <c r="G1932">
        <f>IF(getRGB1($C1932)="FFFFFF",0,1)+IF(getRGB1($D1932)="FFFFFF",0,2)+IF(getRGB1($E1932)="FFFFFF",0,3)+IF(getRGB1($F1932)="FFFFFF",0,4)</f>
        <v>1</v>
      </c>
    </row>
    <row r="1933" spans="1:7" ht="30">
      <c r="A1933" t="s">
        <v>6686</v>
      </c>
      <c r="B1933" s="422" t="s">
        <v>6060</v>
      </c>
      <c r="C1933" s="424">
        <v>1.2</v>
      </c>
      <c r="D1933" s="426">
        <v>2.2999999999999998</v>
      </c>
      <c r="E1933" s="426">
        <v>5.6</v>
      </c>
      <c r="F1933" s="426">
        <v>3.2</v>
      </c>
      <c r="G1933">
        <f>IF(getRGB1($C1933)="FFFFFF",0,1)+IF(getRGB1($D1933)="FFFFFF",0,2)+IF(getRGB1($E1933)="FFFFFF",0,3)+IF(getRGB1($F1933)="FFFFFF",0,4)</f>
        <v>1</v>
      </c>
    </row>
    <row r="1934" spans="1:7" ht="45">
      <c r="A1934" t="s">
        <v>6686</v>
      </c>
      <c r="B1934" s="427" t="s">
        <v>6061</v>
      </c>
      <c r="C1934" s="428">
        <v>1</v>
      </c>
      <c r="D1934" s="428">
        <v>3</v>
      </c>
      <c r="E1934" s="428">
        <v>5</v>
      </c>
      <c r="F1934" s="429" t="s">
        <v>468</v>
      </c>
      <c r="G1934">
        <f>IF(getRGB1($C1934)="FFFFFF",0,1)+IF(getRGB1($D1934)="FFFFFF",0,2)+IF(getRGB1($E1934)="FFFFFF",0,3)+IF(getRGB1($F1934)="FFFFFF",0,4)</f>
        <v>4</v>
      </c>
    </row>
    <row r="1935" spans="1:7" ht="30">
      <c r="A1935" t="s">
        <v>6686</v>
      </c>
      <c r="B1935" s="430" t="s">
        <v>6062</v>
      </c>
      <c r="C1935" s="431">
        <v>1</v>
      </c>
      <c r="D1935" s="432">
        <v>3</v>
      </c>
      <c r="E1935" s="431">
        <v>5</v>
      </c>
      <c r="F1935" s="431">
        <v>4</v>
      </c>
      <c r="G1935">
        <f>IF(getRGB1($C1935)="FFFFFF",0,1)+IF(getRGB1($D1935)="FFFFFF",0,2)+IF(getRGB1($E1935)="FFFFFF",0,3)+IF(getRGB1($F1935)="FFFFFF",0,4)</f>
        <v>2</v>
      </c>
    </row>
    <row r="1936" spans="1:7" ht="30">
      <c r="A1936" t="s">
        <v>6686</v>
      </c>
      <c r="B1936" s="430" t="s">
        <v>6063</v>
      </c>
      <c r="C1936" s="433" t="s">
        <v>6064</v>
      </c>
      <c r="D1936" s="434" t="s">
        <v>6065</v>
      </c>
      <c r="E1936" s="433" t="s">
        <v>6066</v>
      </c>
      <c r="F1936" s="433" t="s">
        <v>6067</v>
      </c>
      <c r="G1936">
        <f>IF(getRGB1($C1936)="FFFFFF",0,1)+IF(getRGB1($D1936)="FFFFFF",0,2)+IF(getRGB1($E1936)="FFFFFF",0,3)+IF(getRGB1($F1936)="FFFFFF",0,4)</f>
        <v>2</v>
      </c>
    </row>
    <row r="1937" spans="1:7" ht="30">
      <c r="A1937" t="s">
        <v>6686</v>
      </c>
      <c r="B1937" s="430" t="s">
        <v>6068</v>
      </c>
      <c r="C1937" s="433" t="s">
        <v>6069</v>
      </c>
      <c r="D1937" s="433" t="s">
        <v>6070</v>
      </c>
      <c r="E1937" s="434" t="s">
        <v>6071</v>
      </c>
      <c r="F1937" s="433" t="s">
        <v>209</v>
      </c>
      <c r="G1937">
        <f>IF(getRGB1($C1937)="FFFFFF",0,1)+IF(getRGB1($D1937)="FFFFFF",0,2)+IF(getRGB1($E1937)="FFFFFF",0,3)+IF(getRGB1($F1937)="FFFFFF",0,4)</f>
        <v>3</v>
      </c>
    </row>
    <row r="1938" spans="1:7">
      <c r="A1938" t="s">
        <v>6686</v>
      </c>
      <c r="B1938" s="196" t="s">
        <v>6072</v>
      </c>
      <c r="C1938" s="434" t="s">
        <v>6073</v>
      </c>
      <c r="D1938" s="433" t="s">
        <v>174</v>
      </c>
      <c r="E1938" s="433" t="s">
        <v>74</v>
      </c>
      <c r="F1938" s="433" t="s">
        <v>980</v>
      </c>
      <c r="G1938">
        <f>IF(getRGB1($C1938)="FFFFFF",0,1)+IF(getRGB1($D1938)="FFFFFF",0,2)+IF(getRGB1($E1938)="FFFFFF",0,3)+IF(getRGB1($F1938)="FFFFFF",0,4)</f>
        <v>1</v>
      </c>
    </row>
    <row r="1939" spans="1:7" ht="30">
      <c r="A1939" t="s">
        <v>6686</v>
      </c>
      <c r="B1939" s="430" t="s">
        <v>6074</v>
      </c>
      <c r="C1939" s="433" t="s">
        <v>6075</v>
      </c>
      <c r="D1939" s="434" t="s">
        <v>6076</v>
      </c>
      <c r="E1939" s="433" t="s">
        <v>6077</v>
      </c>
      <c r="F1939" s="433" t="s">
        <v>6078</v>
      </c>
      <c r="G1939">
        <f>IF(getRGB1($C1939)="FFFFFF",0,1)+IF(getRGB1($D1939)="FFFFFF",0,2)+IF(getRGB1($E1939)="FFFFFF",0,3)+IF(getRGB1($F1939)="FFFFFF",0,4)</f>
        <v>2</v>
      </c>
    </row>
    <row r="1940" spans="1:7">
      <c r="A1940" t="s">
        <v>6686</v>
      </c>
      <c r="B1940" s="430" t="s">
        <v>6079</v>
      </c>
      <c r="C1940" s="433" t="s">
        <v>5433</v>
      </c>
      <c r="D1940" s="435" t="s">
        <v>6080</v>
      </c>
      <c r="E1940" s="433" t="s">
        <v>6081</v>
      </c>
      <c r="F1940" s="433" t="s">
        <v>328</v>
      </c>
      <c r="G1940">
        <f>IF(getRGB1($C1940)="FFFFFF",0,1)+IF(getRGB1($D1940)="FFFFFF",0,2)+IF(getRGB1($E1940)="FFFFFF",0,3)+IF(getRGB1($F1940)="FFFFFF",0,4)</f>
        <v>2</v>
      </c>
    </row>
    <row r="1941" spans="1:7" ht="30">
      <c r="A1941" t="s">
        <v>6686</v>
      </c>
      <c r="B1941" s="427" t="s">
        <v>6082</v>
      </c>
      <c r="C1941" s="436">
        <v>230</v>
      </c>
      <c r="D1941" s="436">
        <v>220</v>
      </c>
      <c r="E1941" s="437">
        <v>250</v>
      </c>
      <c r="F1941" s="436">
        <v>440</v>
      </c>
      <c r="G1941">
        <f>IF(getRGB1($C1941)="FFFFFF",0,1)+IF(getRGB1($D1941)="FFFFFF",0,2)+IF(getRGB1($E1941)="FFFFFF",0,3)+IF(getRGB1($F1941)="FFFFFF",0,4)</f>
        <v>3</v>
      </c>
    </row>
    <row r="1942" spans="1:7" ht="45">
      <c r="A1942" t="s">
        <v>6686</v>
      </c>
      <c r="B1942" s="430" t="s">
        <v>6083</v>
      </c>
      <c r="C1942" s="437" t="s">
        <v>6084</v>
      </c>
      <c r="D1942" s="436" t="s">
        <v>6085</v>
      </c>
      <c r="E1942" s="436" t="s">
        <v>6086</v>
      </c>
      <c r="F1942" s="436" t="s">
        <v>6087</v>
      </c>
      <c r="G1942">
        <f>IF(getRGB1($C1942)="FFFFFF",0,1)+IF(getRGB1($D1942)="FFFFFF",0,2)+IF(getRGB1($E1942)="FFFFFF",0,3)+IF(getRGB1($F1942)="FFFFFF",0,4)</f>
        <v>1</v>
      </c>
    </row>
    <row r="1943" spans="1:7" ht="30">
      <c r="A1943" t="s">
        <v>6686</v>
      </c>
      <c r="B1943" s="430" t="s">
        <v>6088</v>
      </c>
      <c r="C1943" s="436" t="s">
        <v>6089</v>
      </c>
      <c r="D1943" s="437" t="s">
        <v>6090</v>
      </c>
      <c r="E1943" s="436" t="s">
        <v>6091</v>
      </c>
      <c r="F1943" s="436" t="s">
        <v>6092</v>
      </c>
      <c r="G1943">
        <f>IF(getRGB1($C1943)="FFFFFF",0,1)+IF(getRGB1($D1943)="FFFFFF",0,2)+IF(getRGB1($E1943)="FFFFFF",0,3)+IF(getRGB1($F1943)="FFFFFF",0,4)</f>
        <v>2</v>
      </c>
    </row>
    <row r="1944" spans="1:7" ht="60">
      <c r="A1944" t="s">
        <v>6686</v>
      </c>
      <c r="B1944" s="438" t="s">
        <v>6093</v>
      </c>
      <c r="C1944" s="436" t="s">
        <v>6094</v>
      </c>
      <c r="D1944" s="436" t="s">
        <v>6095</v>
      </c>
      <c r="E1944" s="436" t="s">
        <v>6096</v>
      </c>
      <c r="F1944" s="437" t="s">
        <v>3313</v>
      </c>
      <c r="G1944">
        <f>IF(getRGB1($C1944)="FFFFFF",0,1)+IF(getRGB1($D1944)="FFFFFF",0,2)+IF(getRGB1($E1944)="FFFFFF",0,3)+IF(getRGB1($F1944)="FFFFFF",0,4)</f>
        <v>4</v>
      </c>
    </row>
    <row r="1945" spans="1:7" ht="30">
      <c r="A1945" t="s">
        <v>6686</v>
      </c>
      <c r="B1945" s="427" t="s">
        <v>6097</v>
      </c>
      <c r="C1945" s="433" t="s">
        <v>6098</v>
      </c>
      <c r="D1945" s="433" t="s">
        <v>6099</v>
      </c>
      <c r="E1945" s="439" t="s">
        <v>6100</v>
      </c>
      <c r="F1945" s="433" t="s">
        <v>6101</v>
      </c>
      <c r="G1945">
        <f>IF(getRGB1($C1945)="FFFFFF",0,1)+IF(getRGB1($D1945)="FFFFFF",0,2)+IF(getRGB1($E1945)="FFFFFF",0,3)+IF(getRGB1($F1945)="FFFFFF",0,4)</f>
        <v>3</v>
      </c>
    </row>
    <row r="1946" spans="1:7" ht="45">
      <c r="A1946" t="s">
        <v>6686</v>
      </c>
      <c r="B1946" s="430" t="s">
        <v>6102</v>
      </c>
      <c r="C1946" s="437" t="s">
        <v>6103</v>
      </c>
      <c r="D1946" s="436" t="s">
        <v>6104</v>
      </c>
      <c r="E1946" s="436" t="s">
        <v>6105</v>
      </c>
      <c r="F1946" s="436" t="s">
        <v>6106</v>
      </c>
      <c r="G1946">
        <f>IF(getRGB1($C1946)="FFFFFF",0,1)+IF(getRGB1($D1946)="FFFFFF",0,2)+IF(getRGB1($E1946)="FFFFFF",0,3)+IF(getRGB1($F1946)="FFFFFF",0,4)</f>
        <v>1</v>
      </c>
    </row>
    <row r="1947" spans="1:7" ht="45">
      <c r="A1947" t="s">
        <v>6686</v>
      </c>
      <c r="B1947" s="427" t="s">
        <v>6107</v>
      </c>
      <c r="C1947" s="437" t="b">
        <v>1</v>
      </c>
      <c r="D1947" s="436" t="b">
        <v>0</v>
      </c>
      <c r="E1947" s="440"/>
      <c r="F1947" s="436"/>
      <c r="G1947">
        <f>IF(getRGB1($C1947)="FFFFFF",0,1)+IF(getRGB1($D1947)="FFFFFF",0,2)+IF(getRGB1($E1947)="FFFFFF",0,3)+IF(getRGB1($F1947)="FFFFFF",0,4)</f>
        <v>1</v>
      </c>
    </row>
    <row r="1948" spans="1:7">
      <c r="A1948" t="s">
        <v>6686</v>
      </c>
      <c r="B1948" s="430" t="s">
        <v>6108</v>
      </c>
      <c r="C1948" s="437" t="s">
        <v>6109</v>
      </c>
      <c r="D1948" s="436" t="s">
        <v>6110</v>
      </c>
      <c r="E1948" s="436" t="s">
        <v>6111</v>
      </c>
      <c r="F1948" s="436" t="s">
        <v>6112</v>
      </c>
      <c r="G1948">
        <f>IF(getRGB1($C1948)="FFFFFF",0,1)+IF(getRGB1($D1948)="FFFFFF",0,2)+IF(getRGB1($E1948)="FFFFFF",0,3)+IF(getRGB1($F1948)="FFFFFF",0,4)</f>
        <v>1</v>
      </c>
    </row>
    <row r="1949" spans="1:7" ht="30">
      <c r="A1949" t="s">
        <v>6686</v>
      </c>
      <c r="B1949" s="430" t="s">
        <v>6113</v>
      </c>
      <c r="C1949" s="436" t="s">
        <v>6114</v>
      </c>
      <c r="D1949" s="436" t="s">
        <v>6115</v>
      </c>
      <c r="E1949" s="437" t="s">
        <v>6116</v>
      </c>
      <c r="F1949" s="436" t="s">
        <v>6117</v>
      </c>
      <c r="G1949">
        <f>IF(getRGB1($C1949)="FFFFFF",0,1)+IF(getRGB1($D1949)="FFFFFF",0,2)+IF(getRGB1($E1949)="FFFFFF",0,3)+IF(getRGB1($F1949)="FFFFFF",0,4)</f>
        <v>3</v>
      </c>
    </row>
    <row r="1950" spans="1:7">
      <c r="A1950" t="s">
        <v>6686</v>
      </c>
      <c r="B1950" s="430" t="s">
        <v>6118</v>
      </c>
      <c r="C1950" s="436" t="s">
        <v>6119</v>
      </c>
      <c r="D1950" s="436" t="s">
        <v>6120</v>
      </c>
      <c r="E1950" s="437" t="s">
        <v>6121</v>
      </c>
      <c r="F1950" s="436" t="s">
        <v>6122</v>
      </c>
      <c r="G1950">
        <f>IF(getRGB1($C1950)="FFFFFF",0,1)+IF(getRGB1($D1950)="FFFFFF",0,2)+IF(getRGB1($E1950)="FFFFFF",0,3)+IF(getRGB1($F1950)="FFFFFF",0,4)</f>
        <v>3</v>
      </c>
    </row>
    <row r="1951" spans="1:7" ht="30">
      <c r="A1951" t="s">
        <v>6686</v>
      </c>
      <c r="B1951" s="430" t="s">
        <v>6123</v>
      </c>
      <c r="C1951" s="434" t="s">
        <v>6124</v>
      </c>
      <c r="D1951" s="433" t="s">
        <v>6125</v>
      </c>
      <c r="E1951" s="433" t="s">
        <v>6126</v>
      </c>
      <c r="F1951" s="433" t="s">
        <v>6127</v>
      </c>
      <c r="G1951">
        <f>IF(getRGB1($C1951)="FFFFFF",0,1)+IF(getRGB1($D1951)="FFFFFF",0,2)+IF(getRGB1($E1951)="FFFFFF",0,3)+IF(getRGB1($F1951)="FFFFFF",0,4)</f>
        <v>1</v>
      </c>
    </row>
    <row r="1952" spans="1:7" ht="30">
      <c r="A1952" t="s">
        <v>6686</v>
      </c>
      <c r="B1952" s="430" t="s">
        <v>6128</v>
      </c>
      <c r="C1952" s="436">
        <v>2</v>
      </c>
      <c r="D1952" s="436">
        <v>4</v>
      </c>
      <c r="E1952" s="437">
        <v>1</v>
      </c>
      <c r="F1952" s="436">
        <v>3</v>
      </c>
      <c r="G1952">
        <f>IF(getRGB1($C1952)="FFFFFF",0,1)+IF(getRGB1($D1952)="FFFFFF",0,2)+IF(getRGB1($E1952)="FFFFFF",0,3)+IF(getRGB1($F1952)="FFFFFF",0,4)</f>
        <v>3</v>
      </c>
    </row>
    <row r="1953" spans="1:7" ht="45">
      <c r="A1953" t="s">
        <v>6686</v>
      </c>
      <c r="B1953" s="430" t="s">
        <v>6129</v>
      </c>
      <c r="C1953" s="433" t="s">
        <v>6130</v>
      </c>
      <c r="D1953" s="434" t="s">
        <v>6131</v>
      </c>
      <c r="E1953" s="433" t="s">
        <v>2821</v>
      </c>
      <c r="F1953" s="433" t="s">
        <v>6132</v>
      </c>
      <c r="G1953">
        <f>IF(getRGB1($C1953)="FFFFFF",0,1)+IF(getRGB1($D1953)="FFFFFF",0,2)+IF(getRGB1($E1953)="FFFFFF",0,3)+IF(getRGB1($F1953)="FFFFFF",0,4)</f>
        <v>2</v>
      </c>
    </row>
    <row r="1954" spans="1:7">
      <c r="A1954" t="s">
        <v>6686</v>
      </c>
      <c r="B1954" s="430" t="s">
        <v>6133</v>
      </c>
      <c r="C1954" s="433" t="s">
        <v>6134</v>
      </c>
      <c r="D1954" s="433" t="s">
        <v>6135</v>
      </c>
      <c r="E1954" s="434" t="s">
        <v>6136</v>
      </c>
      <c r="F1954" s="433" t="s">
        <v>1067</v>
      </c>
      <c r="G1954">
        <f>IF(getRGB1($C1954)="FFFFFF",0,1)+IF(getRGB1($D1954)="FFFFFF",0,2)+IF(getRGB1($E1954)="FFFFFF",0,3)+IF(getRGB1($F1954)="FFFFFF",0,4)</f>
        <v>3</v>
      </c>
    </row>
    <row r="1955" spans="1:7" ht="30">
      <c r="A1955" t="s">
        <v>6686</v>
      </c>
      <c r="B1955" s="430" t="s">
        <v>6137</v>
      </c>
      <c r="C1955" s="441" t="s">
        <v>6138</v>
      </c>
      <c r="D1955" s="442" t="s">
        <v>6139</v>
      </c>
      <c r="E1955" s="442" t="s">
        <v>6140</v>
      </c>
      <c r="F1955" s="442" t="s">
        <v>6141</v>
      </c>
      <c r="G1955">
        <f>IF(getRGB1($C1955)="FFFFFF",0,1)+IF(getRGB1($D1955)="FFFFFF",0,2)+IF(getRGB1($E1955)="FFFFFF",0,3)+IF(getRGB1($F1955)="FFFFFF",0,4)</f>
        <v>1</v>
      </c>
    </row>
    <row r="1956" spans="1:7">
      <c r="A1956" t="s">
        <v>6686</v>
      </c>
      <c r="B1956" s="430" t="s">
        <v>6142</v>
      </c>
      <c r="C1956" s="433">
        <v>220</v>
      </c>
      <c r="D1956" s="433">
        <v>230</v>
      </c>
      <c r="E1956" s="434">
        <v>650</v>
      </c>
      <c r="F1956" s="433">
        <v>400</v>
      </c>
      <c r="G1956">
        <f>IF(getRGB1($C1956)="FFFFFF",0,1)+IF(getRGB1($D1956)="FFFFFF",0,2)+IF(getRGB1($E1956)="FFFFFF",0,3)+IF(getRGB1($F1956)="FFFFFF",0,4)</f>
        <v>3</v>
      </c>
    </row>
    <row r="1957" spans="1:7" ht="30">
      <c r="A1957" t="s">
        <v>6686</v>
      </c>
      <c r="B1957" s="430" t="s">
        <v>6143</v>
      </c>
      <c r="C1957" s="437" t="s">
        <v>6144</v>
      </c>
      <c r="D1957" s="436" t="s">
        <v>6145</v>
      </c>
      <c r="E1957" s="436" t="s">
        <v>6146</v>
      </c>
      <c r="F1957" s="436" t="s">
        <v>6147</v>
      </c>
      <c r="G1957">
        <f>IF(getRGB1($C1957)="FFFFFF",0,1)+IF(getRGB1($D1957)="FFFFFF",0,2)+IF(getRGB1($E1957)="FFFFFF",0,3)+IF(getRGB1($F1957)="FFFFFF",0,4)</f>
        <v>1</v>
      </c>
    </row>
    <row r="1958" spans="1:7" ht="30">
      <c r="A1958" t="s">
        <v>6686</v>
      </c>
      <c r="B1958" s="430" t="s">
        <v>6148</v>
      </c>
      <c r="C1958" s="433">
        <v>1</v>
      </c>
      <c r="D1958" s="433">
        <v>2</v>
      </c>
      <c r="E1958" s="434">
        <v>5</v>
      </c>
      <c r="F1958" s="433">
        <v>4</v>
      </c>
      <c r="G1958">
        <f>IF(getRGB1($C1958)="FFFFFF",0,1)+IF(getRGB1($D1958)="FFFFFF",0,2)+IF(getRGB1($E1958)="FFFFFF",0,3)+IF(getRGB1($F1958)="FFFFFF",0,4)</f>
        <v>3</v>
      </c>
    </row>
    <row r="1959" spans="1:7" ht="60">
      <c r="A1959" t="s">
        <v>6686</v>
      </c>
      <c r="B1959" s="430" t="s">
        <v>6149</v>
      </c>
      <c r="C1959" s="433">
        <v>24</v>
      </c>
      <c r="D1959" s="434">
        <v>48</v>
      </c>
      <c r="E1959" s="433">
        <v>72</v>
      </c>
      <c r="F1959" s="433">
        <v>96</v>
      </c>
      <c r="G1959">
        <f>IF(getRGB1($C1959)="FFFFFF",0,1)+IF(getRGB1($D1959)="FFFFFF",0,2)+IF(getRGB1($E1959)="FFFFFF",0,3)+IF(getRGB1($F1959)="FFFFFF",0,4)</f>
        <v>2</v>
      </c>
    </row>
    <row r="1960" spans="1:7" ht="30">
      <c r="A1960" t="s">
        <v>6686</v>
      </c>
      <c r="B1960" s="430" t="s">
        <v>6150</v>
      </c>
      <c r="C1960" s="433" t="s">
        <v>6098</v>
      </c>
      <c r="D1960" s="433" t="s">
        <v>6099</v>
      </c>
      <c r="E1960" s="434" t="s">
        <v>6151</v>
      </c>
      <c r="F1960" s="433" t="s">
        <v>6152</v>
      </c>
      <c r="G1960">
        <f>IF(getRGB1($C1960)="FFFFFF",0,1)+IF(getRGB1($D1960)="FFFFFF",0,2)+IF(getRGB1($E1960)="FFFFFF",0,3)+IF(getRGB1($F1960)="FFFFFF",0,4)</f>
        <v>3</v>
      </c>
    </row>
    <row r="1961" spans="1:7" ht="45">
      <c r="A1961" t="s">
        <v>6686</v>
      </c>
      <c r="B1961" s="430" t="s">
        <v>6153</v>
      </c>
      <c r="C1961" s="433" t="s">
        <v>6154</v>
      </c>
      <c r="D1961" s="433" t="s">
        <v>6155</v>
      </c>
      <c r="E1961" s="433" t="s">
        <v>6156</v>
      </c>
      <c r="F1961" s="434" t="s">
        <v>6157</v>
      </c>
      <c r="G1961">
        <f>IF(getRGB1($C1961)="FFFFFF",0,1)+IF(getRGB1($D1961)="FFFFFF",0,2)+IF(getRGB1($E1961)="FFFFFF",0,3)+IF(getRGB1($F1961)="FFFFFF",0,4)</f>
        <v>4</v>
      </c>
    </row>
    <row r="1962" spans="1:7" ht="30">
      <c r="A1962" t="s">
        <v>6686</v>
      </c>
      <c r="B1962" s="430" t="s">
        <v>6158</v>
      </c>
      <c r="C1962" s="433" t="s">
        <v>6154</v>
      </c>
      <c r="D1962" s="433" t="s">
        <v>6155</v>
      </c>
      <c r="E1962" s="434" t="s">
        <v>6159</v>
      </c>
      <c r="F1962" s="433" t="s">
        <v>6160</v>
      </c>
      <c r="G1962">
        <f>IF(getRGB1($C1962)="FFFFFF",0,1)+IF(getRGB1($D1962)="FFFFFF",0,2)+IF(getRGB1($E1962)="FFFFFF",0,3)+IF(getRGB1($F1962)="FFFFFF",0,4)</f>
        <v>3</v>
      </c>
    </row>
    <row r="1963" spans="1:7" ht="31.5">
      <c r="A1963" t="s">
        <v>6686</v>
      </c>
      <c r="B1963" s="443" t="s">
        <v>6161</v>
      </c>
      <c r="C1963" s="444" t="s">
        <v>6162</v>
      </c>
      <c r="D1963" s="445" t="s">
        <v>6163</v>
      </c>
      <c r="E1963" s="445" t="s">
        <v>6164</v>
      </c>
      <c r="F1963" s="445" t="s">
        <v>6165</v>
      </c>
      <c r="G1963">
        <f>IF(getRGB1($C1963)="FFFFFF",0,1)+IF(getRGB1($D1963)="FFFFFF",0,2)+IF(getRGB1($E1963)="FFFFFF",0,3)+IF(getRGB1($F1963)="FFFFFF",0,4)</f>
        <v>1</v>
      </c>
    </row>
    <row r="1964" spans="1:7" ht="15.75">
      <c r="A1964" t="s">
        <v>6686</v>
      </c>
      <c r="B1964" s="443" t="s">
        <v>6166</v>
      </c>
      <c r="C1964" s="444" t="s">
        <v>6163</v>
      </c>
      <c r="D1964" s="445" t="s">
        <v>6162</v>
      </c>
      <c r="E1964" s="445" t="s">
        <v>6167</v>
      </c>
      <c r="F1964" s="445" t="s">
        <v>6168</v>
      </c>
      <c r="G1964">
        <f>IF(getRGB1($C1964)="FFFFFF",0,1)+IF(getRGB1($D1964)="FFFFFF",0,2)+IF(getRGB1($E1964)="FFFFFF",0,3)+IF(getRGB1($F1964)="FFFFFF",0,4)</f>
        <v>1</v>
      </c>
    </row>
    <row r="1965" spans="1:7" ht="47.25">
      <c r="A1965" t="s">
        <v>6686</v>
      </c>
      <c r="B1965" s="443" t="s">
        <v>6169</v>
      </c>
      <c r="C1965" s="444" t="s">
        <v>6170</v>
      </c>
      <c r="D1965" s="445" t="s">
        <v>6171</v>
      </c>
      <c r="E1965" s="445" t="s">
        <v>6172</v>
      </c>
      <c r="F1965" s="445" t="s">
        <v>6173</v>
      </c>
      <c r="G1965">
        <f>IF(getRGB1($C1965)="FFFFFF",0,1)+IF(getRGB1($D1965)="FFFFFF",0,2)+IF(getRGB1($E1965)="FFFFFF",0,3)+IF(getRGB1($F1965)="FFFFFF",0,4)</f>
        <v>1</v>
      </c>
    </row>
    <row r="1966" spans="1:7" ht="47.25">
      <c r="A1966" t="s">
        <v>6686</v>
      </c>
      <c r="B1966" s="443" t="s">
        <v>6174</v>
      </c>
      <c r="C1966" s="444" t="s">
        <v>6175</v>
      </c>
      <c r="D1966" s="445" t="s">
        <v>6172</v>
      </c>
      <c r="E1966" s="445" t="s">
        <v>6173</v>
      </c>
      <c r="F1966" s="445" t="s">
        <v>6170</v>
      </c>
      <c r="G1966">
        <f>IF(getRGB1($C1966)="FFFFFF",0,1)+IF(getRGB1($D1966)="FFFFFF",0,2)+IF(getRGB1($E1966)="FFFFFF",0,3)+IF(getRGB1($F1966)="FFFFFF",0,4)</f>
        <v>1</v>
      </c>
    </row>
    <row r="1967" spans="1:7" ht="47.25">
      <c r="A1967" t="s">
        <v>6686</v>
      </c>
      <c r="B1967" s="443" t="s">
        <v>6176</v>
      </c>
      <c r="C1967" s="444" t="s">
        <v>6177</v>
      </c>
      <c r="D1967" s="445" t="s">
        <v>6175</v>
      </c>
      <c r="E1967" s="445" t="s">
        <v>6172</v>
      </c>
      <c r="F1967" s="445" t="s">
        <v>6171</v>
      </c>
      <c r="G1967">
        <f>IF(getRGB1($C1967)="FFFFFF",0,1)+IF(getRGB1($D1967)="FFFFFF",0,2)+IF(getRGB1($E1967)="FFFFFF",0,3)+IF(getRGB1($F1967)="FFFFFF",0,4)</f>
        <v>1</v>
      </c>
    </row>
    <row r="1968" spans="1:7" ht="31.5">
      <c r="A1968" t="s">
        <v>6686</v>
      </c>
      <c r="B1968" s="443" t="s">
        <v>6178</v>
      </c>
      <c r="C1968" s="444" t="s">
        <v>6179</v>
      </c>
      <c r="D1968" s="445" t="s">
        <v>6173</v>
      </c>
      <c r="E1968" s="445" t="s">
        <v>6170</v>
      </c>
      <c r="F1968" s="445" t="s">
        <v>6171</v>
      </c>
      <c r="G1968">
        <f>IF(getRGB1($C1968)="FFFFFF",0,1)+IF(getRGB1($D1968)="FFFFFF",0,2)+IF(getRGB1($E1968)="FFFFFF",0,3)+IF(getRGB1($F1968)="FFFFFF",0,4)</f>
        <v>1</v>
      </c>
    </row>
    <row r="1969" spans="1:7" ht="31.5">
      <c r="A1969" t="s">
        <v>6686</v>
      </c>
      <c r="B1969" s="443" t="s">
        <v>6180</v>
      </c>
      <c r="C1969" s="444" t="s">
        <v>6181</v>
      </c>
      <c r="D1969" s="445" t="s">
        <v>6171</v>
      </c>
      <c r="E1969" s="445" t="s">
        <v>6172</v>
      </c>
      <c r="F1969" s="445" t="s">
        <v>6171</v>
      </c>
      <c r="G1969">
        <f>IF(getRGB1($C1969)="FFFFFF",0,1)+IF(getRGB1($D1969)="FFFFFF",0,2)+IF(getRGB1($E1969)="FFFFFF",0,3)+IF(getRGB1($F1969)="FFFFFF",0,4)</f>
        <v>1</v>
      </c>
    </row>
    <row r="1970" spans="1:7" ht="47.25">
      <c r="A1970" t="s">
        <v>6686</v>
      </c>
      <c r="B1970" s="443" t="s">
        <v>6182</v>
      </c>
      <c r="C1970" s="444" t="s">
        <v>6183</v>
      </c>
      <c r="D1970" s="445" t="s">
        <v>6181</v>
      </c>
      <c r="E1970" s="445" t="s">
        <v>6171</v>
      </c>
      <c r="F1970" s="445" t="s">
        <v>6171</v>
      </c>
      <c r="G1970">
        <f>IF(getRGB1($C1970)="FFFFFF",0,1)+IF(getRGB1($D1970)="FFFFFF",0,2)+IF(getRGB1($E1970)="FFFFFF",0,3)+IF(getRGB1($F1970)="FFFFFF",0,4)</f>
        <v>1</v>
      </c>
    </row>
    <row r="1971" spans="1:7">
      <c r="A1971" t="s">
        <v>6686</v>
      </c>
      <c r="B1971" s="383" t="s">
        <v>5978</v>
      </c>
      <c r="C1971" s="208" t="s">
        <v>5979</v>
      </c>
      <c r="D1971" s="208" t="s">
        <v>5954</v>
      </c>
      <c r="E1971" s="208" t="s">
        <v>5980</v>
      </c>
      <c r="F1971" s="386" t="s">
        <v>457</v>
      </c>
      <c r="G1971">
        <f>IF(getRGB1($C1971)="FFFFFF",0,1)+IF(getRGB1($D1971)="FFFFFF",0,2)+IF(getRGB1($E1971)="FFFFFF",0,3)+IF(getRGB1($F1971)="FFFFFF",0,4)</f>
        <v>4</v>
      </c>
    </row>
    <row r="1972" spans="1:7">
      <c r="A1972" t="s">
        <v>6686</v>
      </c>
      <c r="B1972" s="383" t="s">
        <v>5981</v>
      </c>
      <c r="C1972" s="208" t="s">
        <v>5954</v>
      </c>
      <c r="D1972" s="386" t="s">
        <v>5982</v>
      </c>
      <c r="E1972" s="208" t="s">
        <v>4666</v>
      </c>
      <c r="F1972" s="208" t="s">
        <v>209</v>
      </c>
      <c r="G1972">
        <f>IF(getRGB1($C1972)="FFFFFF",0,1)+IF(getRGB1($D1972)="FFFFFF",0,2)+IF(getRGB1($E1972)="FFFFFF",0,3)+IF(getRGB1($F1972)="FFFFFF",0,4)</f>
        <v>2</v>
      </c>
    </row>
    <row r="1973" spans="1:7" ht="30">
      <c r="A1973" t="s">
        <v>6686</v>
      </c>
      <c r="B1973" s="381" t="s">
        <v>5983</v>
      </c>
      <c r="C1973" s="208">
        <v>5</v>
      </c>
      <c r="D1973" s="208">
        <v>6</v>
      </c>
      <c r="E1973" s="386">
        <v>7</v>
      </c>
      <c r="F1973" s="208">
        <v>8</v>
      </c>
      <c r="G1973">
        <f>IF(getRGB1($C1973)="FFFFFF",0,1)+IF(getRGB1($D1973)="FFFFFF",0,2)+IF(getRGB1($E1973)="FFFFFF",0,3)+IF(getRGB1($F1973)="FFFFFF",0,4)</f>
        <v>3</v>
      </c>
    </row>
    <row r="1974" spans="1:7" ht="30">
      <c r="A1974" t="s">
        <v>6686</v>
      </c>
      <c r="B1974" s="383" t="s">
        <v>5984</v>
      </c>
      <c r="C1974" s="386" t="s">
        <v>5985</v>
      </c>
      <c r="D1974" s="208" t="s">
        <v>1494</v>
      </c>
      <c r="E1974" s="208" t="s">
        <v>5986</v>
      </c>
      <c r="F1974" s="208" t="s">
        <v>1887</v>
      </c>
      <c r="G1974">
        <f>IF(getRGB1($C1974)="FFFFFF",0,1)+IF(getRGB1($D1974)="FFFFFF",0,2)+IF(getRGB1($E1974)="FFFFFF",0,3)+IF(getRGB1($F1974)="FFFFFF",0,4)</f>
        <v>1</v>
      </c>
    </row>
    <row r="1975" spans="1:7" ht="30">
      <c r="A1975" t="s">
        <v>6686</v>
      </c>
      <c r="B1975" s="383" t="s">
        <v>5987</v>
      </c>
      <c r="C1975" s="208" t="s">
        <v>5988</v>
      </c>
      <c r="D1975" s="208" t="s">
        <v>5989</v>
      </c>
      <c r="E1975" s="208" t="s">
        <v>5990</v>
      </c>
      <c r="F1975" s="386" t="s">
        <v>457</v>
      </c>
      <c r="G1975">
        <f>IF(getRGB1($C1975)="FFFFFF",0,1)+IF(getRGB1($D1975)="FFFFFF",0,2)+IF(getRGB1($E1975)="FFFFFF",0,3)+IF(getRGB1($F1975)="FFFFFF",0,4)</f>
        <v>4</v>
      </c>
    </row>
    <row r="1976" spans="1:7" ht="30">
      <c r="A1976" t="s">
        <v>6686</v>
      </c>
      <c r="B1976" s="383" t="s">
        <v>5991</v>
      </c>
      <c r="C1976" s="386" t="s">
        <v>5992</v>
      </c>
      <c r="D1976" s="208" t="s">
        <v>5993</v>
      </c>
      <c r="E1976" s="208" t="s">
        <v>5958</v>
      </c>
      <c r="F1976" s="208" t="s">
        <v>5994</v>
      </c>
      <c r="G1976">
        <f>IF(getRGB1($C1976)="FFFFFF",0,1)+IF(getRGB1($D1976)="FFFFFF",0,2)+IF(getRGB1($E1976)="FFFFFF",0,3)+IF(getRGB1($F1976)="FFFFFF",0,4)</f>
        <v>1</v>
      </c>
    </row>
    <row r="1977" spans="1:7">
      <c r="A1977" t="s">
        <v>6686</v>
      </c>
      <c r="B1977" s="383" t="s">
        <v>5995</v>
      </c>
      <c r="C1977" s="208" t="s">
        <v>5996</v>
      </c>
      <c r="D1977" s="208" t="s">
        <v>5997</v>
      </c>
      <c r="E1977" s="386" t="s">
        <v>4666</v>
      </c>
      <c r="F1977" s="208" t="s">
        <v>468</v>
      </c>
      <c r="G1977">
        <f>IF(getRGB1($C1977)="FFFFFF",0,1)+IF(getRGB1($D1977)="FFFFFF",0,2)+IF(getRGB1($E1977)="FFFFFF",0,3)+IF(getRGB1($F1977)="FFFFFF",0,4)</f>
        <v>3</v>
      </c>
    </row>
    <row r="1978" spans="1:7" ht="30">
      <c r="A1978" t="s">
        <v>6686</v>
      </c>
      <c r="B1978" s="383" t="s">
        <v>5998</v>
      </c>
      <c r="C1978" s="208" t="s">
        <v>5999</v>
      </c>
      <c r="D1978" s="386" t="s">
        <v>6000</v>
      </c>
      <c r="E1978" s="208" t="s">
        <v>6001</v>
      </c>
      <c r="F1978" s="208" t="s">
        <v>6002</v>
      </c>
      <c r="G1978">
        <f>IF(getRGB1($C1978)="FFFFFF",0,1)+IF(getRGB1($D1978)="FFFFFF",0,2)+IF(getRGB1($E1978)="FFFFFF",0,3)+IF(getRGB1($F1978)="FFFFFF",0,4)</f>
        <v>2</v>
      </c>
    </row>
    <row r="1979" spans="1:7" ht="47.25">
      <c r="A1979" t="s">
        <v>6686</v>
      </c>
      <c r="B1979" s="421" t="s">
        <v>6003</v>
      </c>
      <c r="C1979" s="386" t="s">
        <v>6004</v>
      </c>
      <c r="D1979" s="208" t="s">
        <v>6005</v>
      </c>
      <c r="E1979" s="208" t="s">
        <v>4666</v>
      </c>
      <c r="F1979" s="208" t="s">
        <v>468</v>
      </c>
      <c r="G1979">
        <f>IF(getRGB1($C1979)="FFFFFF",0,1)+IF(getRGB1($D1979)="FFFFFF",0,2)+IF(getRGB1($E1979)="FFFFFF",0,3)+IF(getRGB1($F1979)="FFFFFF",0,4)</f>
        <v>1</v>
      </c>
    </row>
    <row r="1980" spans="1:7" ht="30">
      <c r="A1980" t="s">
        <v>6686</v>
      </c>
      <c r="B1980" s="383" t="s">
        <v>6006</v>
      </c>
      <c r="C1980" s="386" t="s">
        <v>6007</v>
      </c>
      <c r="D1980" s="208" t="s">
        <v>6008</v>
      </c>
      <c r="E1980" s="208" t="s">
        <v>4666</v>
      </c>
      <c r="F1980" s="208" t="s">
        <v>468</v>
      </c>
      <c r="G1980">
        <f>IF(getRGB1($C1980)="FFFFFF",0,1)+IF(getRGB1($D1980)="FFFFFF",0,2)+IF(getRGB1($E1980)="FFFFFF",0,3)+IF(getRGB1($F1980)="FFFFFF",0,4)</f>
        <v>1</v>
      </c>
    </row>
    <row r="1981" spans="1:7" ht="30">
      <c r="A1981" t="s">
        <v>6686</v>
      </c>
      <c r="B1981" s="383" t="s">
        <v>6009</v>
      </c>
      <c r="C1981" s="208" t="s">
        <v>6010</v>
      </c>
      <c r="D1981" s="386" t="s">
        <v>6011</v>
      </c>
      <c r="E1981" s="208" t="s">
        <v>6012</v>
      </c>
      <c r="F1981" s="208" t="s">
        <v>6013</v>
      </c>
      <c r="G1981">
        <f>IF(getRGB1($C1981)="FFFFFF",0,1)+IF(getRGB1($D1981)="FFFFFF",0,2)+IF(getRGB1($E1981)="FFFFFF",0,3)+IF(getRGB1($F1981)="FFFFFF",0,4)</f>
        <v>2</v>
      </c>
    </row>
    <row r="1982" spans="1:7">
      <c r="A1982" t="s">
        <v>6686</v>
      </c>
      <c r="B1982" s="381" t="s">
        <v>6014</v>
      </c>
      <c r="C1982" s="386" t="b">
        <v>1</v>
      </c>
      <c r="D1982" s="208" t="b">
        <v>0</v>
      </c>
      <c r="E1982" s="208"/>
      <c r="F1982" s="208"/>
      <c r="G1982">
        <f>IF(getRGB1($C1982)="FFFFFF",0,1)+IF(getRGB1($D1982)="FFFFFF",0,2)+IF(getRGB1($E1982)="FFFFFF",0,3)+IF(getRGB1($F1982)="FFFFFF",0,4)</f>
        <v>1</v>
      </c>
    </row>
    <row r="1983" spans="1:7">
      <c r="A1983" t="s">
        <v>6686</v>
      </c>
      <c r="B1983" s="383" t="s">
        <v>6015</v>
      </c>
      <c r="C1983" s="208" t="s">
        <v>6016</v>
      </c>
      <c r="D1983" s="208" t="s">
        <v>6017</v>
      </c>
      <c r="E1983" s="208" t="s">
        <v>6018</v>
      </c>
      <c r="F1983" s="386" t="s">
        <v>5994</v>
      </c>
      <c r="G1983">
        <f>IF(getRGB1($C1983)="FFFFFF",0,1)+IF(getRGB1($D1983)="FFFFFF",0,2)+IF(getRGB1($E1983)="FFFFFF",0,3)+IF(getRGB1($F1983)="FFFFFF",0,4)</f>
        <v>4</v>
      </c>
    </row>
    <row r="1984" spans="1:7" ht="60">
      <c r="A1984" t="s">
        <v>6686</v>
      </c>
      <c r="B1984" s="383" t="s">
        <v>6019</v>
      </c>
      <c r="C1984" s="386" t="b">
        <v>1</v>
      </c>
      <c r="D1984" s="208" t="b">
        <v>0</v>
      </c>
      <c r="E1984" s="208"/>
      <c r="F1984" s="208"/>
      <c r="G1984">
        <f>IF(getRGB1($C1984)="FFFFFF",0,1)+IF(getRGB1($D1984)="FFFFFF",0,2)+IF(getRGB1($E1984)="FFFFFF",0,3)+IF(getRGB1($F1984)="FFFFFF",0,4)</f>
        <v>1</v>
      </c>
    </row>
    <row r="1985" spans="1:7">
      <c r="A1985" t="s">
        <v>6686</v>
      </c>
      <c r="B1985" s="383" t="s">
        <v>6020</v>
      </c>
      <c r="C1985" s="208" t="s">
        <v>6021</v>
      </c>
      <c r="D1985" s="208" t="s">
        <v>6022</v>
      </c>
      <c r="E1985" s="386" t="s">
        <v>6023</v>
      </c>
      <c r="F1985" s="208" t="s">
        <v>6024</v>
      </c>
      <c r="G1985">
        <f>IF(getRGB1($C1985)="FFFFFF",0,1)+IF(getRGB1($D1985)="FFFFFF",0,2)+IF(getRGB1($E1985)="FFFFFF",0,3)+IF(getRGB1($F1985)="FFFFFF",0,4)</f>
        <v>3</v>
      </c>
    </row>
    <row r="1986" spans="1:7" ht="30">
      <c r="A1986" t="s">
        <v>6686</v>
      </c>
      <c r="B1986" s="383" t="s">
        <v>6025</v>
      </c>
      <c r="C1986" s="208">
        <v>10</v>
      </c>
      <c r="D1986" s="208">
        <v>15</v>
      </c>
      <c r="E1986" s="386">
        <v>20</v>
      </c>
      <c r="F1986" s="208">
        <v>25</v>
      </c>
      <c r="G1986">
        <f>IF(getRGB1($C1986)="FFFFFF",0,1)+IF(getRGB1($D1986)="FFFFFF",0,2)+IF(getRGB1($E1986)="FFFFFF",0,3)+IF(getRGB1($F1986)="FFFFFF",0,4)</f>
        <v>3</v>
      </c>
    </row>
    <row r="1987" spans="1:7" ht="30">
      <c r="A1987" t="s">
        <v>6686</v>
      </c>
      <c r="B1987" s="383" t="s">
        <v>6026</v>
      </c>
      <c r="C1987" s="386" t="b">
        <v>1</v>
      </c>
      <c r="D1987" s="208" t="b">
        <v>0</v>
      </c>
      <c r="E1987" s="208"/>
      <c r="F1987" s="208"/>
      <c r="G1987">
        <f>IF(getRGB1($C1987)="FFFFFF",0,1)+IF(getRGB1($D1987)="FFFFFF",0,2)+IF(getRGB1($E1987)="FFFFFF",0,3)+IF(getRGB1($F1987)="FFFFFF",0,4)</f>
        <v>1</v>
      </c>
    </row>
    <row r="1988" spans="1:7" ht="30">
      <c r="A1988" t="s">
        <v>6686</v>
      </c>
      <c r="B1988" s="383" t="s">
        <v>6027</v>
      </c>
      <c r="C1988" s="386" t="b">
        <v>1</v>
      </c>
      <c r="D1988" s="208" t="b">
        <v>0</v>
      </c>
      <c r="E1988" s="208"/>
      <c r="F1988" s="208"/>
      <c r="G1988">
        <f>IF(getRGB1($C1988)="FFFFFF",0,1)+IF(getRGB1($D1988)="FFFFFF",0,2)+IF(getRGB1($E1988)="FFFFFF",0,3)+IF(getRGB1($F1988)="FFFFFF",0,4)</f>
        <v>1</v>
      </c>
    </row>
    <row r="1989" spans="1:7" ht="30">
      <c r="A1989" t="s">
        <v>6686</v>
      </c>
      <c r="B1989" s="383" t="s">
        <v>6028</v>
      </c>
      <c r="C1989" s="386" t="b">
        <v>1</v>
      </c>
      <c r="D1989" s="208" t="b">
        <v>0</v>
      </c>
      <c r="E1989" s="208"/>
      <c r="F1989" s="208"/>
      <c r="G1989">
        <f>IF(getRGB1($C1989)="FFFFFF",0,1)+IF(getRGB1($D1989)="FFFFFF",0,2)+IF(getRGB1($E1989)="FFFFFF",0,3)+IF(getRGB1($F1989)="FFFFFF",0,4)</f>
        <v>1</v>
      </c>
    </row>
    <row r="1990" spans="1:7" ht="30">
      <c r="A1990" t="s">
        <v>6686</v>
      </c>
      <c r="B1990" s="383" t="s">
        <v>6029</v>
      </c>
      <c r="C1990" s="386" t="b">
        <v>1</v>
      </c>
      <c r="D1990" s="208" t="b">
        <v>0</v>
      </c>
      <c r="E1990" s="208"/>
      <c r="F1990" s="208"/>
      <c r="G1990">
        <f>IF(getRGB1($C1990)="FFFFFF",0,1)+IF(getRGB1($D1990)="FFFFFF",0,2)+IF(getRGB1($E1990)="FFFFFF",0,3)+IF(getRGB1($F1990)="FFFFFF",0,4)</f>
        <v>1</v>
      </c>
    </row>
    <row r="1991" spans="1:7" ht="30">
      <c r="A1991" t="s">
        <v>6686</v>
      </c>
      <c r="B1991" s="383" t="s">
        <v>6030</v>
      </c>
      <c r="C1991" s="208">
        <v>25</v>
      </c>
      <c r="D1991" s="208">
        <v>27</v>
      </c>
      <c r="E1991" s="386">
        <v>30</v>
      </c>
      <c r="F1991" s="208">
        <v>33</v>
      </c>
      <c r="G1991">
        <f>IF(getRGB1($C1991)="FFFFFF",0,1)+IF(getRGB1($D1991)="FFFFFF",0,2)+IF(getRGB1($E1991)="FFFFFF",0,3)+IF(getRGB1($F1991)="FFFFFF",0,4)</f>
        <v>3</v>
      </c>
    </row>
    <row r="1992" spans="1:7">
      <c r="A1992" t="s">
        <v>6686</v>
      </c>
      <c r="B1992" s="383" t="s">
        <v>6031</v>
      </c>
      <c r="C1992" s="208" t="s">
        <v>6032</v>
      </c>
      <c r="D1992" s="208" t="s">
        <v>6033</v>
      </c>
      <c r="E1992" s="386" t="s">
        <v>4666</v>
      </c>
      <c r="F1992" s="208" t="s">
        <v>468</v>
      </c>
      <c r="G1992">
        <f>IF(getRGB1($C1992)="FFFFFF",0,1)+IF(getRGB1($D1992)="FFFFFF",0,2)+IF(getRGB1($E1992)="FFFFFF",0,3)+IF(getRGB1($F1992)="FFFFFF",0,4)</f>
        <v>3</v>
      </c>
    </row>
    <row r="1993" spans="1:7" ht="30">
      <c r="A1993" t="s">
        <v>6686</v>
      </c>
      <c r="B1993" s="383" t="s">
        <v>6034</v>
      </c>
      <c r="C1993" s="386" t="b">
        <v>1</v>
      </c>
      <c r="D1993" s="208" t="b">
        <v>0</v>
      </c>
      <c r="E1993" s="208"/>
      <c r="F1993" s="208"/>
      <c r="G1993">
        <f>IF(getRGB1($C1993)="FFFFFF",0,1)+IF(getRGB1($D1993)="FFFFFF",0,2)+IF(getRGB1($E1993)="FFFFFF",0,3)+IF(getRGB1($F1993)="FFFFFF",0,4)</f>
        <v>1</v>
      </c>
    </row>
    <row r="1994" spans="1:7" ht="47.25">
      <c r="A1994" t="s">
        <v>6686</v>
      </c>
      <c r="B1994" s="443" t="s">
        <v>6184</v>
      </c>
      <c r="C1994" s="444" t="s">
        <v>6185</v>
      </c>
      <c r="D1994" s="445" t="s">
        <v>6186</v>
      </c>
      <c r="E1994" s="445" t="s">
        <v>6187</v>
      </c>
      <c r="F1994" s="445" t="s">
        <v>6188</v>
      </c>
      <c r="G1994">
        <f>IF(getRGB1($C1994)="FFFFFF",0,1)+IF(getRGB1($D1994)="FFFFFF",0,2)+IF(getRGB1($E1994)="FFFFFF",0,3)+IF(getRGB1($F1994)="FFFFFF",0,4)</f>
        <v>1</v>
      </c>
    </row>
    <row r="1995" spans="1:7" ht="15.75">
      <c r="A1995" t="s">
        <v>6686</v>
      </c>
      <c r="B1995" s="443" t="s">
        <v>6189</v>
      </c>
      <c r="C1995" s="444" t="s">
        <v>1272</v>
      </c>
      <c r="D1995" s="445" t="s">
        <v>6190</v>
      </c>
      <c r="E1995" s="445" t="s">
        <v>6191</v>
      </c>
      <c r="F1995" s="445" t="s">
        <v>6192</v>
      </c>
      <c r="G1995">
        <f>IF(getRGB1($C1995)="FFFFFF",0,1)+IF(getRGB1($D1995)="FFFFFF",0,2)+IF(getRGB1($E1995)="FFFFFF",0,3)+IF(getRGB1($F1995)="FFFFFF",0,4)</f>
        <v>1</v>
      </c>
    </row>
    <row r="1996" spans="1:7" ht="63">
      <c r="A1996" t="s">
        <v>6686</v>
      </c>
      <c r="B1996" s="443" t="s">
        <v>6193</v>
      </c>
      <c r="C1996" s="445" t="s">
        <v>1272</v>
      </c>
      <c r="D1996" s="444" t="s">
        <v>6194</v>
      </c>
      <c r="E1996" s="445" t="s">
        <v>4979</v>
      </c>
      <c r="F1996" s="445" t="s">
        <v>4975</v>
      </c>
      <c r="G1996">
        <f>IF(getRGB1($C1996)="FFFFFF",0,1)+IF(getRGB1($D1996)="FFFFFF",0,2)+IF(getRGB1($E1996)="FFFFFF",0,3)+IF(getRGB1($F1996)="FFFFFF",0,4)</f>
        <v>2</v>
      </c>
    </row>
    <row r="1997" spans="1:7" ht="31.5">
      <c r="A1997" t="s">
        <v>6686</v>
      </c>
      <c r="B1997" s="443" t="s">
        <v>6195</v>
      </c>
      <c r="C1997" s="444" t="s">
        <v>6196</v>
      </c>
      <c r="D1997" s="445"/>
      <c r="E1997" s="445"/>
      <c r="F1997" s="445"/>
      <c r="G1997">
        <f>IF(getRGB1($C1997)="FFFFFF",0,1)+IF(getRGB1($D1997)="FFFFFF",0,2)+IF(getRGB1($E1997)="FFFFFF",0,3)+IF(getRGB1($F1997)="FFFFFF",0,4)</f>
        <v>1</v>
      </c>
    </row>
    <row r="1998" spans="1:7" ht="47.25">
      <c r="A1998" t="s">
        <v>6686</v>
      </c>
      <c r="B1998" s="443" t="s">
        <v>6197</v>
      </c>
      <c r="C1998" s="444" t="s">
        <v>6198</v>
      </c>
      <c r="D1998" s="445"/>
      <c r="E1998" s="445"/>
      <c r="F1998" s="445"/>
      <c r="G1998">
        <f>IF(getRGB1($C1998)="FFFFFF",0,1)+IF(getRGB1($D1998)="FFFFFF",0,2)+IF(getRGB1($E1998)="FFFFFF",0,3)+IF(getRGB1($F1998)="FFFFFF",0,4)</f>
        <v>1</v>
      </c>
    </row>
    <row r="1999" spans="1:7" ht="110.25">
      <c r="A1999" t="s">
        <v>6686</v>
      </c>
      <c r="B1999" s="443" t="s">
        <v>6199</v>
      </c>
      <c r="C1999" s="113" t="s">
        <v>6200</v>
      </c>
      <c r="D1999" s="113" t="s">
        <v>6201</v>
      </c>
      <c r="E1999" s="446" t="s">
        <v>6202</v>
      </c>
      <c r="F1999" s="113" t="s">
        <v>6203</v>
      </c>
      <c r="G1999">
        <f>IF(getRGB1($C1999)="FFFFFF",0,1)+IF(getRGB1($D1999)="FFFFFF",0,2)+IF(getRGB1($E1999)="FFFFFF",0,3)+IF(getRGB1($F1999)="FFFFFF",0,4)</f>
        <v>3</v>
      </c>
    </row>
    <row r="2000" spans="1:7" ht="63">
      <c r="A2000" t="s">
        <v>6686</v>
      </c>
      <c r="B2000" s="443" t="s">
        <v>6204</v>
      </c>
      <c r="C2000" s="113" t="s">
        <v>6205</v>
      </c>
      <c r="D2000" s="446" t="s">
        <v>6206</v>
      </c>
      <c r="E2000" s="113" t="s">
        <v>6207</v>
      </c>
      <c r="F2000" s="113" t="s">
        <v>6208</v>
      </c>
      <c r="G2000">
        <f>IF(getRGB1($C2000)="FFFFFF",0,1)+IF(getRGB1($D2000)="FFFFFF",0,2)+IF(getRGB1($E2000)="FFFFFF",0,3)+IF(getRGB1($F2000)="FFFFFF",0,4)</f>
        <v>2</v>
      </c>
    </row>
    <row r="2001" spans="1:7" ht="47.25">
      <c r="A2001" t="s">
        <v>6686</v>
      </c>
      <c r="B2001" s="443" t="s">
        <v>6209</v>
      </c>
      <c r="C2001" s="113" t="s">
        <v>6210</v>
      </c>
      <c r="D2001" s="113" t="s">
        <v>6211</v>
      </c>
      <c r="E2001" s="446" t="s">
        <v>6212</v>
      </c>
      <c r="F2001" s="113" t="s">
        <v>6213</v>
      </c>
      <c r="G2001">
        <f>IF(getRGB1($C2001)="FFFFFF",0,1)+IF(getRGB1($D2001)="FFFFFF",0,2)+IF(getRGB1($E2001)="FFFFFF",0,3)+IF(getRGB1($F2001)="FFFFFF",0,4)</f>
        <v>3</v>
      </c>
    </row>
    <row r="2002" spans="1:7" ht="47.25">
      <c r="A2002" t="s">
        <v>6686</v>
      </c>
      <c r="B2002" s="443" t="s">
        <v>6214</v>
      </c>
      <c r="C2002" s="181" t="s">
        <v>6215</v>
      </c>
      <c r="D2002" s="447" t="s">
        <v>6216</v>
      </c>
      <c r="E2002" s="181" t="s">
        <v>6217</v>
      </c>
      <c r="F2002" s="181" t="s">
        <v>6218</v>
      </c>
      <c r="G2002">
        <f>IF(getRGB1($C2002)="FFFFFF",0,1)+IF(getRGB1($D2002)="FFFFFF",0,2)+IF(getRGB1($E2002)="FFFFFF",0,3)+IF(getRGB1($F2002)="FFFFFF",0,4)</f>
        <v>2</v>
      </c>
    </row>
    <row r="2003" spans="1:7" ht="31.5">
      <c r="A2003" t="s">
        <v>6686</v>
      </c>
      <c r="B2003" s="443" t="s">
        <v>6219</v>
      </c>
      <c r="C2003" s="447" t="s">
        <v>6220</v>
      </c>
      <c r="D2003" s="181" t="s">
        <v>6221</v>
      </c>
      <c r="E2003" s="181" t="s">
        <v>6222</v>
      </c>
      <c r="F2003" s="181" t="s">
        <v>6223</v>
      </c>
      <c r="G2003">
        <f>IF(getRGB1($C2003)="FFFFFF",0,1)+IF(getRGB1($D2003)="FFFFFF",0,2)+IF(getRGB1($E2003)="FFFFFF",0,3)+IF(getRGB1($F2003)="FFFFFF",0,4)</f>
        <v>1</v>
      </c>
    </row>
    <row r="2004" spans="1:7" ht="63">
      <c r="A2004" t="s">
        <v>6686</v>
      </c>
      <c r="B2004" s="443" t="s">
        <v>6224</v>
      </c>
      <c r="C2004" s="113" t="s">
        <v>6162</v>
      </c>
      <c r="D2004" s="446" t="s">
        <v>6225</v>
      </c>
      <c r="E2004" s="181" t="s">
        <v>6226</v>
      </c>
      <c r="F2004" s="181" t="s">
        <v>6227</v>
      </c>
      <c r="G2004">
        <f>IF(getRGB1($C2004)="FFFFFF",0,1)+IF(getRGB1($D2004)="FFFFFF",0,2)+IF(getRGB1($E2004)="FFFFFF",0,3)+IF(getRGB1($F2004)="FFFFFF",0,4)</f>
        <v>2</v>
      </c>
    </row>
    <row r="2005" spans="1:7" ht="31.5">
      <c r="A2005" t="s">
        <v>6686</v>
      </c>
      <c r="B2005" s="443" t="s">
        <v>6228</v>
      </c>
      <c r="C2005" s="448" t="s">
        <v>6229</v>
      </c>
      <c r="D2005" s="443" t="s">
        <v>6230</v>
      </c>
      <c r="E2005" s="443" t="s">
        <v>6231</v>
      </c>
      <c r="F2005" s="443" t="s">
        <v>6232</v>
      </c>
      <c r="G2005">
        <f>IF(getRGB1($C2005)="FFFFFF",0,1)+IF(getRGB1($D2005)="FFFFFF",0,2)+IF(getRGB1($E2005)="FFFFFF",0,3)+IF(getRGB1($F2005)="FFFFFF",0,4)</f>
        <v>1</v>
      </c>
    </row>
    <row r="2006" spans="1:7" ht="47.25">
      <c r="A2006" t="s">
        <v>6686</v>
      </c>
      <c r="B2006" s="443" t="s">
        <v>6233</v>
      </c>
      <c r="C2006" s="448" t="s">
        <v>6234</v>
      </c>
      <c r="D2006" s="443" t="s">
        <v>6235</v>
      </c>
      <c r="E2006" s="443" t="s">
        <v>6236</v>
      </c>
      <c r="F2006" s="443" t="s">
        <v>468</v>
      </c>
      <c r="G2006">
        <f>IF(getRGB1($C2006)="FFFFFF",0,1)+IF(getRGB1($D2006)="FFFFFF",0,2)+IF(getRGB1($E2006)="FFFFFF",0,3)+IF(getRGB1($F2006)="FFFFFF",0,4)</f>
        <v>1</v>
      </c>
    </row>
    <row r="2007" spans="1:7" ht="31.5">
      <c r="A2007" t="s">
        <v>6686</v>
      </c>
      <c r="B2007" s="443" t="s">
        <v>6237</v>
      </c>
      <c r="C2007" s="448" t="s">
        <v>6238</v>
      </c>
      <c r="D2007" s="443" t="s">
        <v>6239</v>
      </c>
      <c r="E2007" s="443">
        <v>63</v>
      </c>
      <c r="F2007" s="443">
        <v>61</v>
      </c>
      <c r="G2007">
        <f>IF(getRGB1($C2007)="FFFFFF",0,1)+IF(getRGB1($D2007)="FFFFFF",0,2)+IF(getRGB1($E2007)="FFFFFF",0,3)+IF(getRGB1($F2007)="FFFFFF",0,4)</f>
        <v>1</v>
      </c>
    </row>
    <row r="2008" spans="1:7" ht="31.5">
      <c r="A2008" t="s">
        <v>6686</v>
      </c>
      <c r="B2008" s="443" t="s">
        <v>6240</v>
      </c>
      <c r="C2008" s="443" t="s">
        <v>6241</v>
      </c>
      <c r="D2008" s="443" t="s">
        <v>6242</v>
      </c>
      <c r="E2008" s="443" t="s">
        <v>6243</v>
      </c>
      <c r="F2008" s="448" t="s">
        <v>3313</v>
      </c>
      <c r="G2008">
        <f>IF(getRGB1($C2008)="FFFFFF",0,1)+IF(getRGB1($D2008)="FFFFFF",0,2)+IF(getRGB1($E2008)="FFFFFF",0,3)+IF(getRGB1($F2008)="FFFFFF",0,4)</f>
        <v>4</v>
      </c>
    </row>
    <row r="2009" spans="1:7" ht="47.25">
      <c r="A2009" t="s">
        <v>6686</v>
      </c>
      <c r="B2009" s="443" t="s">
        <v>6244</v>
      </c>
      <c r="C2009" s="448" t="s">
        <v>6245</v>
      </c>
      <c r="D2009" s="443" t="s">
        <v>6246</v>
      </c>
      <c r="E2009" s="443" t="s">
        <v>2658</v>
      </c>
      <c r="F2009" s="443" t="s">
        <v>6247</v>
      </c>
      <c r="G2009">
        <f>IF(getRGB1($C2009)="FFFFFF",0,1)+IF(getRGB1($D2009)="FFFFFF",0,2)+IF(getRGB1($E2009)="FFFFFF",0,3)+IF(getRGB1($F2009)="FFFFFF",0,4)</f>
        <v>1</v>
      </c>
    </row>
    <row r="2010" spans="1:7" ht="47.25">
      <c r="A2010" t="s">
        <v>6686</v>
      </c>
      <c r="B2010" s="443" t="s">
        <v>6184</v>
      </c>
      <c r="C2010" s="448" t="s">
        <v>6185</v>
      </c>
      <c r="D2010" s="443" t="s">
        <v>6239</v>
      </c>
      <c r="E2010" s="443">
        <v>63</v>
      </c>
      <c r="F2010" s="443">
        <v>61</v>
      </c>
      <c r="G2010">
        <f>IF(getRGB1($C2010)="FFFFFF",0,1)+IF(getRGB1($D2010)="FFFFFF",0,2)+IF(getRGB1($E2010)="FFFFFF",0,3)+IF(getRGB1($F2010)="FFFFFF",0,4)</f>
        <v>1</v>
      </c>
    </row>
    <row r="2011" spans="1:7" ht="15.75">
      <c r="A2011" t="s">
        <v>6686</v>
      </c>
      <c r="B2011" s="443" t="s">
        <v>6189</v>
      </c>
      <c r="C2011" s="448" t="s">
        <v>1272</v>
      </c>
      <c r="D2011" s="443" t="s">
        <v>6239</v>
      </c>
      <c r="E2011" s="443">
        <v>63</v>
      </c>
      <c r="F2011" s="443">
        <v>61</v>
      </c>
      <c r="G2011">
        <f>IF(getRGB1($C2011)="FFFFFF",0,1)+IF(getRGB1($D2011)="FFFFFF",0,2)+IF(getRGB1($E2011)="FFFFFF",0,3)+IF(getRGB1($F2011)="FFFFFF",0,4)</f>
        <v>1</v>
      </c>
    </row>
    <row r="2012" spans="1:7" ht="63">
      <c r="A2012" t="s">
        <v>6686</v>
      </c>
      <c r="B2012" s="443" t="s">
        <v>6193</v>
      </c>
      <c r="C2012" s="448" t="s">
        <v>6194</v>
      </c>
      <c r="D2012" s="443" t="s">
        <v>6239</v>
      </c>
      <c r="E2012" s="443">
        <v>63</v>
      </c>
      <c r="F2012" s="443">
        <v>61</v>
      </c>
      <c r="G2012">
        <f>IF(getRGB1($C2012)="FFFFFF",0,1)+IF(getRGB1($D2012)="FFFFFF",0,2)+IF(getRGB1($E2012)="FFFFFF",0,3)+IF(getRGB1($F2012)="FFFFFF",0,4)</f>
        <v>1</v>
      </c>
    </row>
    <row r="2013" spans="1:7" ht="31.5">
      <c r="A2013" t="s">
        <v>6686</v>
      </c>
      <c r="B2013" s="443" t="s">
        <v>6195</v>
      </c>
      <c r="C2013" s="448" t="s">
        <v>6196</v>
      </c>
      <c r="D2013" s="443" t="s">
        <v>266</v>
      </c>
      <c r="E2013" s="443" t="s">
        <v>1194</v>
      </c>
      <c r="F2013" s="443" t="s">
        <v>468</v>
      </c>
      <c r="G2013">
        <f>IF(getRGB1($C2013)="FFFFFF",0,1)+IF(getRGB1($D2013)="FFFFFF",0,2)+IF(getRGB1($E2013)="FFFFFF",0,3)+IF(getRGB1($F2013)="FFFFFF",0,4)</f>
        <v>1</v>
      </c>
    </row>
    <row r="2014" spans="1:7" ht="47.25">
      <c r="A2014" t="s">
        <v>6686</v>
      </c>
      <c r="B2014" s="443" t="s">
        <v>6197</v>
      </c>
      <c r="C2014" s="448" t="s">
        <v>6198</v>
      </c>
      <c r="D2014" s="443" t="s">
        <v>6239</v>
      </c>
      <c r="E2014" s="443">
        <v>67</v>
      </c>
      <c r="F2014" s="443">
        <v>61</v>
      </c>
      <c r="G2014">
        <f>IF(getRGB1($C2014)="FFFFFF",0,1)+IF(getRGB1($D2014)="FFFFFF",0,2)+IF(getRGB1($E2014)="FFFFFF",0,3)+IF(getRGB1($F2014)="FFFFFF",0,4)</f>
        <v>1</v>
      </c>
    </row>
    <row r="2015" spans="1:7" ht="47.25">
      <c r="A2015" t="s">
        <v>6686</v>
      </c>
      <c r="B2015" s="443" t="s">
        <v>6248</v>
      </c>
      <c r="C2015" s="448" t="s">
        <v>6249</v>
      </c>
      <c r="D2015" s="443" t="s">
        <v>6250</v>
      </c>
      <c r="E2015" s="443" t="s">
        <v>6251</v>
      </c>
      <c r="F2015" s="443" t="s">
        <v>328</v>
      </c>
      <c r="G2015">
        <f>IF(getRGB1($C2015)="FFFFFF",0,1)+IF(getRGB1($D2015)="FFFFFF",0,2)+IF(getRGB1($E2015)="FFFFFF",0,3)+IF(getRGB1($F2015)="FFFFFF",0,4)</f>
        <v>1</v>
      </c>
    </row>
    <row r="2016" spans="1:7" ht="78.75">
      <c r="A2016" t="s">
        <v>6686</v>
      </c>
      <c r="B2016" s="443" t="s">
        <v>6252</v>
      </c>
      <c r="C2016" s="448" t="s">
        <v>6253</v>
      </c>
      <c r="D2016" s="443" t="s">
        <v>1206</v>
      </c>
      <c r="E2016" s="443" t="s">
        <v>6254</v>
      </c>
      <c r="F2016" s="443" t="s">
        <v>468</v>
      </c>
      <c r="G2016">
        <f>IF(getRGB1($C2016)="FFFFFF",0,1)+IF(getRGB1($D2016)="FFFFFF",0,2)+IF(getRGB1($E2016)="FFFFFF",0,3)+IF(getRGB1($F2016)="FFFFFF",0,4)</f>
        <v>1</v>
      </c>
    </row>
    <row r="2017" spans="1:7" ht="31.5">
      <c r="A2017" t="s">
        <v>6686</v>
      </c>
      <c r="B2017" s="443" t="s">
        <v>6255</v>
      </c>
      <c r="C2017" s="448" t="s">
        <v>6256</v>
      </c>
      <c r="D2017" s="443" t="s">
        <v>6257</v>
      </c>
      <c r="E2017" s="443" t="s">
        <v>6258</v>
      </c>
      <c r="F2017" s="443" t="s">
        <v>468</v>
      </c>
      <c r="G2017">
        <f>IF(getRGB1($C2017)="FFFFFF",0,1)+IF(getRGB1($D2017)="FFFFFF",0,2)+IF(getRGB1($E2017)="FFFFFF",0,3)+IF(getRGB1($F2017)="FFFFFF",0,4)</f>
        <v>1</v>
      </c>
    </row>
    <row r="2018" spans="1:7" ht="15.75">
      <c r="A2018" t="s">
        <v>6686</v>
      </c>
      <c r="B2018" s="443" t="s">
        <v>6259</v>
      </c>
      <c r="C2018" s="448" t="s">
        <v>6260</v>
      </c>
      <c r="D2018" s="443" t="s">
        <v>3301</v>
      </c>
      <c r="E2018" s="443" t="s">
        <v>1194</v>
      </c>
      <c r="F2018" s="443" t="s">
        <v>468</v>
      </c>
      <c r="G2018">
        <f>IF(getRGB1($C2018)="FFFFFF",0,1)+IF(getRGB1($D2018)="FFFFFF",0,2)+IF(getRGB1($E2018)="FFFFFF",0,3)+IF(getRGB1($F2018)="FFFFFF",0,4)</f>
        <v>1</v>
      </c>
    </row>
    <row r="2019" spans="1:7" ht="15.75">
      <c r="A2019" t="s">
        <v>6686</v>
      </c>
      <c r="B2019" s="443" t="s">
        <v>6261</v>
      </c>
      <c r="C2019" s="449">
        <v>38443</v>
      </c>
      <c r="D2019" s="450">
        <v>38473</v>
      </c>
      <c r="E2019" s="450">
        <v>38504</v>
      </c>
      <c r="F2019" s="443" t="s">
        <v>468</v>
      </c>
      <c r="G2019">
        <f>IF(getRGB1($C2019)="FFFFFF",0,1)+IF(getRGB1($D2019)="FFFFFF",0,2)+IF(getRGB1($E2019)="FFFFFF",0,3)+IF(getRGB1($F2019)="FFFFFF",0,4)</f>
        <v>1</v>
      </c>
    </row>
    <row r="2020" spans="1:7" ht="63">
      <c r="A2020" t="s">
        <v>6686</v>
      </c>
      <c r="B2020" s="443" t="s">
        <v>6262</v>
      </c>
      <c r="C2020" s="451">
        <v>0.15</v>
      </c>
      <c r="D2020" s="452">
        <v>0.16</v>
      </c>
      <c r="E2020" s="453">
        <v>0.155</v>
      </c>
      <c r="F2020" s="453">
        <v>0.16500000000000001</v>
      </c>
      <c r="G2020">
        <f>IF(getRGB1($C2020)="FFFFFF",0,1)+IF(getRGB1($D2020)="FFFFFF",0,2)+IF(getRGB1($E2020)="FFFFFF",0,3)+IF(getRGB1($F2020)="FFFFFF",0,4)</f>
        <v>1</v>
      </c>
    </row>
    <row r="2021" spans="1:7" ht="45">
      <c r="A2021" t="s">
        <v>6687</v>
      </c>
      <c r="B2021" s="331" t="s">
        <v>6263</v>
      </c>
      <c r="C2021" s="97" t="s">
        <v>6264</v>
      </c>
      <c r="D2021" s="113" t="s">
        <v>6265</v>
      </c>
      <c r="E2021" s="113" t="s">
        <v>3477</v>
      </c>
      <c r="F2021" s="115" t="s">
        <v>3313</v>
      </c>
      <c r="G2021">
        <f>IF(getRGB1($C2021)="FFFFFF",0,1)+IF(getRGB1($D2021)="FFFFFF",0,2)+IF(getRGB1($E2021)="FFFFFF",0,3)+IF(getRGB1($F2021)="FFFFFF",0,4)</f>
        <v>4</v>
      </c>
    </row>
    <row r="2022" spans="1:7" ht="90">
      <c r="A2022" t="s">
        <v>6687</v>
      </c>
      <c r="B2022" s="331" t="s">
        <v>6266</v>
      </c>
      <c r="C2022" s="331" t="s">
        <v>6267</v>
      </c>
      <c r="D2022" s="331" t="s">
        <v>6268</v>
      </c>
      <c r="E2022" s="115" t="s">
        <v>2074</v>
      </c>
      <c r="F2022" s="113" t="s">
        <v>4388</v>
      </c>
      <c r="G2022">
        <f>IF(getRGB1($C2022)="FFFFFF",0,1)+IF(getRGB1($D2022)="FFFFFF",0,2)+IF(getRGB1($E2022)="FFFFFF",0,3)+IF(getRGB1($F2022)="FFFFFF",0,4)</f>
        <v>3</v>
      </c>
    </row>
    <row r="2023" spans="1:7" ht="60">
      <c r="A2023" t="s">
        <v>6687</v>
      </c>
      <c r="B2023" s="331" t="s">
        <v>6269</v>
      </c>
      <c r="C2023" s="115" t="s">
        <v>6270</v>
      </c>
      <c r="D2023" s="113" t="s">
        <v>6271</v>
      </c>
      <c r="E2023" s="113" t="s">
        <v>6272</v>
      </c>
      <c r="F2023" s="113" t="s">
        <v>4386</v>
      </c>
      <c r="G2023">
        <f>IF(getRGB1($C2023)="FFFFFF",0,1)+IF(getRGB1($D2023)="FFFFFF",0,2)+IF(getRGB1($E2023)="FFFFFF",0,3)+IF(getRGB1($F2023)="FFFFFF",0,4)</f>
        <v>1</v>
      </c>
    </row>
    <row r="2024" spans="1:7" ht="30">
      <c r="A2024" t="s">
        <v>6687</v>
      </c>
      <c r="B2024" s="331" t="s">
        <v>6273</v>
      </c>
      <c r="C2024" s="113" t="s">
        <v>46</v>
      </c>
      <c r="D2024" s="113" t="s">
        <v>43</v>
      </c>
      <c r="E2024" s="115" t="s">
        <v>44</v>
      </c>
      <c r="F2024" s="113" t="s">
        <v>6274</v>
      </c>
      <c r="G2024">
        <f>IF(getRGB1($C2024)="FFFFFF",0,1)+IF(getRGB1($D2024)="FFFFFF",0,2)+IF(getRGB1($E2024)="FFFFFF",0,3)+IF(getRGB1($F2024)="FFFFFF",0,4)</f>
        <v>3</v>
      </c>
    </row>
    <row r="2025" spans="1:7" ht="105">
      <c r="A2025" t="s">
        <v>6687</v>
      </c>
      <c r="B2025" s="331" t="s">
        <v>6275</v>
      </c>
      <c r="C2025" s="113" t="s">
        <v>6276</v>
      </c>
      <c r="D2025" s="113" t="s">
        <v>6277</v>
      </c>
      <c r="E2025" s="113" t="s">
        <v>6278</v>
      </c>
      <c r="F2025" s="115" t="s">
        <v>3313</v>
      </c>
      <c r="G2025">
        <f>IF(getRGB1($C2025)="FFFFFF",0,1)+IF(getRGB1($D2025)="FFFFFF",0,2)+IF(getRGB1($E2025)="FFFFFF",0,3)+IF(getRGB1($F2025)="FFFFFF",0,4)</f>
        <v>4</v>
      </c>
    </row>
    <row r="2026" spans="1:7" ht="45">
      <c r="A2026" t="s">
        <v>6687</v>
      </c>
      <c r="B2026" s="331" t="s">
        <v>6279</v>
      </c>
      <c r="C2026" s="113" t="s">
        <v>6280</v>
      </c>
      <c r="D2026" s="113" t="s">
        <v>6281</v>
      </c>
      <c r="E2026" s="115" t="s">
        <v>2074</v>
      </c>
      <c r="F2026" s="113" t="s">
        <v>6282</v>
      </c>
      <c r="G2026">
        <f>IF(getRGB1($C2026)="FFFFFF",0,1)+IF(getRGB1($D2026)="FFFFFF",0,2)+IF(getRGB1($E2026)="FFFFFF",0,3)+IF(getRGB1($F2026)="FFFFFF",0,4)</f>
        <v>3</v>
      </c>
    </row>
    <row r="2027" spans="1:7" ht="30">
      <c r="A2027" t="s">
        <v>6687</v>
      </c>
      <c r="B2027" s="331" t="s">
        <v>6283</v>
      </c>
      <c r="C2027" s="113" t="s">
        <v>6284</v>
      </c>
      <c r="D2027" s="115" t="s">
        <v>6285</v>
      </c>
      <c r="E2027" s="113" t="s">
        <v>459</v>
      </c>
      <c r="F2027" s="113" t="s">
        <v>4388</v>
      </c>
      <c r="G2027">
        <f>IF(getRGB1($C2027)="FFFFFF",0,1)+IF(getRGB1($D2027)="FFFFFF",0,2)+IF(getRGB1($E2027)="FFFFFF",0,3)+IF(getRGB1($F2027)="FFFFFF",0,4)</f>
        <v>2</v>
      </c>
    </row>
    <row r="2028" spans="1:7" ht="45">
      <c r="A2028" t="s">
        <v>6687</v>
      </c>
      <c r="B2028" s="331" t="s">
        <v>6286</v>
      </c>
      <c r="C2028" s="97" t="s">
        <v>174</v>
      </c>
      <c r="D2028" s="97" t="s">
        <v>6287</v>
      </c>
      <c r="E2028" s="132" t="s">
        <v>137</v>
      </c>
      <c r="F2028" s="97" t="s">
        <v>1059</v>
      </c>
      <c r="G2028">
        <f>IF(getRGB1($C2028)="FFFFFF",0,1)+IF(getRGB1($D2028)="FFFFFF",0,2)+IF(getRGB1($E2028)="FFFFFF",0,3)+IF(getRGB1($F2028)="FFFFFF",0,4)</f>
        <v>3</v>
      </c>
    </row>
    <row r="2029" spans="1:7" ht="120">
      <c r="A2029" t="s">
        <v>6687</v>
      </c>
      <c r="B2029" s="331" t="s">
        <v>6288</v>
      </c>
      <c r="C2029" s="97" t="s">
        <v>6289</v>
      </c>
      <c r="D2029" s="97" t="s">
        <v>6290</v>
      </c>
      <c r="E2029" s="132" t="s">
        <v>6291</v>
      </c>
      <c r="F2029" s="97" t="s">
        <v>360</v>
      </c>
      <c r="G2029">
        <f>IF(getRGB1($C2029)="FFFFFF",0,1)+IF(getRGB1($D2029)="FFFFFF",0,2)+IF(getRGB1($E2029)="FFFFFF",0,3)+IF(getRGB1($F2029)="FFFFFF",0,4)</f>
        <v>3</v>
      </c>
    </row>
    <row r="2030" spans="1:7" ht="90">
      <c r="A2030" t="s">
        <v>6687</v>
      </c>
      <c r="B2030" s="331" t="s">
        <v>6292</v>
      </c>
      <c r="C2030" s="97" t="s">
        <v>6293</v>
      </c>
      <c r="D2030" s="97" t="s">
        <v>6294</v>
      </c>
      <c r="E2030" s="132" t="s">
        <v>360</v>
      </c>
      <c r="F2030" s="97" t="s">
        <v>4388</v>
      </c>
      <c r="G2030">
        <f>IF(getRGB1($C2030)="FFFFFF",0,1)+IF(getRGB1($D2030)="FFFFFF",0,2)+IF(getRGB1($E2030)="FFFFFF",0,3)+IF(getRGB1($F2030)="FFFFFF",0,4)</f>
        <v>3</v>
      </c>
    </row>
    <row r="2031" spans="1:7" ht="60">
      <c r="A2031" t="s">
        <v>6687</v>
      </c>
      <c r="B2031" s="331" t="s">
        <v>6295</v>
      </c>
      <c r="C2031" s="97" t="s">
        <v>179</v>
      </c>
      <c r="D2031" s="132" t="s">
        <v>137</v>
      </c>
      <c r="E2031" s="97" t="s">
        <v>557</v>
      </c>
      <c r="F2031" s="97" t="s">
        <v>360</v>
      </c>
      <c r="G2031">
        <f>IF(getRGB1($C2031)="FFFFFF",0,1)+IF(getRGB1($D2031)="FFFFFF",0,2)+IF(getRGB1($E2031)="FFFFFF",0,3)+IF(getRGB1($F2031)="FFFFFF",0,4)</f>
        <v>2</v>
      </c>
    </row>
    <row r="2032" spans="1:7" ht="60">
      <c r="A2032" t="s">
        <v>6687</v>
      </c>
      <c r="B2032" s="331" t="s">
        <v>6296</v>
      </c>
      <c r="C2032" s="97" t="s">
        <v>6297</v>
      </c>
      <c r="D2032" s="132" t="s">
        <v>2657</v>
      </c>
      <c r="E2032" s="97" t="s">
        <v>6298</v>
      </c>
      <c r="F2032" s="97" t="s">
        <v>570</v>
      </c>
      <c r="G2032">
        <f>IF(getRGB1($C2032)="FFFFFF",0,1)+IF(getRGB1($D2032)="FFFFFF",0,2)+IF(getRGB1($E2032)="FFFFFF",0,3)+IF(getRGB1($F2032)="FFFFFF",0,4)</f>
        <v>2</v>
      </c>
    </row>
    <row r="2033" spans="1:7" ht="60">
      <c r="A2033" t="s">
        <v>6687</v>
      </c>
      <c r="B2033" s="331" t="s">
        <v>6299</v>
      </c>
      <c r="C2033" s="132" t="s">
        <v>6300</v>
      </c>
      <c r="D2033" s="97" t="s">
        <v>6301</v>
      </c>
      <c r="E2033" s="97" t="s">
        <v>6302</v>
      </c>
      <c r="F2033" s="97" t="s">
        <v>4388</v>
      </c>
      <c r="G2033">
        <f>IF(getRGB1($C2033)="FFFFFF",0,1)+IF(getRGB1($D2033)="FFFFFF",0,2)+IF(getRGB1($E2033)="FFFFFF",0,3)+IF(getRGB1($F2033)="FFFFFF",0,4)</f>
        <v>1</v>
      </c>
    </row>
    <row r="2034" spans="1:7" ht="135">
      <c r="A2034" t="s">
        <v>6687</v>
      </c>
      <c r="B2034" s="331" t="s">
        <v>6303</v>
      </c>
      <c r="C2034" s="97" t="s">
        <v>44</v>
      </c>
      <c r="D2034" s="132" t="s">
        <v>43</v>
      </c>
      <c r="E2034" s="97" t="s">
        <v>45</v>
      </c>
      <c r="F2034" s="97" t="s">
        <v>46</v>
      </c>
      <c r="G2034">
        <f>IF(getRGB1($C2034)="FFFFFF",0,1)+IF(getRGB1($D2034)="FFFFFF",0,2)+IF(getRGB1($E2034)="FFFFFF",0,3)+IF(getRGB1($F2034)="FFFFFF",0,4)</f>
        <v>2</v>
      </c>
    </row>
    <row r="2035" spans="1:7" ht="90">
      <c r="A2035" t="s">
        <v>6687</v>
      </c>
      <c r="B2035" s="331" t="s">
        <v>6304</v>
      </c>
      <c r="C2035" s="106" t="s">
        <v>6305</v>
      </c>
      <c r="D2035" s="106" t="s">
        <v>6306</v>
      </c>
      <c r="E2035" s="106" t="s">
        <v>6307</v>
      </c>
      <c r="F2035" s="132" t="s">
        <v>3313</v>
      </c>
      <c r="G2035">
        <f>IF(getRGB1($C2035)="FFFFFF",0,1)+IF(getRGB1($D2035)="FFFFFF",0,2)+IF(getRGB1($E2035)="FFFFFF",0,3)+IF(getRGB1($F2035)="FFFFFF",0,4)</f>
        <v>4</v>
      </c>
    </row>
    <row r="2036" spans="1:7" ht="60">
      <c r="A2036" t="s">
        <v>6687</v>
      </c>
      <c r="B2036" s="106" t="s">
        <v>6308</v>
      </c>
      <c r="C2036" s="106" t="s">
        <v>6309</v>
      </c>
      <c r="D2036" s="97" t="s">
        <v>6310</v>
      </c>
      <c r="E2036" s="97" t="s">
        <v>6311</v>
      </c>
      <c r="F2036" s="132" t="s">
        <v>3313</v>
      </c>
      <c r="G2036">
        <f>IF(getRGB1($C2036)="FFFFFF",0,1)+IF(getRGB1($D2036)="FFFFFF",0,2)+IF(getRGB1($E2036)="FFFFFF",0,3)+IF(getRGB1($F2036)="FFFFFF",0,4)</f>
        <v>4</v>
      </c>
    </row>
    <row r="2037" spans="1:7" ht="30">
      <c r="A2037" t="s">
        <v>6687</v>
      </c>
      <c r="B2037" s="331" t="s">
        <v>6312</v>
      </c>
      <c r="C2037" s="97" t="s">
        <v>43</v>
      </c>
      <c r="D2037" s="132" t="s">
        <v>44</v>
      </c>
      <c r="E2037" s="97" t="s">
        <v>45</v>
      </c>
      <c r="F2037" s="97" t="s">
        <v>46</v>
      </c>
      <c r="G2037">
        <f>IF(getRGB1($C2037)="FFFFFF",0,1)+IF(getRGB1($D2037)="FFFFFF",0,2)+IF(getRGB1($E2037)="FFFFFF",0,3)+IF(getRGB1($F2037)="FFFFFF",0,4)</f>
        <v>2</v>
      </c>
    </row>
    <row r="2038" spans="1:7" ht="30">
      <c r="A2038" t="s">
        <v>6688</v>
      </c>
      <c r="B2038" s="352" t="s">
        <v>6313</v>
      </c>
      <c r="C2038" s="347" t="s">
        <v>6314</v>
      </c>
      <c r="D2038" s="347" t="s">
        <v>6315</v>
      </c>
      <c r="E2038" s="347" t="s">
        <v>6316</v>
      </c>
      <c r="F2038" s="346" t="s">
        <v>6317</v>
      </c>
      <c r="G2038">
        <f>IF(getRGB1($C2038)="FFFFFF",0,1)+IF(getRGB1($D2038)="FFFFFF",0,2)+IF(getRGB1($E2038)="FFFFFF",0,3)+IF(getRGB1($F2038)="FFFFFF",0,4)</f>
        <v>4</v>
      </c>
    </row>
    <row r="2039" spans="1:7" ht="30">
      <c r="A2039" t="s">
        <v>6688</v>
      </c>
      <c r="B2039" s="352" t="s">
        <v>6318</v>
      </c>
      <c r="C2039" s="346">
        <v>30</v>
      </c>
      <c r="D2039" s="347">
        <v>25</v>
      </c>
      <c r="E2039" s="347">
        <v>20</v>
      </c>
      <c r="F2039" s="347">
        <v>10</v>
      </c>
      <c r="G2039">
        <f>IF(getRGB1($C2039)="FFFFFF",0,1)+IF(getRGB1($D2039)="FFFFFF",0,2)+IF(getRGB1($E2039)="FFFFFF",0,3)+IF(getRGB1($F2039)="FFFFFF",0,4)</f>
        <v>1</v>
      </c>
    </row>
    <row r="2040" spans="1:7">
      <c r="A2040" t="s">
        <v>6688</v>
      </c>
      <c r="B2040" s="352" t="s">
        <v>6319</v>
      </c>
      <c r="C2040" s="347" t="s">
        <v>74</v>
      </c>
      <c r="D2040" s="346" t="s">
        <v>174</v>
      </c>
      <c r="E2040" s="347" t="s">
        <v>5430</v>
      </c>
      <c r="F2040" s="347" t="s">
        <v>6317</v>
      </c>
      <c r="G2040">
        <f>IF(getRGB1($C2040)="FFFFFF",0,1)+IF(getRGB1($D2040)="FFFFFF",0,2)+IF(getRGB1($E2040)="FFFFFF",0,3)+IF(getRGB1($F2040)="FFFFFF",0,4)</f>
        <v>2</v>
      </c>
    </row>
    <row r="2041" spans="1:7" ht="45">
      <c r="A2041" t="s">
        <v>6688</v>
      </c>
      <c r="B2041" s="326" t="s">
        <v>6320</v>
      </c>
      <c r="C2041" s="454">
        <v>10</v>
      </c>
      <c r="D2041" s="454">
        <v>20</v>
      </c>
      <c r="E2041" s="455">
        <v>15</v>
      </c>
      <c r="F2041" s="454">
        <v>30</v>
      </c>
      <c r="G2041">
        <f>IF(getRGB1($C2041)="FFFFFF",0,1)+IF(getRGB1($D2041)="FFFFFF",0,2)+IF(getRGB1($E2041)="FFFFFF",0,3)+IF(getRGB1($F2041)="FFFFFF",0,4)</f>
        <v>3</v>
      </c>
    </row>
    <row r="2042" spans="1:7" ht="30">
      <c r="A2042" t="s">
        <v>6688</v>
      </c>
      <c r="B2042" s="352" t="s">
        <v>6321</v>
      </c>
      <c r="C2042" s="346">
        <v>20</v>
      </c>
      <c r="D2042" s="347">
        <v>15</v>
      </c>
      <c r="E2042" s="347">
        <v>10</v>
      </c>
      <c r="F2042" s="347">
        <v>30</v>
      </c>
      <c r="G2042">
        <f>IF(getRGB1($C2042)="FFFFFF",0,1)+IF(getRGB1($D2042)="FFFFFF",0,2)+IF(getRGB1($E2042)="FFFFFF",0,3)+IF(getRGB1($F2042)="FFFFFF",0,4)</f>
        <v>1</v>
      </c>
    </row>
    <row r="2043" spans="1:7" ht="30">
      <c r="A2043" t="s">
        <v>6688</v>
      </c>
      <c r="B2043" s="352" t="s">
        <v>6322</v>
      </c>
      <c r="C2043" s="347">
        <v>35</v>
      </c>
      <c r="D2043" s="347">
        <v>40</v>
      </c>
      <c r="E2043" s="346">
        <v>45</v>
      </c>
      <c r="F2043" s="347">
        <v>30</v>
      </c>
      <c r="G2043">
        <f>IF(getRGB1($C2043)="FFFFFF",0,1)+IF(getRGB1($D2043)="FFFFFF",0,2)+IF(getRGB1($E2043)="FFFFFF",0,3)+IF(getRGB1($F2043)="FFFFFF",0,4)</f>
        <v>3</v>
      </c>
    </row>
    <row r="2044" spans="1:7">
      <c r="A2044" t="s">
        <v>6688</v>
      </c>
      <c r="B2044" s="352" t="s">
        <v>6323</v>
      </c>
      <c r="C2044" s="346" t="s">
        <v>5397</v>
      </c>
      <c r="D2044" s="347" t="s">
        <v>5830</v>
      </c>
      <c r="E2044" s="347" t="s">
        <v>995</v>
      </c>
      <c r="F2044" s="347" t="s">
        <v>993</v>
      </c>
      <c r="G2044">
        <f>IF(getRGB1($C2044)="FFFFFF",0,1)+IF(getRGB1($D2044)="FFFFFF",0,2)+IF(getRGB1($E2044)="FFFFFF",0,3)+IF(getRGB1($F2044)="FFFFFF",0,4)</f>
        <v>1</v>
      </c>
    </row>
    <row r="2045" spans="1:7">
      <c r="A2045" t="s">
        <v>6688</v>
      </c>
      <c r="B2045" s="352" t="s">
        <v>6324</v>
      </c>
      <c r="C2045" s="454" t="s">
        <v>6325</v>
      </c>
      <c r="D2045" s="455" t="s">
        <v>6326</v>
      </c>
      <c r="E2045" s="454" t="s">
        <v>6327</v>
      </c>
      <c r="F2045" s="454" t="s">
        <v>6328</v>
      </c>
      <c r="G2045">
        <f>IF(getRGB1($C2045)="FFFFFF",0,1)+IF(getRGB1($D2045)="FFFFFF",0,2)+IF(getRGB1($E2045)="FFFFFF",0,3)+IF(getRGB1($F2045)="FFFFFF",0,4)</f>
        <v>2</v>
      </c>
    </row>
    <row r="2046" spans="1:7">
      <c r="A2046" t="s">
        <v>6688</v>
      </c>
      <c r="B2046" s="352" t="s">
        <v>6329</v>
      </c>
      <c r="C2046" s="347">
        <v>5</v>
      </c>
      <c r="D2046" s="346">
        <v>3</v>
      </c>
      <c r="E2046" s="347">
        <v>1</v>
      </c>
      <c r="F2046" s="347">
        <v>10</v>
      </c>
      <c r="G2046">
        <f>IF(getRGB1($C2046)="FFFFFF",0,1)+IF(getRGB1($D2046)="FFFFFF",0,2)+IF(getRGB1($E2046)="FFFFFF",0,3)+IF(getRGB1($F2046)="FFFFFF",0,4)</f>
        <v>2</v>
      </c>
    </row>
    <row r="2047" spans="1:7" ht="30">
      <c r="A2047" t="s">
        <v>6688</v>
      </c>
      <c r="B2047" s="352" t="s">
        <v>6330</v>
      </c>
      <c r="C2047" s="456">
        <v>1</v>
      </c>
      <c r="D2047" s="347">
        <v>3</v>
      </c>
      <c r="E2047" s="346">
        <v>6</v>
      </c>
      <c r="F2047" s="347">
        <v>12</v>
      </c>
      <c r="G2047">
        <f>IF(getRGB1($C2047)="FFFFFF",0,1)+IF(getRGB1($D2047)="FFFFFF",0,2)+IF(getRGB1($E2047)="FFFFFF",0,3)+IF(getRGB1($F2047)="FFFFFF",0,4)</f>
        <v>3</v>
      </c>
    </row>
    <row r="2048" spans="1:7">
      <c r="A2048" t="s">
        <v>6688</v>
      </c>
      <c r="B2048" s="457" t="s">
        <v>6331</v>
      </c>
      <c r="C2048" s="456">
        <v>30</v>
      </c>
      <c r="D2048" s="347">
        <v>60</v>
      </c>
      <c r="E2048" s="346">
        <v>45</v>
      </c>
      <c r="F2048" s="347">
        <v>180</v>
      </c>
      <c r="G2048">
        <f>IF(getRGB1($C2048)="FFFFFF",0,1)+IF(getRGB1($D2048)="FFFFFF",0,2)+IF(getRGB1($E2048)="FFFFFF",0,3)+IF(getRGB1($F2048)="FFFFFF",0,4)</f>
        <v>3</v>
      </c>
    </row>
    <row r="2049" spans="1:7" ht="60">
      <c r="A2049" t="s">
        <v>6688</v>
      </c>
      <c r="B2049" s="359" t="s">
        <v>6332</v>
      </c>
      <c r="C2049" s="458" t="s">
        <v>6333</v>
      </c>
      <c r="D2049" s="459" t="s">
        <v>6334</v>
      </c>
      <c r="E2049" s="460" t="s">
        <v>6335</v>
      </c>
      <c r="F2049" s="460" t="s">
        <v>6336</v>
      </c>
      <c r="G2049">
        <f>IF(getRGB1($C2049)="FFFFFF",0,1)+IF(getRGB1($D2049)="FFFFFF",0,2)+IF(getRGB1($E2049)="FFFFFF",0,3)+IF(getRGB1($F2049)="FFFFFF",0,4)</f>
        <v>2</v>
      </c>
    </row>
    <row r="2050" spans="1:7" ht="45">
      <c r="A2050" t="s">
        <v>6688</v>
      </c>
      <c r="B2050" s="359" t="s">
        <v>6337</v>
      </c>
      <c r="C2050" s="456">
        <v>30</v>
      </c>
      <c r="D2050" s="347">
        <v>60</v>
      </c>
      <c r="E2050" s="346">
        <v>10</v>
      </c>
      <c r="F2050" s="456">
        <v>20</v>
      </c>
      <c r="G2050">
        <f>IF(getRGB1($C2050)="FFFFFF",0,1)+IF(getRGB1($D2050)="FFFFFF",0,2)+IF(getRGB1($E2050)="FFFFFF",0,3)+IF(getRGB1($F2050)="FFFFFF",0,4)</f>
        <v>3</v>
      </c>
    </row>
    <row r="2051" spans="1:7" ht="30">
      <c r="A2051" t="s">
        <v>6689</v>
      </c>
      <c r="B2051" s="376" t="s">
        <v>6338</v>
      </c>
      <c r="C2051" s="206" t="s">
        <v>174</v>
      </c>
      <c r="D2051" s="206" t="s">
        <v>74</v>
      </c>
      <c r="E2051" s="206" t="s">
        <v>76</v>
      </c>
      <c r="F2051" s="386" t="s">
        <v>6339</v>
      </c>
      <c r="G2051">
        <f>IF(getRGB1($C2051)="FFFFFF",0,1)+IF(getRGB1($D2051)="FFFFFF",0,2)+IF(getRGB1($E2051)="FFFFFF",0,3)+IF(getRGB1($F2051)="FFFFFF",0,4)</f>
        <v>4</v>
      </c>
    </row>
    <row r="2052" spans="1:7" ht="30">
      <c r="A2052" t="s">
        <v>6689</v>
      </c>
      <c r="B2052" s="376" t="s">
        <v>6340</v>
      </c>
      <c r="C2052" s="206" t="s">
        <v>174</v>
      </c>
      <c r="D2052" s="206" t="s">
        <v>74</v>
      </c>
      <c r="E2052" s="386" t="s">
        <v>76</v>
      </c>
      <c r="F2052" s="206" t="s">
        <v>6339</v>
      </c>
      <c r="G2052">
        <f>IF(getRGB1($C2052)="FFFFFF",0,1)+IF(getRGB1($D2052)="FFFFFF",0,2)+IF(getRGB1($E2052)="FFFFFF",0,3)+IF(getRGB1($F2052)="FFFFFF",0,4)</f>
        <v>3</v>
      </c>
    </row>
    <row r="2053" spans="1:7" ht="45">
      <c r="A2053" t="s">
        <v>6689</v>
      </c>
      <c r="B2053" s="461" t="s">
        <v>6341</v>
      </c>
      <c r="C2053" s="206" t="s">
        <v>6342</v>
      </c>
      <c r="D2053" s="206" t="s">
        <v>6343</v>
      </c>
      <c r="E2053" s="206" t="s">
        <v>6344</v>
      </c>
      <c r="F2053" s="386" t="s">
        <v>3313</v>
      </c>
      <c r="G2053">
        <f>IF(getRGB1($C2053)="FFFFFF",0,1)+IF(getRGB1($D2053)="FFFFFF",0,2)+IF(getRGB1($E2053)="FFFFFF",0,3)+IF(getRGB1($F2053)="FFFFFF",0,4)</f>
        <v>4</v>
      </c>
    </row>
    <row r="2054" spans="1:7" ht="60">
      <c r="A2054" t="s">
        <v>6689</v>
      </c>
      <c r="B2054" s="384" t="s">
        <v>6345</v>
      </c>
      <c r="C2054" s="206" t="s">
        <v>6346</v>
      </c>
      <c r="D2054" s="206" t="s">
        <v>6347</v>
      </c>
      <c r="E2054" s="206" t="s">
        <v>6348</v>
      </c>
      <c r="F2054" s="386" t="s">
        <v>3313</v>
      </c>
      <c r="G2054">
        <f>IF(getRGB1($C2054)="FFFFFF",0,1)+IF(getRGB1($D2054)="FFFFFF",0,2)+IF(getRGB1($E2054)="FFFFFF",0,3)+IF(getRGB1($F2054)="FFFFFF",0,4)</f>
        <v>4</v>
      </c>
    </row>
    <row r="2055" spans="1:7">
      <c r="A2055" t="s">
        <v>6689</v>
      </c>
      <c r="B2055" s="383" t="s">
        <v>6349</v>
      </c>
      <c r="C2055" s="206" t="s">
        <v>3025</v>
      </c>
      <c r="D2055" s="206" t="s">
        <v>6350</v>
      </c>
      <c r="E2055" s="206" t="s">
        <v>6351</v>
      </c>
      <c r="F2055" s="386" t="s">
        <v>45</v>
      </c>
      <c r="G2055">
        <f>IF(getRGB1($C2055)="FFFFFF",0,1)+IF(getRGB1($D2055)="FFFFFF",0,2)+IF(getRGB1($E2055)="FFFFFF",0,3)+IF(getRGB1($F2055)="FFFFFF",0,4)</f>
        <v>4</v>
      </c>
    </row>
    <row r="2056" spans="1:7" ht="30">
      <c r="A2056" t="s">
        <v>6689</v>
      </c>
      <c r="B2056" s="383" t="s">
        <v>6352</v>
      </c>
      <c r="C2056" s="206" t="s">
        <v>6353</v>
      </c>
      <c r="D2056" s="206" t="s">
        <v>6354</v>
      </c>
      <c r="E2056" s="386" t="s">
        <v>6355</v>
      </c>
      <c r="F2056" s="206" t="s">
        <v>6356</v>
      </c>
      <c r="G2056">
        <f>IF(getRGB1($C2056)="FFFFFF",0,1)+IF(getRGB1($D2056)="FFFFFF",0,2)+IF(getRGB1($E2056)="FFFFFF",0,3)+IF(getRGB1($F2056)="FFFFFF",0,4)</f>
        <v>3</v>
      </c>
    </row>
    <row r="2057" spans="1:7">
      <c r="A2057" t="s">
        <v>6689</v>
      </c>
      <c r="B2057" s="387" t="s">
        <v>6357</v>
      </c>
      <c r="C2057" s="206" t="s">
        <v>6358</v>
      </c>
      <c r="D2057" s="386" t="s">
        <v>6359</v>
      </c>
      <c r="E2057" s="206" t="s">
        <v>6360</v>
      </c>
      <c r="F2057" s="206" t="s">
        <v>74</v>
      </c>
      <c r="G2057">
        <f>IF(getRGB1($C2057)="FFFFFF",0,1)+IF(getRGB1($D2057)="FFFFFF",0,2)+IF(getRGB1($E2057)="FFFFFF",0,3)+IF(getRGB1($F2057)="FFFFFF",0,4)</f>
        <v>2</v>
      </c>
    </row>
    <row r="2058" spans="1:7" ht="30">
      <c r="A2058" t="s">
        <v>6689</v>
      </c>
      <c r="B2058" s="376" t="s">
        <v>6361</v>
      </c>
      <c r="C2058" s="206" t="s">
        <v>6358</v>
      </c>
      <c r="D2058" s="386" t="s">
        <v>6359</v>
      </c>
      <c r="E2058" s="206" t="s">
        <v>6360</v>
      </c>
      <c r="F2058" s="206" t="s">
        <v>74</v>
      </c>
      <c r="G2058">
        <f>IF(getRGB1($C2058)="FFFFFF",0,1)+IF(getRGB1($D2058)="FFFFFF",0,2)+IF(getRGB1($E2058)="FFFFFF",0,3)+IF(getRGB1($F2058)="FFFFFF",0,4)</f>
        <v>2</v>
      </c>
    </row>
    <row r="2059" spans="1:7" ht="45">
      <c r="A2059" t="s">
        <v>6689</v>
      </c>
      <c r="B2059" s="384" t="s">
        <v>6362</v>
      </c>
      <c r="C2059" s="386" t="s">
        <v>6363</v>
      </c>
      <c r="D2059" s="206" t="s">
        <v>6364</v>
      </c>
      <c r="E2059" s="206" t="s">
        <v>6365</v>
      </c>
      <c r="F2059" s="206" t="s">
        <v>6366</v>
      </c>
      <c r="G2059">
        <f>IF(getRGB1($C2059)="FFFFFF",0,1)+IF(getRGB1($D2059)="FFFFFF",0,2)+IF(getRGB1($E2059)="FFFFFF",0,3)+IF(getRGB1($F2059)="FFFFFF",0,4)</f>
        <v>1</v>
      </c>
    </row>
    <row r="2060" spans="1:7" ht="30">
      <c r="A2060" t="s">
        <v>6689</v>
      </c>
      <c r="B2060" s="462" t="s">
        <v>6367</v>
      </c>
      <c r="C2060" s="206" t="s">
        <v>6359</v>
      </c>
      <c r="D2060" s="206" t="s">
        <v>174</v>
      </c>
      <c r="E2060" s="386" t="s">
        <v>6358</v>
      </c>
      <c r="F2060" s="206" t="s">
        <v>6339</v>
      </c>
      <c r="G2060">
        <f>IF(getRGB1($C2060)="FFFFFF",0,1)+IF(getRGB1($D2060)="FFFFFF",0,2)+IF(getRGB1($E2060)="FFFFFF",0,3)+IF(getRGB1($F2060)="FFFFFF",0,4)</f>
        <v>3</v>
      </c>
    </row>
    <row r="2061" spans="1:7">
      <c r="A2061" t="s">
        <v>6689</v>
      </c>
      <c r="B2061" s="383" t="s">
        <v>6368</v>
      </c>
      <c r="C2061" s="206" t="s">
        <v>6359</v>
      </c>
      <c r="D2061" s="206" t="s">
        <v>174</v>
      </c>
      <c r="E2061" s="206" t="s">
        <v>6358</v>
      </c>
      <c r="F2061" s="386" t="s">
        <v>980</v>
      </c>
      <c r="G2061">
        <f>IF(getRGB1($C2061)="FFFFFF",0,1)+IF(getRGB1($D2061)="FFFFFF",0,2)+IF(getRGB1($E2061)="FFFFFF",0,3)+IF(getRGB1($F2061)="FFFFFF",0,4)</f>
        <v>4</v>
      </c>
    </row>
    <row r="2062" spans="1:7" ht="30">
      <c r="A2062" t="s">
        <v>6689</v>
      </c>
      <c r="B2062" s="383" t="s">
        <v>6369</v>
      </c>
      <c r="C2062" s="206" t="s">
        <v>6370</v>
      </c>
      <c r="D2062" s="206" t="s">
        <v>6371</v>
      </c>
      <c r="E2062" s="386" t="s">
        <v>6372</v>
      </c>
      <c r="F2062" s="206" t="s">
        <v>6373</v>
      </c>
      <c r="G2062">
        <f>IF(getRGB1($C2062)="FFFFFF",0,1)+IF(getRGB1($D2062)="FFFFFF",0,2)+IF(getRGB1($E2062)="FFFFFF",0,3)+IF(getRGB1($F2062)="FFFFFF",0,4)</f>
        <v>3</v>
      </c>
    </row>
    <row r="2063" spans="1:7" ht="30">
      <c r="A2063" t="s">
        <v>6689</v>
      </c>
      <c r="B2063" s="376" t="s">
        <v>6374</v>
      </c>
      <c r="C2063" s="206" t="s">
        <v>6375</v>
      </c>
      <c r="D2063" s="206" t="s">
        <v>6359</v>
      </c>
      <c r="E2063" s="206" t="s">
        <v>1122</v>
      </c>
      <c r="F2063" s="386" t="s">
        <v>3313</v>
      </c>
      <c r="G2063">
        <f>IF(getRGB1($C2063)="FFFFFF",0,1)+IF(getRGB1($D2063)="FFFFFF",0,2)+IF(getRGB1($E2063)="FFFFFF",0,3)+IF(getRGB1($F2063)="FFFFFF",0,4)</f>
        <v>4</v>
      </c>
    </row>
    <row r="2064" spans="1:7" ht="30">
      <c r="A2064" t="s">
        <v>6689</v>
      </c>
      <c r="B2064" s="383" t="s">
        <v>6376</v>
      </c>
      <c r="C2064" s="386" t="s">
        <v>6377</v>
      </c>
      <c r="D2064" s="206" t="s">
        <v>6378</v>
      </c>
      <c r="E2064" s="206" t="s">
        <v>6379</v>
      </c>
      <c r="F2064" s="206" t="s">
        <v>6380</v>
      </c>
      <c r="G2064">
        <f>IF(getRGB1($C2064)="FFFFFF",0,1)+IF(getRGB1($D2064)="FFFFFF",0,2)+IF(getRGB1($E2064)="FFFFFF",0,3)+IF(getRGB1($F2064)="FFFFFF",0,4)</f>
        <v>1</v>
      </c>
    </row>
    <row r="2065" spans="1:7">
      <c r="A2065" t="s">
        <v>6689</v>
      </c>
      <c r="B2065" s="383" t="s">
        <v>6381</v>
      </c>
      <c r="C2065" s="206" t="s">
        <v>6379</v>
      </c>
      <c r="D2065" s="386" t="s">
        <v>6377</v>
      </c>
      <c r="E2065" s="206" t="s">
        <v>6380</v>
      </c>
      <c r="F2065" s="206" t="s">
        <v>6378</v>
      </c>
      <c r="G2065">
        <f>IF(getRGB1($C2065)="FFFFFF",0,1)+IF(getRGB1($D2065)="FFFFFF",0,2)+IF(getRGB1($E2065)="FFFFFF",0,3)+IF(getRGB1($F2065)="FFFFFF",0,4)</f>
        <v>2</v>
      </c>
    </row>
    <row r="2066" spans="1:7">
      <c r="A2066" t="s">
        <v>6689</v>
      </c>
      <c r="B2066" s="383" t="s">
        <v>6382</v>
      </c>
      <c r="C2066" s="386" t="s">
        <v>6383</v>
      </c>
      <c r="D2066" s="206" t="s">
        <v>6384</v>
      </c>
      <c r="E2066" s="206" t="s">
        <v>6385</v>
      </c>
      <c r="F2066" s="206" t="s">
        <v>209</v>
      </c>
      <c r="G2066">
        <f>IF(getRGB1($C2066)="FFFFFF",0,1)+IF(getRGB1($D2066)="FFFFFF",0,2)+IF(getRGB1($E2066)="FFFFFF",0,3)+IF(getRGB1($F2066)="FFFFFF",0,4)</f>
        <v>1</v>
      </c>
    </row>
    <row r="2067" spans="1:7" ht="30">
      <c r="A2067" t="s">
        <v>6689</v>
      </c>
      <c r="B2067" s="383" t="s">
        <v>6386</v>
      </c>
      <c r="C2067" s="206" t="s">
        <v>6387</v>
      </c>
      <c r="D2067" s="206" t="s">
        <v>6388</v>
      </c>
      <c r="E2067" s="386" t="s">
        <v>6389</v>
      </c>
      <c r="F2067" s="206" t="s">
        <v>6390</v>
      </c>
      <c r="G2067">
        <f>IF(getRGB1($C2067)="FFFFFF",0,1)+IF(getRGB1($D2067)="FFFFFF",0,2)+IF(getRGB1($E2067)="FFFFFF",0,3)+IF(getRGB1($F2067)="FFFFFF",0,4)</f>
        <v>3</v>
      </c>
    </row>
    <row r="2068" spans="1:7" ht="30">
      <c r="A2068" t="s">
        <v>6689</v>
      </c>
      <c r="B2068" s="383" t="s">
        <v>6391</v>
      </c>
      <c r="C2068" s="206" t="s">
        <v>6392</v>
      </c>
      <c r="D2068" s="386" t="s">
        <v>6393</v>
      </c>
      <c r="E2068" s="206" t="s">
        <v>6394</v>
      </c>
      <c r="F2068" s="206" t="s">
        <v>209</v>
      </c>
      <c r="G2068">
        <f>IF(getRGB1($C2068)="FFFFFF",0,1)+IF(getRGB1($D2068)="FFFFFF",0,2)+IF(getRGB1($E2068)="FFFFFF",0,3)+IF(getRGB1($F2068)="FFFFFF",0,4)</f>
        <v>2</v>
      </c>
    </row>
    <row r="2069" spans="1:7" ht="30">
      <c r="A2069" t="s">
        <v>6689</v>
      </c>
      <c r="B2069" s="383" t="s">
        <v>6395</v>
      </c>
      <c r="C2069" s="206" t="s">
        <v>6396</v>
      </c>
      <c r="D2069" s="206" t="s">
        <v>6397</v>
      </c>
      <c r="E2069" s="206" t="s">
        <v>6398</v>
      </c>
      <c r="F2069" s="386" t="s">
        <v>6399</v>
      </c>
      <c r="G2069">
        <f>IF(getRGB1($C2069)="FFFFFF",0,1)+IF(getRGB1($D2069)="FFFFFF",0,2)+IF(getRGB1($E2069)="FFFFFF",0,3)+IF(getRGB1($F2069)="FFFFFF",0,4)</f>
        <v>4</v>
      </c>
    </row>
    <row r="2070" spans="1:7" ht="30">
      <c r="A2070" t="s">
        <v>6689</v>
      </c>
      <c r="B2070" s="384" t="s">
        <v>6400</v>
      </c>
      <c r="C2070" s="386" t="s">
        <v>6401</v>
      </c>
      <c r="D2070" s="206" t="s">
        <v>6402</v>
      </c>
      <c r="E2070" s="206" t="s">
        <v>6403</v>
      </c>
      <c r="F2070" s="206" t="s">
        <v>6404</v>
      </c>
      <c r="G2070">
        <f>IF(getRGB1($C2070)="FFFFFF",0,1)+IF(getRGB1($D2070)="FFFFFF",0,2)+IF(getRGB1($E2070)="FFFFFF",0,3)+IF(getRGB1($F2070)="FFFFFF",0,4)</f>
        <v>1</v>
      </c>
    </row>
    <row r="2071" spans="1:7" ht="30">
      <c r="A2071" t="s">
        <v>6689</v>
      </c>
      <c r="B2071" s="383" t="s">
        <v>6405</v>
      </c>
      <c r="C2071" s="206" t="s">
        <v>6406</v>
      </c>
      <c r="D2071" s="206" t="s">
        <v>6407</v>
      </c>
      <c r="E2071" s="386" t="s">
        <v>6408</v>
      </c>
      <c r="F2071" s="206" t="s">
        <v>6409</v>
      </c>
      <c r="G2071">
        <f>IF(getRGB1($C2071)="FFFFFF",0,1)+IF(getRGB1($D2071)="FFFFFF",0,2)+IF(getRGB1($E2071)="FFFFFF",0,3)+IF(getRGB1($F2071)="FFFFFF",0,4)</f>
        <v>3</v>
      </c>
    </row>
    <row r="2072" spans="1:7" ht="30">
      <c r="A2072" t="s">
        <v>6689</v>
      </c>
      <c r="B2072" s="376" t="s">
        <v>6410</v>
      </c>
      <c r="C2072" s="206" t="s">
        <v>1376</v>
      </c>
      <c r="D2072" s="386" t="s">
        <v>6409</v>
      </c>
      <c r="E2072" s="206" t="s">
        <v>6411</v>
      </c>
      <c r="F2072" s="206" t="s">
        <v>6407</v>
      </c>
      <c r="G2072">
        <f>IF(getRGB1($C2072)="FFFFFF",0,1)+IF(getRGB1($D2072)="FFFFFF",0,2)+IF(getRGB1($E2072)="FFFFFF",0,3)+IF(getRGB1($F2072)="FFFFFF",0,4)</f>
        <v>2</v>
      </c>
    </row>
    <row r="2073" spans="1:7" ht="45">
      <c r="A2073" t="s">
        <v>6689</v>
      </c>
      <c r="B2073" s="383" t="s">
        <v>6412</v>
      </c>
      <c r="C2073" s="206" t="s">
        <v>6413</v>
      </c>
      <c r="D2073" s="206" t="s">
        <v>6414</v>
      </c>
      <c r="E2073" s="386" t="s">
        <v>6415</v>
      </c>
      <c r="F2073" s="206" t="s">
        <v>6416</v>
      </c>
      <c r="G2073">
        <f>IF(getRGB1($C2073)="FFFFFF",0,1)+IF(getRGB1($D2073)="FFFFFF",0,2)+IF(getRGB1($E2073)="FFFFFF",0,3)+IF(getRGB1($F2073)="FFFFFF",0,4)</f>
        <v>3</v>
      </c>
    </row>
    <row r="2074" spans="1:7" ht="30">
      <c r="A2074" t="s">
        <v>6689</v>
      </c>
      <c r="B2074" s="383" t="s">
        <v>6417</v>
      </c>
      <c r="C2074" s="386" t="s">
        <v>6403</v>
      </c>
      <c r="D2074" s="206" t="s">
        <v>6404</v>
      </c>
      <c r="E2074" s="206" t="s">
        <v>6418</v>
      </c>
      <c r="F2074" s="206" t="s">
        <v>6419</v>
      </c>
      <c r="G2074">
        <f>IF(getRGB1($C2074)="FFFFFF",0,1)+IF(getRGB1($D2074)="FFFFFF",0,2)+IF(getRGB1($E2074)="FFFFFF",0,3)+IF(getRGB1($F2074)="FFFFFF",0,4)</f>
        <v>1</v>
      </c>
    </row>
    <row r="2075" spans="1:7" ht="30">
      <c r="A2075" t="s">
        <v>6689</v>
      </c>
      <c r="B2075" s="422" t="s">
        <v>6420</v>
      </c>
      <c r="C2075" s="425" t="s">
        <v>6421</v>
      </c>
      <c r="D2075" s="425" t="s">
        <v>6422</v>
      </c>
      <c r="E2075" s="425" t="s">
        <v>6423</v>
      </c>
      <c r="F2075" s="382" t="s">
        <v>6424</v>
      </c>
      <c r="G2075">
        <f>IF(getRGB1($C2075)="FFFFFF",0,1)+IF(getRGB1($D2075)="FFFFFF",0,2)+IF(getRGB1($E2075)="FFFFFF",0,3)+IF(getRGB1($F2075)="FFFFFF",0,4)</f>
        <v>4</v>
      </c>
    </row>
    <row r="2076" spans="1:7" ht="30">
      <c r="A2076" t="s">
        <v>6689</v>
      </c>
      <c r="B2076" s="205" t="s">
        <v>6425</v>
      </c>
      <c r="C2076" s="425" t="s">
        <v>6426</v>
      </c>
      <c r="D2076" s="382" t="s">
        <v>6427</v>
      </c>
      <c r="E2076" s="425" t="s">
        <v>6428</v>
      </c>
      <c r="F2076" s="425" t="s">
        <v>6429</v>
      </c>
      <c r="G2076">
        <f>IF(getRGB1($C2076)="FFFFFF",0,1)+IF(getRGB1($D2076)="FFFFFF",0,2)+IF(getRGB1($E2076)="FFFFFF",0,3)+IF(getRGB1($F2076)="FFFFFF",0,4)</f>
        <v>2</v>
      </c>
    </row>
    <row r="2077" spans="1:7" ht="30">
      <c r="A2077" t="s">
        <v>6689</v>
      </c>
      <c r="B2077" s="422" t="s">
        <v>6430</v>
      </c>
      <c r="C2077" s="463">
        <v>0.4</v>
      </c>
      <c r="D2077" s="463">
        <v>0.3</v>
      </c>
      <c r="E2077" s="464">
        <v>0.5</v>
      </c>
      <c r="F2077" s="463">
        <v>0.6</v>
      </c>
      <c r="G2077">
        <f>IF(getRGB1($C2077)="FFFFFF",0,1)+IF(getRGB1($D2077)="FFFFFF",0,2)+IF(getRGB1($E2077)="FFFFFF",0,3)+IF(getRGB1($F2077)="FFFFFF",0,4)</f>
        <v>3</v>
      </c>
    </row>
    <row r="2078" spans="1:7">
      <c r="A2078" t="s">
        <v>6689</v>
      </c>
      <c r="B2078" s="205" t="s">
        <v>6431</v>
      </c>
      <c r="C2078" s="382" t="s">
        <v>6358</v>
      </c>
      <c r="D2078" s="425" t="s">
        <v>6359</v>
      </c>
      <c r="E2078" s="425" t="s">
        <v>174</v>
      </c>
      <c r="F2078" s="425" t="s">
        <v>980</v>
      </c>
      <c r="G2078">
        <f>IF(getRGB1($C2078)="FFFFFF",0,1)+IF(getRGB1($D2078)="FFFFFF",0,2)+IF(getRGB1($E2078)="FFFFFF",0,3)+IF(getRGB1($F2078)="FFFFFF",0,4)</f>
        <v>1</v>
      </c>
    </row>
    <row r="2079" spans="1:7">
      <c r="A2079" t="s">
        <v>6689</v>
      </c>
      <c r="B2079" s="205" t="s">
        <v>6432</v>
      </c>
      <c r="C2079" s="113" t="s">
        <v>6433</v>
      </c>
      <c r="D2079" s="464" t="s">
        <v>6434</v>
      </c>
      <c r="E2079" s="113" t="s">
        <v>6435</v>
      </c>
      <c r="F2079" s="113" t="s">
        <v>6436</v>
      </c>
      <c r="G2079">
        <f>IF(getRGB1($C2079)="FFFFFF",0,1)+IF(getRGB1($D2079)="FFFFFF",0,2)+IF(getRGB1($E2079)="FFFFFF",0,3)+IF(getRGB1($F2079)="FFFFFF",0,4)</f>
        <v>2</v>
      </c>
    </row>
    <row r="2080" spans="1:7" ht="25.5">
      <c r="A2080" t="s">
        <v>6690</v>
      </c>
      <c r="B2080" s="465" t="s">
        <v>6437</v>
      </c>
      <c r="C2080" s="466" t="s">
        <v>74</v>
      </c>
      <c r="D2080" s="467" t="s">
        <v>1059</v>
      </c>
      <c r="E2080" s="466" t="s">
        <v>174</v>
      </c>
      <c r="F2080" s="466" t="s">
        <v>6438</v>
      </c>
      <c r="G2080">
        <f>IF(getRGB1($C2080)="FFFFFF",0,1)+IF(getRGB1($D2080)="FFFFFF",0,2)+IF(getRGB1($E2080)="FFFFFF",0,3)+IF(getRGB1($F2080)="FFFFFF",0,4)</f>
        <v>2</v>
      </c>
    </row>
    <row r="2081" spans="1:7" ht="102">
      <c r="A2081" t="s">
        <v>6690</v>
      </c>
      <c r="B2081" s="333" t="s">
        <v>6439</v>
      </c>
      <c r="C2081" s="131" t="s">
        <v>6440</v>
      </c>
      <c r="D2081" s="131" t="s">
        <v>6441</v>
      </c>
      <c r="E2081" s="131" t="s">
        <v>6442</v>
      </c>
      <c r="F2081" s="102" t="s">
        <v>3313</v>
      </c>
      <c r="G2081">
        <f>IF(getRGB1($C2081)="FFFFFF",0,1)+IF(getRGB1($D2081)="FFFFFF",0,2)+IF(getRGB1($E2081)="FFFFFF",0,3)+IF(getRGB1($F2081)="FFFFFF",0,4)</f>
        <v>4</v>
      </c>
    </row>
    <row r="2082" spans="1:7" ht="114.75">
      <c r="A2082" t="s">
        <v>6690</v>
      </c>
      <c r="B2082" s="465" t="s">
        <v>6439</v>
      </c>
      <c r="C2082" s="131" t="s">
        <v>6443</v>
      </c>
      <c r="D2082" s="131" t="s">
        <v>6444</v>
      </c>
      <c r="E2082" s="131" t="s">
        <v>6445</v>
      </c>
      <c r="F2082" s="102" t="s">
        <v>3313</v>
      </c>
      <c r="G2082">
        <f>IF(getRGB1($C2082)="FFFFFF",0,1)+IF(getRGB1($D2082)="FFFFFF",0,2)+IF(getRGB1($E2082)="FFFFFF",0,3)+IF(getRGB1($F2082)="FFFFFF",0,4)</f>
        <v>4</v>
      </c>
    </row>
    <row r="2083" spans="1:7" ht="38.25">
      <c r="A2083" t="s">
        <v>6690</v>
      </c>
      <c r="B2083" s="333" t="s">
        <v>6446</v>
      </c>
      <c r="C2083" s="134" t="s">
        <v>6447</v>
      </c>
      <c r="D2083" s="131" t="s">
        <v>6448</v>
      </c>
      <c r="E2083" s="131" t="s">
        <v>6449</v>
      </c>
      <c r="F2083" s="102" t="s">
        <v>3313</v>
      </c>
      <c r="G2083">
        <f>IF(getRGB1($C2083)="FFFFFF",0,1)+IF(getRGB1($D2083)="FFFFFF",0,2)+IF(getRGB1($E2083)="FFFFFF",0,3)+IF(getRGB1($F2083)="FFFFFF",0,4)</f>
        <v>4</v>
      </c>
    </row>
    <row r="2084" spans="1:7" ht="51">
      <c r="A2084" t="s">
        <v>6690</v>
      </c>
      <c r="B2084" s="465" t="s">
        <v>6450</v>
      </c>
      <c r="C2084" s="98" t="s">
        <v>6451</v>
      </c>
      <c r="D2084" s="102" t="s">
        <v>6452</v>
      </c>
      <c r="E2084" s="98" t="s">
        <v>6453</v>
      </c>
      <c r="F2084" s="98" t="s">
        <v>6454</v>
      </c>
      <c r="G2084">
        <f>IF(getRGB1($C2084)="FFFFFF",0,1)+IF(getRGB1($D2084)="FFFFFF",0,2)+IF(getRGB1($E2084)="FFFFFF",0,3)+IF(getRGB1($F2084)="FFFFFF",0,4)</f>
        <v>2</v>
      </c>
    </row>
    <row r="2085" spans="1:7" ht="45">
      <c r="A2085" t="s">
        <v>6690</v>
      </c>
      <c r="B2085" s="331" t="s">
        <v>6455</v>
      </c>
      <c r="C2085" s="98" t="s">
        <v>557</v>
      </c>
      <c r="D2085" s="102" t="s">
        <v>179</v>
      </c>
      <c r="E2085" s="98" t="s">
        <v>3244</v>
      </c>
      <c r="F2085" s="98" t="s">
        <v>76</v>
      </c>
      <c r="G2085">
        <f>IF(getRGB1($C2085)="FFFFFF",0,1)+IF(getRGB1($D2085)="FFFFFF",0,2)+IF(getRGB1($E2085)="FFFFFF",0,3)+IF(getRGB1($F2085)="FFFFFF",0,4)</f>
        <v>2</v>
      </c>
    </row>
    <row r="2086" spans="1:7" ht="45">
      <c r="A2086" t="s">
        <v>6690</v>
      </c>
      <c r="B2086" s="331" t="s">
        <v>6456</v>
      </c>
      <c r="C2086" s="98" t="s">
        <v>557</v>
      </c>
      <c r="D2086" s="98" t="s">
        <v>179</v>
      </c>
      <c r="E2086" s="98" t="s">
        <v>3244</v>
      </c>
      <c r="F2086" s="102" t="s">
        <v>6457</v>
      </c>
      <c r="G2086">
        <f>IF(getRGB1($C2086)="FFFFFF",0,1)+IF(getRGB1($D2086)="FFFFFF",0,2)+IF(getRGB1($E2086)="FFFFFF",0,3)+IF(getRGB1($F2086)="FFFFFF",0,4)</f>
        <v>4</v>
      </c>
    </row>
    <row r="2087" spans="1:7" ht="25.5">
      <c r="A2087" t="s">
        <v>6690</v>
      </c>
      <c r="B2087" s="468" t="s">
        <v>6458</v>
      </c>
      <c r="C2087" s="469" t="s">
        <v>6459</v>
      </c>
      <c r="D2087" s="469" t="s">
        <v>6460</v>
      </c>
      <c r="E2087" s="284" t="s">
        <v>6461</v>
      </c>
      <c r="F2087" s="131" t="s">
        <v>6462</v>
      </c>
      <c r="G2087">
        <f>IF(getRGB1($C2087)="FFFFFF",0,1)+IF(getRGB1($D2087)="FFFFFF",0,2)+IF(getRGB1($E2087)="FFFFFF",0,3)+IF(getRGB1($F2087)="FFFFFF",0,4)</f>
        <v>3</v>
      </c>
    </row>
    <row r="2088" spans="1:7" ht="51">
      <c r="A2088" t="s">
        <v>6690</v>
      </c>
      <c r="B2088" s="470" t="s">
        <v>6463</v>
      </c>
      <c r="C2088" s="98" t="s">
        <v>6464</v>
      </c>
      <c r="D2088" s="102" t="s">
        <v>6465</v>
      </c>
      <c r="E2088" s="98" t="s">
        <v>6466</v>
      </c>
      <c r="F2088" s="98" t="s">
        <v>4388</v>
      </c>
      <c r="G2088">
        <f>IF(getRGB1($C2088)="FFFFFF",0,1)+IF(getRGB1($D2088)="FFFFFF",0,2)+IF(getRGB1($E2088)="FFFFFF",0,3)+IF(getRGB1($F2088)="FFFFFF",0,4)</f>
        <v>2</v>
      </c>
    </row>
    <row r="2089" spans="1:7" ht="25.5">
      <c r="A2089" t="s">
        <v>6690</v>
      </c>
      <c r="B2089" s="470" t="s">
        <v>6467</v>
      </c>
      <c r="C2089" s="102" t="s">
        <v>6466</v>
      </c>
      <c r="D2089" s="98" t="s">
        <v>179</v>
      </c>
      <c r="E2089" s="98" t="s">
        <v>557</v>
      </c>
      <c r="F2089" s="98" t="s">
        <v>4388</v>
      </c>
      <c r="G2089">
        <f>IF(getRGB1($C2089)="FFFFFF",0,1)+IF(getRGB1($D2089)="FFFFFF",0,2)+IF(getRGB1($E2089)="FFFFFF",0,3)+IF(getRGB1($F2089)="FFFFFF",0,4)</f>
        <v>1</v>
      </c>
    </row>
    <row r="2090" spans="1:7">
      <c r="A2090" t="s">
        <v>6690</v>
      </c>
      <c r="B2090" s="166" t="s">
        <v>6468</v>
      </c>
      <c r="C2090" s="469">
        <v>10</v>
      </c>
      <c r="D2090" s="469">
        <v>20</v>
      </c>
      <c r="E2090" s="284">
        <v>25</v>
      </c>
      <c r="F2090" s="469">
        <v>50</v>
      </c>
      <c r="G2090">
        <f>IF(getRGB1($C2090)="FFFFFF",0,1)+IF(getRGB1($D2090)="FFFFFF",0,2)+IF(getRGB1($E2090)="FFFFFF",0,3)+IF(getRGB1($F2090)="FFFFFF",0,4)</f>
        <v>3</v>
      </c>
    </row>
    <row r="2091" spans="1:7">
      <c r="A2091" t="s">
        <v>6690</v>
      </c>
      <c r="B2091" s="468" t="s">
        <v>6469</v>
      </c>
      <c r="C2091" s="471" t="s">
        <v>6470</v>
      </c>
      <c r="D2091" s="472">
        <v>0.15</v>
      </c>
      <c r="E2091" s="471" t="s">
        <v>6471</v>
      </c>
      <c r="F2091" s="142">
        <v>0.12</v>
      </c>
      <c r="G2091">
        <f>IF(getRGB1($C2091)="FFFFFF",0,1)+IF(getRGB1($D2091)="FFFFFF",0,2)+IF(getRGB1($E2091)="FFFFFF",0,3)+IF(getRGB1($F2091)="FFFFFF",0,4)</f>
        <v>2</v>
      </c>
    </row>
    <row r="2092" spans="1:7" ht="24">
      <c r="A2092" t="s">
        <v>6690</v>
      </c>
      <c r="B2092" s="468" t="s">
        <v>6472</v>
      </c>
      <c r="C2092" s="284" t="s">
        <v>6473</v>
      </c>
      <c r="D2092" s="469" t="s">
        <v>6470</v>
      </c>
      <c r="E2092" s="469" t="s">
        <v>6471</v>
      </c>
      <c r="F2092" s="142">
        <v>0.15</v>
      </c>
      <c r="G2092">
        <f>IF(getRGB1($C2092)="FFFFFF",0,1)+IF(getRGB1($D2092)="FFFFFF",0,2)+IF(getRGB1($E2092)="FFFFFF",0,3)+IF(getRGB1($F2092)="FFFFFF",0,4)</f>
        <v>1</v>
      </c>
    </row>
    <row r="2093" spans="1:7" ht="38.25">
      <c r="A2093" t="s">
        <v>6690</v>
      </c>
      <c r="B2093" s="468" t="s">
        <v>6474</v>
      </c>
      <c r="C2093" s="469" t="s">
        <v>6459</v>
      </c>
      <c r="D2093" s="469" t="s">
        <v>6460</v>
      </c>
      <c r="E2093" s="469" t="s">
        <v>6475</v>
      </c>
      <c r="F2093" s="102" t="s">
        <v>6476</v>
      </c>
      <c r="G2093">
        <f>IF(getRGB1($C2093)="FFFFFF",0,1)+IF(getRGB1($D2093)="FFFFFF",0,2)+IF(getRGB1($E2093)="FFFFFF",0,3)+IF(getRGB1($F2093)="FFFFFF",0,4)</f>
        <v>4</v>
      </c>
    </row>
    <row r="2094" spans="1:7">
      <c r="A2094" t="s">
        <v>6690</v>
      </c>
      <c r="B2094" s="468" t="s">
        <v>6477</v>
      </c>
      <c r="C2094" s="181">
        <v>24</v>
      </c>
      <c r="D2094" s="181">
        <v>96</v>
      </c>
      <c r="E2094" s="184">
        <v>16</v>
      </c>
      <c r="F2094" s="181">
        <v>12</v>
      </c>
      <c r="G2094">
        <f>IF(getRGB1($C2094)="FFFFFF",0,1)+IF(getRGB1($D2094)="FFFFFF",0,2)+IF(getRGB1($E2094)="FFFFFF",0,3)+IF(getRGB1($F2094)="FFFFFF",0,4)</f>
        <v>3</v>
      </c>
    </row>
    <row r="2095" spans="1:7" ht="36">
      <c r="A2095" t="s">
        <v>6690</v>
      </c>
      <c r="B2095" s="468" t="s">
        <v>6478</v>
      </c>
      <c r="C2095" s="469" t="s">
        <v>6479</v>
      </c>
      <c r="D2095" s="284" t="s">
        <v>6480</v>
      </c>
      <c r="E2095" s="469" t="s">
        <v>6481</v>
      </c>
      <c r="F2095" s="469" t="s">
        <v>6482</v>
      </c>
      <c r="G2095">
        <f>IF(getRGB1($C2095)="FFFFFF",0,1)+IF(getRGB1($D2095)="FFFFFF",0,2)+IF(getRGB1($E2095)="FFFFFF",0,3)+IF(getRGB1($F2095)="FFFFFF",0,4)</f>
        <v>2</v>
      </c>
    </row>
    <row r="2096" spans="1:7">
      <c r="A2096" t="s">
        <v>6690</v>
      </c>
      <c r="B2096" s="468" t="s">
        <v>6483</v>
      </c>
      <c r="C2096" s="469" t="s">
        <v>76</v>
      </c>
      <c r="D2096" s="469" t="s">
        <v>179</v>
      </c>
      <c r="E2096" s="284" t="s">
        <v>137</v>
      </c>
      <c r="F2096" s="469" t="s">
        <v>557</v>
      </c>
      <c r="G2096">
        <f>IF(getRGB1($C2096)="FFFFFF",0,1)+IF(getRGB1($D2096)="FFFFFF",0,2)+IF(getRGB1($E2096)="FFFFFF",0,3)+IF(getRGB1($F2096)="FFFFFF",0,4)</f>
        <v>3</v>
      </c>
    </row>
    <row r="2097" spans="1:7">
      <c r="A2097" t="s">
        <v>6690</v>
      </c>
      <c r="B2097" s="468" t="s">
        <v>6484</v>
      </c>
      <c r="C2097" s="469" t="s">
        <v>76</v>
      </c>
      <c r="D2097" s="284" t="s">
        <v>179</v>
      </c>
      <c r="E2097" s="469" t="s">
        <v>137</v>
      </c>
      <c r="F2097" s="469" t="s">
        <v>557</v>
      </c>
      <c r="G2097">
        <f>IF(getRGB1($C2097)="FFFFFF",0,1)+IF(getRGB1($D2097)="FFFFFF",0,2)+IF(getRGB1($E2097)="FFFFFF",0,3)+IF(getRGB1($F2097)="FFFFFF",0,4)</f>
        <v>2</v>
      </c>
    </row>
    <row r="2098" spans="1:7" ht="36">
      <c r="A2098" t="s">
        <v>6690</v>
      </c>
      <c r="B2098" s="468" t="s">
        <v>6485</v>
      </c>
      <c r="C2098" s="113" t="s">
        <v>6486</v>
      </c>
      <c r="D2098" s="284" t="s">
        <v>6487</v>
      </c>
      <c r="E2098" s="469" t="s">
        <v>6488</v>
      </c>
      <c r="F2098" s="469" t="s">
        <v>4388</v>
      </c>
      <c r="G2098">
        <f>IF(getRGB1($C2098)="FFFFFF",0,1)+IF(getRGB1($D2098)="FFFFFF",0,2)+IF(getRGB1($E2098)="FFFFFF",0,3)+IF(getRGB1($F2098)="FFFFFF",0,4)</f>
        <v>2</v>
      </c>
    </row>
    <row r="2099" spans="1:7" ht="24">
      <c r="A2099" t="s">
        <v>6690</v>
      </c>
      <c r="B2099" s="468" t="s">
        <v>6489</v>
      </c>
      <c r="C2099" s="284" t="s">
        <v>6490</v>
      </c>
      <c r="D2099" s="469" t="s">
        <v>6491</v>
      </c>
      <c r="E2099" s="181" t="s">
        <v>6492</v>
      </c>
      <c r="F2099" s="469" t="s">
        <v>4388</v>
      </c>
      <c r="G2099">
        <f>IF(getRGB1($C2099)="FFFFFF",0,1)+IF(getRGB1($D2099)="FFFFFF",0,2)+IF(getRGB1($E2099)="FFFFFF",0,3)+IF(getRGB1($F2099)="FFFFFF",0,4)</f>
        <v>1</v>
      </c>
    </row>
    <row r="2100" spans="1:7" ht="36">
      <c r="A2100" t="s">
        <v>6690</v>
      </c>
      <c r="B2100" s="468" t="s">
        <v>6493</v>
      </c>
      <c r="C2100" s="469" t="s">
        <v>6494</v>
      </c>
      <c r="D2100" s="284" t="s">
        <v>6495</v>
      </c>
      <c r="E2100" s="181" t="s">
        <v>6496</v>
      </c>
      <c r="F2100" s="469" t="s">
        <v>4388</v>
      </c>
      <c r="G2100">
        <f>IF(getRGB1($C2100)="FFFFFF",0,1)+IF(getRGB1($D2100)="FFFFFF",0,2)+IF(getRGB1($E2100)="FFFFFF",0,3)+IF(getRGB1($F2100)="FFFFFF",0,4)</f>
        <v>2</v>
      </c>
    </row>
    <row r="2101" spans="1:7" ht="36">
      <c r="A2101" t="s">
        <v>6690</v>
      </c>
      <c r="B2101" s="468" t="s">
        <v>6497</v>
      </c>
      <c r="C2101" s="469" t="s">
        <v>6498</v>
      </c>
      <c r="D2101" s="284" t="s">
        <v>6499</v>
      </c>
      <c r="E2101" s="181" t="s">
        <v>6500</v>
      </c>
      <c r="F2101" s="469" t="s">
        <v>4388</v>
      </c>
      <c r="G2101">
        <f>IF(getRGB1($C2101)="FFFFFF",0,1)+IF(getRGB1($D2101)="FFFFFF",0,2)+IF(getRGB1($E2101)="FFFFFF",0,3)+IF(getRGB1($F2101)="FFFFFF",0,4)</f>
        <v>2</v>
      </c>
    </row>
    <row r="2102" spans="1:7" ht="24">
      <c r="A2102" t="s">
        <v>6690</v>
      </c>
      <c r="B2102" s="468" t="s">
        <v>6501</v>
      </c>
      <c r="C2102" s="469" t="s">
        <v>6502</v>
      </c>
      <c r="D2102" s="284" t="s">
        <v>6503</v>
      </c>
      <c r="E2102" s="181" t="s">
        <v>6504</v>
      </c>
      <c r="F2102" s="469" t="s">
        <v>4388</v>
      </c>
      <c r="G2102">
        <f>IF(getRGB1($C2102)="FFFFFF",0,1)+IF(getRGB1($D2102)="FFFFFF",0,2)+IF(getRGB1($E2102)="FFFFFF",0,3)+IF(getRGB1($F2102)="FFFFFF",0,4)</f>
        <v>2</v>
      </c>
    </row>
    <row r="2103" spans="1:7" ht="90">
      <c r="A2103" t="s">
        <v>6690</v>
      </c>
      <c r="B2103" s="331" t="s">
        <v>6505</v>
      </c>
      <c r="C2103" s="280" t="s">
        <v>6506</v>
      </c>
      <c r="D2103" s="280" t="s">
        <v>6507</v>
      </c>
      <c r="E2103" s="184" t="s">
        <v>6508</v>
      </c>
      <c r="F2103" s="469" t="s">
        <v>6509</v>
      </c>
      <c r="G2103">
        <f>IF(getRGB1($C2103)="FFFFFF",0,1)+IF(getRGB1($D2103)="FFFFFF",0,2)+IF(getRGB1($E2103)="FFFFFF",0,3)+IF(getRGB1($F2103)="FFFFFF",0,4)</f>
        <v>3</v>
      </c>
    </row>
    <row r="2104" spans="1:7" ht="120">
      <c r="A2104" t="s">
        <v>6690</v>
      </c>
      <c r="B2104" s="331" t="s">
        <v>6510</v>
      </c>
      <c r="C2104" s="113" t="s">
        <v>6511</v>
      </c>
      <c r="D2104" s="113" t="s">
        <v>6512</v>
      </c>
      <c r="E2104" s="184" t="s">
        <v>6508</v>
      </c>
      <c r="F2104" s="469" t="s">
        <v>6509</v>
      </c>
      <c r="G2104">
        <f>IF(getRGB1($C2104)="FFFFFF",0,1)+IF(getRGB1($D2104)="FFFFFF",0,2)+IF(getRGB1($E2104)="FFFFFF",0,3)+IF(getRGB1($F2104)="FFFFFF",0,4)</f>
        <v>3</v>
      </c>
    </row>
    <row r="2105" spans="1:7" ht="36">
      <c r="A2105" t="s">
        <v>6690</v>
      </c>
      <c r="B2105" s="468" t="s">
        <v>6513</v>
      </c>
      <c r="C2105" s="469" t="s">
        <v>6514</v>
      </c>
      <c r="D2105" s="469" t="s">
        <v>6515</v>
      </c>
      <c r="E2105" s="469" t="s">
        <v>6516</v>
      </c>
      <c r="F2105" s="115" t="s">
        <v>6508</v>
      </c>
      <c r="G2105">
        <f>IF(getRGB1($C2105)="FFFFFF",0,1)+IF(getRGB1($D2105)="FFFFFF",0,2)+IF(getRGB1($E2105)="FFFFFF",0,3)+IF(getRGB1($F2105)="FFFFFF",0,4)</f>
        <v>4</v>
      </c>
    </row>
    <row r="2106" spans="1:7" ht="15.75">
      <c r="A2106" t="s">
        <v>6691</v>
      </c>
      <c r="B2106" s="421" t="s">
        <v>6517</v>
      </c>
      <c r="C2106" s="206" t="s">
        <v>74</v>
      </c>
      <c r="D2106" s="206" t="s">
        <v>6518</v>
      </c>
      <c r="E2106" s="386" t="s">
        <v>6339</v>
      </c>
      <c r="F2106" s="206" t="s">
        <v>980</v>
      </c>
      <c r="G2106">
        <f>IF(getRGB1($C2106)="FFFFFF",0,1)+IF(getRGB1($D2106)="FFFFFF",0,2)+IF(getRGB1($E2106)="FFFFFF",0,3)+IF(getRGB1($F2106)="FFFFFF",0,4)</f>
        <v>3</v>
      </c>
    </row>
    <row r="2107" spans="1:7" ht="30">
      <c r="A2107" t="s">
        <v>6691</v>
      </c>
      <c r="B2107" s="383" t="s">
        <v>6519</v>
      </c>
      <c r="C2107" s="206" t="s">
        <v>6520</v>
      </c>
      <c r="D2107" s="206" t="s">
        <v>6521</v>
      </c>
      <c r="E2107" s="206" t="s">
        <v>6522</v>
      </c>
      <c r="F2107" s="386" t="s">
        <v>3313</v>
      </c>
      <c r="G2107">
        <f>IF(getRGB1($C2107)="FFFFFF",0,1)+IF(getRGB1($D2107)="FFFFFF",0,2)+IF(getRGB1($E2107)="FFFFFF",0,3)+IF(getRGB1($F2107)="FFFFFF",0,4)</f>
        <v>4</v>
      </c>
    </row>
    <row r="2108" spans="1:7" ht="30">
      <c r="A2108" t="s">
        <v>6691</v>
      </c>
      <c r="B2108" s="383" t="s">
        <v>6523</v>
      </c>
      <c r="C2108" s="206" t="s">
        <v>6524</v>
      </c>
      <c r="D2108" s="206" t="s">
        <v>6525</v>
      </c>
      <c r="E2108" s="386" t="s">
        <v>6526</v>
      </c>
      <c r="F2108" s="206" t="s">
        <v>6527</v>
      </c>
      <c r="G2108">
        <f>IF(getRGB1($C2108)="FFFFFF",0,1)+IF(getRGB1($D2108)="FFFFFF",0,2)+IF(getRGB1($E2108)="FFFFFF",0,3)+IF(getRGB1($F2108)="FFFFFF",0,4)</f>
        <v>3</v>
      </c>
    </row>
    <row r="2109" spans="1:7" ht="75">
      <c r="A2109" t="s">
        <v>6691</v>
      </c>
      <c r="B2109" s="383" t="s">
        <v>6528</v>
      </c>
      <c r="C2109" s="386" t="s">
        <v>6529</v>
      </c>
      <c r="D2109" s="206" t="s">
        <v>6530</v>
      </c>
      <c r="E2109" s="206" t="s">
        <v>6531</v>
      </c>
      <c r="F2109" s="206" t="s">
        <v>6532</v>
      </c>
      <c r="G2109">
        <f>IF(getRGB1($C2109)="FFFFFF",0,1)+IF(getRGB1($D2109)="FFFFFF",0,2)+IF(getRGB1($E2109)="FFFFFF",0,3)+IF(getRGB1($F2109)="FFFFFF",0,4)</f>
        <v>1</v>
      </c>
    </row>
    <row r="2110" spans="1:7">
      <c r="A2110" t="s">
        <v>6691</v>
      </c>
      <c r="B2110" s="383" t="s">
        <v>6533</v>
      </c>
      <c r="C2110" s="386">
        <v>1</v>
      </c>
      <c r="D2110" s="206">
        <v>2</v>
      </c>
      <c r="E2110" s="206">
        <v>3</v>
      </c>
      <c r="F2110" s="206">
        <v>4</v>
      </c>
      <c r="G2110">
        <f>IF(getRGB1($C2110)="FFFFFF",0,1)+IF(getRGB1($D2110)="FFFFFF",0,2)+IF(getRGB1($E2110)="FFFFFF",0,3)+IF(getRGB1($F2110)="FFFFFF",0,4)</f>
        <v>1</v>
      </c>
    </row>
    <row r="2111" spans="1:7">
      <c r="A2111" t="s">
        <v>6691</v>
      </c>
      <c r="B2111" s="383" t="s">
        <v>6534</v>
      </c>
      <c r="C2111" s="206" t="s">
        <v>4366</v>
      </c>
      <c r="D2111" s="206" t="s">
        <v>174</v>
      </c>
      <c r="E2111" s="206" t="s">
        <v>74</v>
      </c>
      <c r="F2111" s="386" t="s">
        <v>6339</v>
      </c>
      <c r="G2111">
        <f>IF(getRGB1($C2111)="FFFFFF",0,1)+IF(getRGB1($D2111)="FFFFFF",0,2)+IF(getRGB1($E2111)="FFFFFF",0,3)+IF(getRGB1($F2111)="FFFFFF",0,4)</f>
        <v>4</v>
      </c>
    </row>
    <row r="2112" spans="1:7" ht="30">
      <c r="A2112" t="s">
        <v>6691</v>
      </c>
      <c r="B2112" s="383" t="s">
        <v>6535</v>
      </c>
      <c r="C2112" s="206" t="s">
        <v>6339</v>
      </c>
      <c r="D2112" s="386" t="s">
        <v>4366</v>
      </c>
      <c r="E2112" s="206" t="s">
        <v>74</v>
      </c>
      <c r="F2112" s="206" t="s">
        <v>174</v>
      </c>
      <c r="G2112">
        <f>IF(getRGB1($C2112)="FFFFFF",0,1)+IF(getRGB1($D2112)="FFFFFF",0,2)+IF(getRGB1($E2112)="FFFFFF",0,3)+IF(getRGB1($F2112)="FFFFFF",0,4)</f>
        <v>2</v>
      </c>
    </row>
    <row r="2113" spans="1:7" ht="30">
      <c r="A2113" t="s">
        <v>6691</v>
      </c>
      <c r="B2113" s="383" t="s">
        <v>6536</v>
      </c>
      <c r="C2113" s="206">
        <v>23</v>
      </c>
      <c r="D2113" s="206">
        <v>24</v>
      </c>
      <c r="E2113" s="206">
        <v>25</v>
      </c>
      <c r="F2113" s="386">
        <v>26</v>
      </c>
      <c r="G2113">
        <f>IF(getRGB1($C2113)="FFFFFF",0,1)+IF(getRGB1($D2113)="FFFFFF",0,2)+IF(getRGB1($E2113)="FFFFFF",0,3)+IF(getRGB1($F2113)="FFFFFF",0,4)</f>
        <v>4</v>
      </c>
    </row>
    <row r="2114" spans="1:7">
      <c r="A2114" t="s">
        <v>6691</v>
      </c>
      <c r="B2114" s="383" t="s">
        <v>6537</v>
      </c>
      <c r="C2114" s="206" t="s">
        <v>994</v>
      </c>
      <c r="D2114" s="386" t="s">
        <v>993</v>
      </c>
      <c r="E2114" s="206" t="s">
        <v>992</v>
      </c>
      <c r="F2114" s="206" t="s">
        <v>995</v>
      </c>
      <c r="G2114">
        <f>IF(getRGB1($C2114)="FFFFFF",0,1)+IF(getRGB1($D2114)="FFFFFF",0,2)+IF(getRGB1($E2114)="FFFFFF",0,3)+IF(getRGB1($F2114)="FFFFFF",0,4)</f>
        <v>2</v>
      </c>
    </row>
    <row r="2115" spans="1:7" ht="45">
      <c r="A2115" t="s">
        <v>6691</v>
      </c>
      <c r="B2115" s="383" t="s">
        <v>6538</v>
      </c>
      <c r="C2115" s="206" t="s">
        <v>6339</v>
      </c>
      <c r="D2115" s="386" t="s">
        <v>4366</v>
      </c>
      <c r="E2115" s="206" t="s">
        <v>74</v>
      </c>
      <c r="F2115" s="206" t="s">
        <v>174</v>
      </c>
      <c r="G2115">
        <f>IF(getRGB1($C2115)="FFFFFF",0,1)+IF(getRGB1($D2115)="FFFFFF",0,2)+IF(getRGB1($E2115)="FFFFFF",0,3)+IF(getRGB1($F2115)="FFFFFF",0,4)</f>
        <v>2</v>
      </c>
    </row>
    <row r="2116" spans="1:7" ht="30">
      <c r="A2116" t="s">
        <v>6691</v>
      </c>
      <c r="B2116" s="383" t="s">
        <v>6539</v>
      </c>
      <c r="C2116" s="386" t="s">
        <v>6540</v>
      </c>
      <c r="D2116" s="206"/>
      <c r="E2116" s="206"/>
      <c r="F2116" s="206"/>
      <c r="G2116">
        <f>IF(getRGB1($C2116)="FFFFFF",0,1)+IF(getRGB1($D2116)="FFFFFF",0,2)+IF(getRGB1($E2116)="FFFFFF",0,3)+IF(getRGB1($F2116)="FFFFFF",0,4)</f>
        <v>1</v>
      </c>
    </row>
    <row r="2117" spans="1:7" ht="30">
      <c r="A2117" t="s">
        <v>6691</v>
      </c>
      <c r="B2117" s="383" t="s">
        <v>6541</v>
      </c>
      <c r="C2117" s="386" t="s">
        <v>6542</v>
      </c>
      <c r="D2117" s="206"/>
      <c r="E2117" s="206"/>
      <c r="F2117" s="206"/>
      <c r="G2117">
        <f>IF(getRGB1($C2117)="FFFFFF",0,1)+IF(getRGB1($D2117)="FFFFFF",0,2)+IF(getRGB1($E2117)="FFFFFF",0,3)+IF(getRGB1($F2117)="FFFFFF",0,4)</f>
        <v>1</v>
      </c>
    </row>
    <row r="2118" spans="1:7" ht="45">
      <c r="A2118" t="s">
        <v>6691</v>
      </c>
      <c r="B2118" s="422" t="s">
        <v>6543</v>
      </c>
      <c r="C2118" s="386" t="s">
        <v>6544</v>
      </c>
      <c r="D2118" s="473"/>
      <c r="E2118" s="473"/>
      <c r="F2118" s="473"/>
      <c r="G2118">
        <f>IF(getRGB1($C2118)="FFFFFF",0,1)+IF(getRGB1($D2118)="FFFFFF",0,2)+IF(getRGB1($E2118)="FFFFFF",0,3)+IF(getRGB1($F2118)="FFFFFF",0,4)</f>
        <v>1</v>
      </c>
    </row>
    <row r="2119" spans="1:7" ht="75">
      <c r="A2119" t="s">
        <v>6691</v>
      </c>
      <c r="B2119" s="422" t="s">
        <v>6545</v>
      </c>
      <c r="C2119" s="423">
        <v>42</v>
      </c>
      <c r="D2119" s="423">
        <v>43</v>
      </c>
      <c r="E2119" s="425">
        <v>44</v>
      </c>
      <c r="F2119" s="386">
        <v>45</v>
      </c>
      <c r="G2119">
        <f>IF(getRGB1($C2119)="FFFFFF",0,1)+IF(getRGB1($D2119)="FFFFFF",0,2)+IF(getRGB1($E2119)="FFFFFF",0,3)+IF(getRGB1($F2119)="FFFFFF",0,4)</f>
        <v>4</v>
      </c>
    </row>
    <row r="2120" spans="1:7" ht="75">
      <c r="A2120" t="s">
        <v>6691</v>
      </c>
      <c r="B2120" s="422" t="s">
        <v>6546</v>
      </c>
      <c r="C2120" s="423">
        <v>40</v>
      </c>
      <c r="D2120" s="386">
        <v>60</v>
      </c>
      <c r="E2120" s="425">
        <v>90</v>
      </c>
      <c r="F2120" s="423">
        <v>30</v>
      </c>
      <c r="G2120">
        <f>IF(getRGB1($C2120)="FFFFFF",0,1)+IF(getRGB1($D2120)="FFFFFF",0,2)+IF(getRGB1($E2120)="FFFFFF",0,3)+IF(getRGB1($F2120)="FFFFFF",0,4)</f>
        <v>2</v>
      </c>
    </row>
    <row r="2121" spans="1:7" ht="30">
      <c r="A2121" t="s">
        <v>6692</v>
      </c>
      <c r="B2121" s="394" t="s">
        <v>6547</v>
      </c>
      <c r="C2121" s="206" t="s">
        <v>6548</v>
      </c>
      <c r="D2121" s="206" t="s">
        <v>6549</v>
      </c>
      <c r="E2121" s="207" t="s">
        <v>6550</v>
      </c>
      <c r="F2121" s="206" t="s">
        <v>6551</v>
      </c>
      <c r="G2121">
        <f>IF(getRGB1($C2121)="FFFFFF",0,1)+IF(getRGB1($D2121)="FFFFFF",0,2)+IF(getRGB1($E2121)="FFFFFF",0,3)+IF(getRGB1($F2121)="FFFFFF",0,4)</f>
        <v>3</v>
      </c>
    </row>
    <row r="2122" spans="1:7" ht="30">
      <c r="A2122" t="s">
        <v>6692</v>
      </c>
      <c r="B2122" s="394" t="s">
        <v>6552</v>
      </c>
      <c r="C2122" s="206" t="s">
        <v>6548</v>
      </c>
      <c r="D2122" s="206" t="s">
        <v>6549</v>
      </c>
      <c r="E2122" s="206" t="s">
        <v>6550</v>
      </c>
      <c r="F2122" s="207" t="s">
        <v>6551</v>
      </c>
      <c r="G2122">
        <f>IF(getRGB1($C2122)="FFFFFF",0,1)+IF(getRGB1($D2122)="FFFFFF",0,2)+IF(getRGB1($E2122)="FFFFFF",0,3)+IF(getRGB1($F2122)="FFFFFF",0,4)</f>
        <v>4</v>
      </c>
    </row>
    <row r="2123" spans="1:7">
      <c r="A2123" t="s">
        <v>6692</v>
      </c>
      <c r="B2123" s="376" t="s">
        <v>6553</v>
      </c>
      <c r="C2123" s="206" t="s">
        <v>6554</v>
      </c>
      <c r="D2123" s="206" t="s">
        <v>6555</v>
      </c>
      <c r="E2123" s="207" t="s">
        <v>6556</v>
      </c>
      <c r="F2123" s="206" t="s">
        <v>174</v>
      </c>
      <c r="G2123">
        <f>IF(getRGB1($C2123)="FFFFFF",0,1)+IF(getRGB1($D2123)="FFFFFF",0,2)+IF(getRGB1($E2123)="FFFFFF",0,3)+IF(getRGB1($F2123)="FFFFFF",0,4)</f>
        <v>3</v>
      </c>
    </row>
    <row r="2124" spans="1:7" ht="30">
      <c r="A2124" t="s">
        <v>6692</v>
      </c>
      <c r="B2124" s="384" t="s">
        <v>6557</v>
      </c>
      <c r="C2124" s="206" t="s">
        <v>6558</v>
      </c>
      <c r="D2124" s="206" t="s">
        <v>6559</v>
      </c>
      <c r="E2124" s="207" t="s">
        <v>6560</v>
      </c>
      <c r="F2124" s="206" t="s">
        <v>468</v>
      </c>
      <c r="G2124">
        <f>IF(getRGB1($C2124)="FFFFFF",0,1)+IF(getRGB1($D2124)="FFFFFF",0,2)+IF(getRGB1($E2124)="FFFFFF",0,3)+IF(getRGB1($F2124)="FFFFFF",0,4)</f>
        <v>3</v>
      </c>
    </row>
    <row r="2125" spans="1:7" ht="30">
      <c r="A2125" t="s">
        <v>6692</v>
      </c>
      <c r="B2125" s="384" t="s">
        <v>6561</v>
      </c>
      <c r="C2125" s="206" t="s">
        <v>6562</v>
      </c>
      <c r="D2125" s="207" t="s">
        <v>6563</v>
      </c>
      <c r="E2125" s="206" t="s">
        <v>6564</v>
      </c>
      <c r="F2125" s="206" t="s">
        <v>468</v>
      </c>
      <c r="G2125">
        <f>IF(getRGB1($C2125)="FFFFFF",0,1)+IF(getRGB1($D2125)="FFFFFF",0,2)+IF(getRGB1($E2125)="FFFFFF",0,3)+IF(getRGB1($F2125)="FFFFFF",0,4)</f>
        <v>2</v>
      </c>
    </row>
    <row r="2126" spans="1:7" ht="30">
      <c r="A2126" t="s">
        <v>6692</v>
      </c>
      <c r="B2126" s="383" t="s">
        <v>6565</v>
      </c>
      <c r="C2126" s="206" t="s">
        <v>6566</v>
      </c>
      <c r="D2126" s="206" t="s">
        <v>6567</v>
      </c>
      <c r="E2126" s="207" t="s">
        <v>6568</v>
      </c>
      <c r="F2126" s="206" t="s">
        <v>468</v>
      </c>
      <c r="G2126">
        <f>IF(getRGB1($C2126)="FFFFFF",0,1)+IF(getRGB1($D2126)="FFFFFF",0,2)+IF(getRGB1($E2126)="FFFFFF",0,3)+IF(getRGB1($F2126)="FFFFFF",0,4)</f>
        <v>3</v>
      </c>
    </row>
    <row r="2127" spans="1:7" ht="45">
      <c r="A2127" t="s">
        <v>6692</v>
      </c>
      <c r="B2127" s="474" t="s">
        <v>6569</v>
      </c>
      <c r="C2127" s="207" t="s">
        <v>6570</v>
      </c>
      <c r="D2127" s="206" t="s">
        <v>6571</v>
      </c>
      <c r="E2127" s="206" t="s">
        <v>6572</v>
      </c>
      <c r="F2127" s="206" t="s">
        <v>6573</v>
      </c>
      <c r="G2127">
        <f>IF(getRGB1($C2127)="FFFFFF",0,1)+IF(getRGB1($D2127)="FFFFFF",0,2)+IF(getRGB1($E2127)="FFFFFF",0,3)+IF(getRGB1($F2127)="FFFFFF",0,4)</f>
        <v>1</v>
      </c>
    </row>
    <row r="2128" spans="1:7" ht="30">
      <c r="A2128" t="s">
        <v>6692</v>
      </c>
      <c r="B2128" s="384" t="s">
        <v>6574</v>
      </c>
      <c r="C2128" s="206">
        <v>10</v>
      </c>
      <c r="D2128" s="207">
        <v>12</v>
      </c>
      <c r="E2128" s="206">
        <v>18</v>
      </c>
      <c r="F2128" s="206">
        <v>20</v>
      </c>
      <c r="G2128">
        <f>IF(getRGB1($C2128)="FFFFFF",0,1)+IF(getRGB1($D2128)="FFFFFF",0,2)+IF(getRGB1($E2128)="FFFFFF",0,3)+IF(getRGB1($F2128)="FFFFFF",0,4)</f>
        <v>2</v>
      </c>
    </row>
    <row r="2129" spans="1:7" ht="45">
      <c r="A2129" t="s">
        <v>6692</v>
      </c>
      <c r="B2129" s="384" t="s">
        <v>6575</v>
      </c>
      <c r="C2129" s="206">
        <v>60</v>
      </c>
      <c r="D2129" s="206">
        <v>30</v>
      </c>
      <c r="E2129" s="207">
        <v>90</v>
      </c>
      <c r="F2129" s="206">
        <v>100</v>
      </c>
      <c r="G2129">
        <f>IF(getRGB1($C2129)="FFFFFF",0,1)+IF(getRGB1($D2129)="FFFFFF",0,2)+IF(getRGB1($E2129)="FFFFFF",0,3)+IF(getRGB1($F2129)="FFFFFF",0,4)</f>
        <v>3</v>
      </c>
    </row>
    <row r="2130" spans="1:7" ht="45">
      <c r="A2130" t="s">
        <v>6692</v>
      </c>
      <c r="B2130" s="462" t="s">
        <v>6576</v>
      </c>
      <c r="C2130" s="206" t="s">
        <v>6577</v>
      </c>
      <c r="D2130" s="207" t="s">
        <v>6578</v>
      </c>
      <c r="E2130" s="206" t="s">
        <v>6579</v>
      </c>
      <c r="F2130" s="206" t="s">
        <v>468</v>
      </c>
      <c r="G2130">
        <f>IF(getRGB1($C2130)="FFFFFF",0,1)+IF(getRGB1($D2130)="FFFFFF",0,2)+IF(getRGB1($E2130)="FFFFFF",0,3)+IF(getRGB1($F2130)="FFFFFF",0,4)</f>
        <v>2</v>
      </c>
    </row>
    <row r="2131" spans="1:7" ht="30">
      <c r="A2131" t="s">
        <v>6693</v>
      </c>
      <c r="B2131" s="474" t="s">
        <v>6580</v>
      </c>
      <c r="C2131" s="206" t="s">
        <v>76</v>
      </c>
      <c r="D2131" s="206" t="s">
        <v>74</v>
      </c>
      <c r="E2131" s="207" t="s">
        <v>3958</v>
      </c>
      <c r="F2131" s="206" t="s">
        <v>137</v>
      </c>
      <c r="G2131">
        <f>IF(getRGB1($C2131)="FFFFFF",0,1)+IF(getRGB1($D2131)="FFFFFF",0,2)+IF(getRGB1($E2131)="FFFFFF",0,3)+IF(getRGB1($F2131)="FFFFFF",0,4)</f>
        <v>3</v>
      </c>
    </row>
    <row r="2132" spans="1:7" ht="45">
      <c r="A2132" t="s">
        <v>6693</v>
      </c>
      <c r="B2132" s="474" t="s">
        <v>6581</v>
      </c>
      <c r="C2132" s="206" t="s">
        <v>6582</v>
      </c>
      <c r="D2132" s="206" t="s">
        <v>6583</v>
      </c>
      <c r="E2132" s="207" t="s">
        <v>6584</v>
      </c>
      <c r="F2132" s="206" t="s">
        <v>6585</v>
      </c>
      <c r="G2132">
        <f>IF(getRGB1($C2132)="FFFFFF",0,1)+IF(getRGB1($D2132)="FFFFFF",0,2)+IF(getRGB1($E2132)="FFFFFF",0,3)+IF(getRGB1($F2132)="FFFFFF",0,4)</f>
        <v>3</v>
      </c>
    </row>
    <row r="2133" spans="1:7" ht="30">
      <c r="A2133" t="s">
        <v>6693</v>
      </c>
      <c r="B2133" s="474" t="s">
        <v>6586</v>
      </c>
      <c r="C2133" s="206" t="s">
        <v>6587</v>
      </c>
      <c r="D2133" s="207" t="s">
        <v>177</v>
      </c>
      <c r="E2133" s="206" t="s">
        <v>3958</v>
      </c>
      <c r="F2133" s="206" t="s">
        <v>557</v>
      </c>
      <c r="G2133">
        <f>IF(getRGB1($C2133)="FFFFFF",0,1)+IF(getRGB1($D2133)="FFFFFF",0,2)+IF(getRGB1($E2133)="FFFFFF",0,3)+IF(getRGB1($F2133)="FFFFFF",0,4)</f>
        <v>2</v>
      </c>
    </row>
    <row r="2134" spans="1:7" ht="45">
      <c r="A2134" t="s">
        <v>6693</v>
      </c>
      <c r="B2134" s="384" t="s">
        <v>6588</v>
      </c>
      <c r="C2134" s="206" t="s">
        <v>557</v>
      </c>
      <c r="D2134" s="206" t="s">
        <v>177</v>
      </c>
      <c r="E2134" s="207" t="s">
        <v>179</v>
      </c>
      <c r="F2134" s="206" t="s">
        <v>73</v>
      </c>
      <c r="G2134">
        <f>IF(getRGB1($C2134)="FFFFFF",0,1)+IF(getRGB1($D2134)="FFFFFF",0,2)+IF(getRGB1($E2134)="FFFFFF",0,3)+IF(getRGB1($F2134)="FFFFFF",0,4)</f>
        <v>3</v>
      </c>
    </row>
    <row r="2135" spans="1:7" ht="60">
      <c r="A2135" t="s">
        <v>6693</v>
      </c>
      <c r="B2135" s="474" t="s">
        <v>6589</v>
      </c>
      <c r="C2135" s="207" t="s">
        <v>557</v>
      </c>
      <c r="D2135" s="206" t="s">
        <v>177</v>
      </c>
      <c r="E2135" s="206" t="s">
        <v>179</v>
      </c>
      <c r="F2135" s="206" t="s">
        <v>73</v>
      </c>
      <c r="G2135">
        <f>IF(getRGB1($C2135)="FFFFFF",0,1)+IF(getRGB1($D2135)="FFFFFF",0,2)+IF(getRGB1($E2135)="FFFFFF",0,3)+IF(getRGB1($F2135)="FFFFFF",0,4)</f>
        <v>1</v>
      </c>
    </row>
    <row r="2136" spans="1:7" ht="30">
      <c r="A2136" t="s">
        <v>6693</v>
      </c>
      <c r="B2136" s="383" t="s">
        <v>6590</v>
      </c>
      <c r="C2136" s="206" t="s">
        <v>6591</v>
      </c>
      <c r="D2136" s="207" t="s">
        <v>6592</v>
      </c>
      <c r="E2136" s="206" t="s">
        <v>6593</v>
      </c>
      <c r="F2136" s="206" t="s">
        <v>468</v>
      </c>
      <c r="G2136">
        <f>IF(getRGB1($C2136)="FFFFFF",0,1)+IF(getRGB1($D2136)="FFFFFF",0,2)+IF(getRGB1($E2136)="FFFFFF",0,3)+IF(getRGB1($F2136)="FFFFFF",0,4)</f>
        <v>2</v>
      </c>
    </row>
    <row r="2137" spans="1:7" ht="30">
      <c r="A2137" t="s">
        <v>6693</v>
      </c>
      <c r="B2137" s="387" t="s">
        <v>6594</v>
      </c>
      <c r="C2137" s="206" t="s">
        <v>179</v>
      </c>
      <c r="D2137" s="207" t="s">
        <v>6595</v>
      </c>
      <c r="E2137" s="206" t="s">
        <v>557</v>
      </c>
      <c r="F2137" s="206" t="s">
        <v>76</v>
      </c>
      <c r="G2137">
        <f>IF(getRGB1($C2137)="FFFFFF",0,1)+IF(getRGB1($D2137)="FFFFFF",0,2)+IF(getRGB1($E2137)="FFFFFF",0,3)+IF(getRGB1($F2137)="FFFFFF",0,4)</f>
        <v>2</v>
      </c>
    </row>
    <row r="2138" spans="1:7" ht="30">
      <c r="A2138" t="s">
        <v>6693</v>
      </c>
      <c r="B2138" s="376" t="s">
        <v>6596</v>
      </c>
      <c r="C2138" s="206" t="s">
        <v>6597</v>
      </c>
      <c r="D2138" s="206" t="s">
        <v>6598</v>
      </c>
      <c r="E2138" s="207" t="s">
        <v>6599</v>
      </c>
      <c r="F2138" s="206" t="s">
        <v>6257</v>
      </c>
      <c r="G2138">
        <f>IF(getRGB1($C2138)="FFFFFF",0,1)+IF(getRGB1($D2138)="FFFFFF",0,2)+IF(getRGB1($E2138)="FFFFFF",0,3)+IF(getRGB1($F2138)="FFFFFF",0,4)</f>
        <v>3</v>
      </c>
    </row>
    <row r="2139" spans="1:7" ht="30">
      <c r="A2139" t="s">
        <v>6693</v>
      </c>
      <c r="B2139" s="384" t="s">
        <v>6600</v>
      </c>
      <c r="C2139" s="206" t="s">
        <v>6601</v>
      </c>
      <c r="D2139" s="207" t="s">
        <v>6602</v>
      </c>
      <c r="E2139" s="206" t="s">
        <v>6603</v>
      </c>
      <c r="F2139" s="206" t="s">
        <v>468</v>
      </c>
      <c r="G2139">
        <f>IF(getRGB1($C2139)="FFFFFF",0,1)+IF(getRGB1($D2139)="FFFFFF",0,2)+IF(getRGB1($E2139)="FFFFFF",0,3)+IF(getRGB1($F2139)="FFFFFF",0,4)</f>
        <v>2</v>
      </c>
    </row>
    <row r="2140" spans="1:7" ht="45">
      <c r="A2140" t="s">
        <v>6693</v>
      </c>
      <c r="B2140" s="462" t="s">
        <v>6604</v>
      </c>
      <c r="C2140" s="206" t="s">
        <v>73</v>
      </c>
      <c r="D2140" s="207" t="s">
        <v>74</v>
      </c>
      <c r="E2140" s="206" t="s">
        <v>174</v>
      </c>
      <c r="F2140" s="206" t="s">
        <v>177</v>
      </c>
      <c r="G2140">
        <f>IF(getRGB1($C2140)="FFFFFF",0,1)+IF(getRGB1($D2140)="FFFFFF",0,2)+IF(getRGB1($E2140)="FFFFFF",0,3)+IF(getRGB1($F2140)="FFFFFF",0,4)</f>
        <v>2</v>
      </c>
    </row>
    <row r="2141" spans="1:7" ht="45">
      <c r="A2141" t="s">
        <v>6693</v>
      </c>
      <c r="B2141" s="475" t="s">
        <v>6605</v>
      </c>
      <c r="C2141" s="206" t="s">
        <v>174</v>
      </c>
      <c r="D2141" s="206" t="s">
        <v>177</v>
      </c>
      <c r="E2141" s="206" t="s">
        <v>73</v>
      </c>
      <c r="F2141" s="207" t="s">
        <v>74</v>
      </c>
      <c r="G2141">
        <f>IF(getRGB1($C2141)="FFFFFF",0,1)+IF(getRGB1($D2141)="FFFFFF",0,2)+IF(getRGB1($E2141)="FFFFFF",0,3)+IF(getRGB1($F2141)="FFFFFF",0,4)</f>
        <v>4</v>
      </c>
    </row>
    <row r="2142" spans="1:7" ht="30">
      <c r="A2142" t="s">
        <v>6693</v>
      </c>
      <c r="B2142" s="475" t="s">
        <v>6606</v>
      </c>
      <c r="C2142" s="206" t="s">
        <v>73</v>
      </c>
      <c r="D2142" s="207" t="s">
        <v>74</v>
      </c>
      <c r="E2142" s="206" t="s">
        <v>174</v>
      </c>
      <c r="F2142" s="206" t="s">
        <v>177</v>
      </c>
      <c r="G2142">
        <f>IF(getRGB1($C2142)="FFFFFF",0,1)+IF(getRGB1($D2142)="FFFFFF",0,2)+IF(getRGB1($E2142)="FFFFFF",0,3)+IF(getRGB1($F2142)="FFFFFF",0,4)</f>
        <v>2</v>
      </c>
    </row>
    <row r="2143" spans="1:7" ht="45">
      <c r="A2143" t="s">
        <v>6693</v>
      </c>
      <c r="B2143" s="376" t="s">
        <v>6607</v>
      </c>
      <c r="C2143" s="206" t="s">
        <v>6608</v>
      </c>
      <c r="D2143" s="207" t="s">
        <v>6609</v>
      </c>
      <c r="E2143" s="206" t="s">
        <v>6610</v>
      </c>
      <c r="F2143" s="206" t="s">
        <v>6611</v>
      </c>
      <c r="G2143">
        <f>IF(getRGB1($C2143)="FFFFFF",0,1)+IF(getRGB1($D2143)="FFFFFF",0,2)+IF(getRGB1($E2143)="FFFFFF",0,3)+IF(getRGB1($F2143)="FFFFFF",0,4)</f>
        <v>2</v>
      </c>
    </row>
    <row r="2144" spans="1:7" ht="30">
      <c r="A2144" t="s">
        <v>6693</v>
      </c>
      <c r="B2144" s="383" t="s">
        <v>6612</v>
      </c>
      <c r="C2144" s="206" t="s">
        <v>6608</v>
      </c>
      <c r="D2144" s="207" t="s">
        <v>6609</v>
      </c>
      <c r="E2144" s="206" t="s">
        <v>6610</v>
      </c>
      <c r="F2144" s="206" t="s">
        <v>6611</v>
      </c>
      <c r="G2144">
        <f>IF(getRGB1($C2144)="FFFFFF",0,1)+IF(getRGB1($D2144)="FFFFFF",0,2)+IF(getRGB1($E2144)="FFFFFF",0,3)+IF(getRGB1($F2144)="FFFFFF",0,4)</f>
        <v>2</v>
      </c>
    </row>
    <row r="2145" spans="1:7" ht="30">
      <c r="A2145" t="s">
        <v>6693</v>
      </c>
      <c r="B2145" s="383" t="s">
        <v>6613</v>
      </c>
      <c r="C2145" s="206" t="s">
        <v>76</v>
      </c>
      <c r="D2145" s="206" t="s">
        <v>6614</v>
      </c>
      <c r="E2145" s="207" t="s">
        <v>3958</v>
      </c>
      <c r="F2145" s="206" t="s">
        <v>74</v>
      </c>
      <c r="G2145">
        <f>IF(getRGB1($C2145)="FFFFFF",0,1)+IF(getRGB1($D2145)="FFFFFF",0,2)+IF(getRGB1($E2145)="FFFFFF",0,3)+IF(getRGB1($F2145)="FFFFFF",0,4)</f>
        <v>3</v>
      </c>
    </row>
    <row r="2146" spans="1:7" ht="45">
      <c r="A2146" t="s">
        <v>6693</v>
      </c>
      <c r="B2146" s="383" t="s">
        <v>6615</v>
      </c>
      <c r="C2146" s="206" t="s">
        <v>6616</v>
      </c>
      <c r="D2146" s="206" t="s">
        <v>6614</v>
      </c>
      <c r="E2146" s="207" t="s">
        <v>3958</v>
      </c>
      <c r="F2146" s="206" t="s">
        <v>74</v>
      </c>
      <c r="G2146">
        <f>IF(getRGB1($C2146)="FFFFFF",0,1)+IF(getRGB1($D2146)="FFFFFF",0,2)+IF(getRGB1($E2146)="FFFFFF",0,3)+IF(getRGB1($F2146)="FFFFFF",0,4)</f>
        <v>3</v>
      </c>
    </row>
    <row r="2147" spans="1:7" ht="30">
      <c r="A2147" t="s">
        <v>6693</v>
      </c>
      <c r="B2147" s="383" t="s">
        <v>6617</v>
      </c>
      <c r="C2147" s="206" t="s">
        <v>6614</v>
      </c>
      <c r="D2147" s="207" t="s">
        <v>3958</v>
      </c>
      <c r="E2147" s="206" t="s">
        <v>6618</v>
      </c>
      <c r="F2147" s="206" t="s">
        <v>6616</v>
      </c>
      <c r="G2147">
        <f>IF(getRGB1($C2147)="FFFFFF",0,1)+IF(getRGB1($D2147)="FFFFFF",0,2)+IF(getRGB1($E2147)="FFFFFF",0,3)+IF(getRGB1($F2147)="FFFFFF",0,4)</f>
        <v>2</v>
      </c>
    </row>
    <row r="2148" spans="1:7" ht="30">
      <c r="A2148" t="s">
        <v>6693</v>
      </c>
      <c r="B2148" s="383" t="s">
        <v>6619</v>
      </c>
      <c r="C2148" s="206" t="s">
        <v>6614</v>
      </c>
      <c r="D2148" s="206" t="s">
        <v>6620</v>
      </c>
      <c r="E2148" s="206" t="s">
        <v>74</v>
      </c>
      <c r="F2148" s="207" t="s">
        <v>360</v>
      </c>
      <c r="G2148">
        <f>IF(getRGB1($C2148)="FFFFFF",0,1)+IF(getRGB1($D2148)="FFFFFF",0,2)+IF(getRGB1($E2148)="FFFFFF",0,3)+IF(getRGB1($F2148)="FFFFFF",0,4)</f>
        <v>4</v>
      </c>
    </row>
    <row r="2149" spans="1:7" ht="30">
      <c r="A2149" t="s">
        <v>6693</v>
      </c>
      <c r="B2149" s="383" t="s">
        <v>6621</v>
      </c>
      <c r="C2149" s="206" t="s">
        <v>6622</v>
      </c>
      <c r="D2149" s="207" t="s">
        <v>6623</v>
      </c>
      <c r="E2149" s="206" t="s">
        <v>6624</v>
      </c>
      <c r="F2149" s="206" t="s">
        <v>3708</v>
      </c>
      <c r="G2149">
        <f>IF(getRGB1($C2149)="FFFFFF",0,1)+IF(getRGB1($D2149)="FFFFFF",0,2)+IF(getRGB1($E2149)="FFFFFF",0,3)+IF(getRGB1($F2149)="FFFFFF",0,4)</f>
        <v>2</v>
      </c>
    </row>
    <row r="2150" spans="1:7" ht="60">
      <c r="A2150" t="s">
        <v>6693</v>
      </c>
      <c r="B2150" s="384" t="s">
        <v>6625</v>
      </c>
      <c r="C2150" s="206" t="s">
        <v>6614</v>
      </c>
      <c r="D2150" s="206" t="s">
        <v>6620</v>
      </c>
      <c r="E2150" s="206" t="s">
        <v>74</v>
      </c>
      <c r="F2150" s="207" t="s">
        <v>76</v>
      </c>
      <c r="G2150">
        <f>IF(getRGB1($C2150)="FFFFFF",0,1)+IF(getRGB1($D2150)="FFFFFF",0,2)+IF(getRGB1($E2150)="FFFFFF",0,3)+IF(getRGB1($F2150)="FFFFFF",0,4)</f>
        <v>4</v>
      </c>
    </row>
    <row r="2151" spans="1:7" ht="30">
      <c r="A2151" t="s">
        <v>6693</v>
      </c>
      <c r="B2151" s="376" t="s">
        <v>6626</v>
      </c>
      <c r="C2151" s="206" t="s">
        <v>6587</v>
      </c>
      <c r="D2151" s="207" t="s">
        <v>177</v>
      </c>
      <c r="E2151" s="206" t="s">
        <v>3958</v>
      </c>
      <c r="F2151" s="206" t="s">
        <v>557</v>
      </c>
      <c r="G2151">
        <f>IF(getRGB1($C2151)="FFFFFF",0,1)+IF(getRGB1($D2151)="FFFFFF",0,2)+IF(getRGB1($E2151)="FFFFFF",0,3)+IF(getRGB1($F2151)="FFFFFF",0,4)</f>
        <v>2</v>
      </c>
    </row>
    <row r="2152" spans="1:7" ht="45">
      <c r="A2152" t="s">
        <v>6693</v>
      </c>
      <c r="B2152" s="383" t="s">
        <v>6627</v>
      </c>
      <c r="C2152" s="206" t="s">
        <v>6587</v>
      </c>
      <c r="D2152" s="207" t="s">
        <v>177</v>
      </c>
      <c r="E2152" s="206" t="s">
        <v>3958</v>
      </c>
      <c r="F2152" s="206" t="s">
        <v>557</v>
      </c>
      <c r="G2152">
        <f>IF(getRGB1($C2152)="FFFFFF",0,1)+IF(getRGB1($D2152)="FFFFFF",0,2)+IF(getRGB1($E2152)="FFFFFF",0,3)+IF(getRGB1($F2152)="FFFFFF",0,4)</f>
        <v>2</v>
      </c>
    </row>
    <row r="2153" spans="1:7">
      <c r="A2153" t="s">
        <v>6693</v>
      </c>
      <c r="B2153" s="383" t="s">
        <v>6628</v>
      </c>
      <c r="C2153" s="206" t="s">
        <v>76</v>
      </c>
      <c r="D2153" s="206" t="s">
        <v>179</v>
      </c>
      <c r="E2153" s="206" t="s">
        <v>6629</v>
      </c>
      <c r="F2153" s="207" t="s">
        <v>6630</v>
      </c>
      <c r="G2153">
        <f>IF(getRGB1($C2153)="FFFFFF",0,1)+IF(getRGB1($D2153)="FFFFFF",0,2)+IF(getRGB1($E2153)="FFFFFF",0,3)+IF(getRGB1($F2153)="FFFFFF",0,4)</f>
        <v>4</v>
      </c>
    </row>
    <row r="2154" spans="1:7">
      <c r="A2154" t="s">
        <v>6693</v>
      </c>
      <c r="B2154" s="383" t="s">
        <v>6631</v>
      </c>
      <c r="C2154" s="425" t="s">
        <v>557</v>
      </c>
      <c r="D2154" s="425" t="s">
        <v>177</v>
      </c>
      <c r="E2154" s="425" t="s">
        <v>6630</v>
      </c>
      <c r="F2154" s="476" t="s">
        <v>137</v>
      </c>
      <c r="G2154">
        <f>IF(getRGB1($C2154)="FFFFFF",0,1)+IF(getRGB1($D2154)="FFFFFF",0,2)+IF(getRGB1($E2154)="FFFFFF",0,3)+IF(getRGB1($F2154)="FFFFFF",0,4)</f>
        <v>4</v>
      </c>
    </row>
    <row r="2155" spans="1:7" ht="30">
      <c r="A2155" t="s">
        <v>6693</v>
      </c>
      <c r="B2155" s="205" t="s">
        <v>6632</v>
      </c>
      <c r="C2155" s="206" t="s">
        <v>6633</v>
      </c>
      <c r="D2155" s="207" t="s">
        <v>6634</v>
      </c>
      <c r="E2155" s="206" t="s">
        <v>6635</v>
      </c>
      <c r="F2155" s="206" t="s">
        <v>6636</v>
      </c>
      <c r="G2155">
        <f>IF(getRGB1($C2155)="FFFFFF",0,1)+IF(getRGB1($D2155)="FFFFFF",0,2)+IF(getRGB1($E2155)="FFFFFF",0,3)+IF(getRGB1($F2155)="FFFFFF",0,4)</f>
        <v>2</v>
      </c>
    </row>
    <row r="2156" spans="1:7" ht="30">
      <c r="A2156" t="s">
        <v>6693</v>
      </c>
      <c r="B2156" s="422" t="s">
        <v>6637</v>
      </c>
      <c r="C2156" s="463">
        <v>1</v>
      </c>
      <c r="D2156" s="477">
        <v>0.99</v>
      </c>
      <c r="E2156" s="478">
        <v>0.995</v>
      </c>
      <c r="F2156" s="479">
        <v>0.999</v>
      </c>
      <c r="G2156">
        <f>IF(getRGB1($C2156)="FFFFFF",0,1)+IF(getRGB1($D2156)="FFFFFF",0,2)+IF(getRGB1($E2156)="FFFFFF",0,3)+IF(getRGB1($F2156)="FFFFFF",0,4)</f>
        <v>4</v>
      </c>
    </row>
    <row r="2157" spans="1:7" ht="30">
      <c r="A2157" t="s">
        <v>6693</v>
      </c>
      <c r="B2157" s="205" t="s">
        <v>6638</v>
      </c>
      <c r="C2157" s="207" t="s">
        <v>76</v>
      </c>
      <c r="D2157" s="206" t="s">
        <v>179</v>
      </c>
      <c r="E2157" s="206" t="s">
        <v>174</v>
      </c>
      <c r="F2157" s="206" t="s">
        <v>6614</v>
      </c>
      <c r="G2157">
        <f>IF(getRGB1($C2157)="FFFFFF",0,1)+IF(getRGB1($D2157)="FFFFFF",0,2)+IF(getRGB1($E2157)="FFFFFF",0,3)+IF(getRGB1($F2157)="FFFFFF",0,4)</f>
        <v>1</v>
      </c>
    </row>
    <row r="2158" spans="1:7" ht="30">
      <c r="A2158" t="s">
        <v>6693</v>
      </c>
      <c r="B2158" s="205" t="s">
        <v>6639</v>
      </c>
      <c r="C2158" s="113" t="s">
        <v>6640</v>
      </c>
      <c r="D2158" s="463" t="s">
        <v>6622</v>
      </c>
      <c r="E2158" s="207" t="s">
        <v>6641</v>
      </c>
      <c r="F2158" s="113" t="s">
        <v>6642</v>
      </c>
      <c r="G2158">
        <f>IF(getRGB1($C2158)="FFFFFF",0,1)+IF(getRGB1($D2158)="FFFFFF",0,2)+IF(getRGB1($E2158)="FFFFFF",0,3)+IF(getRGB1($F2158)="FFFFFF",0,4)</f>
        <v>3</v>
      </c>
    </row>
    <row r="2159" spans="1:7">
      <c r="A2159" t="s">
        <v>6693</v>
      </c>
      <c r="B2159" s="205" t="s">
        <v>6643</v>
      </c>
      <c r="C2159" s="113" t="s">
        <v>137</v>
      </c>
      <c r="D2159" s="463" t="s">
        <v>6614</v>
      </c>
      <c r="E2159" s="207" t="s">
        <v>6644</v>
      </c>
      <c r="F2159" s="113" t="s">
        <v>6645</v>
      </c>
      <c r="G2159">
        <f>IF(getRGB1($C2159)="FFFFFF",0,1)+IF(getRGB1($D2159)="FFFFFF",0,2)+IF(getRGB1($E2159)="FFFFFF",0,3)+IF(getRGB1($F2159)="FFFFFF",0,4)</f>
        <v>3</v>
      </c>
    </row>
  </sheetData>
  <hyperlinks>
    <hyperlink ref="C916" r:id="rId1" display="http://www.recregistryindia.com/"/>
    <hyperlink ref="D916" r:id="rId2" display="http://www.recregistryindia.in/"/>
    <hyperlink ref="E916" r:id="rId3" display="http://www.rec.com/"/>
    <hyperlink ref="F916" r:id="rId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01"/>
  <sheetViews>
    <sheetView workbookViewId="0">
      <selection sqref="A1:G1"/>
    </sheetView>
  </sheetViews>
  <sheetFormatPr defaultRowHeight="15"/>
  <cols>
    <col min="2" max="2" width="54.140625" customWidth="1"/>
    <col min="3" max="3" width="19.7109375" bestFit="1" customWidth="1"/>
    <col min="4" max="4" width="21.42578125" bestFit="1" customWidth="1"/>
    <col min="5" max="5" width="27.28515625" customWidth="1"/>
    <col min="6" max="6" width="23.7109375" customWidth="1"/>
  </cols>
  <sheetData>
    <row r="1" spans="1:7">
      <c r="A1" t="s">
        <v>0</v>
      </c>
      <c r="B1" t="s">
        <v>511</v>
      </c>
      <c r="C1" t="s">
        <v>512</v>
      </c>
      <c r="D1" t="s">
        <v>513</v>
      </c>
      <c r="E1" t="s">
        <v>514</v>
      </c>
      <c r="F1" t="s">
        <v>515</v>
      </c>
      <c r="G1" t="s">
        <v>6646</v>
      </c>
    </row>
    <row r="2" spans="1:7" ht="60">
      <c r="A2" t="s">
        <v>8525</v>
      </c>
      <c r="B2" s="653" t="s">
        <v>8718</v>
      </c>
      <c r="C2" s="360" t="s">
        <v>5393</v>
      </c>
      <c r="D2" s="361" t="s">
        <v>2516</v>
      </c>
      <c r="E2" s="653" t="s">
        <v>823</v>
      </c>
      <c r="F2" s="653" t="s">
        <v>61</v>
      </c>
      <c r="G2">
        <f>IF(getRGB1($C2)="FFFFFF",0,1)+IF(getRGB1($D2)="FFFFFF",0,2)+IF(getRGB1($E2)="FFFFFF",0,3)+IF(getRGB1($F2)="FFFFFF",0,4)</f>
        <v>1</v>
      </c>
    </row>
    <row r="3" spans="1:7" ht="30">
      <c r="A3" t="s">
        <v>8525</v>
      </c>
      <c r="B3" s="653" t="s">
        <v>8719</v>
      </c>
      <c r="C3" s="653" t="s">
        <v>823</v>
      </c>
      <c r="D3" s="653" t="s">
        <v>4341</v>
      </c>
      <c r="E3" s="653" t="s">
        <v>2516</v>
      </c>
      <c r="F3" s="360" t="s">
        <v>4342</v>
      </c>
      <c r="G3">
        <f>IF(getRGB1($C3)="FFFFFF",0,1)+IF(getRGB1($D3)="FFFFFF",0,2)+IF(getRGB1($E3)="FFFFFF",0,3)+IF(getRGB1($F3)="FFFFFF",0,4)</f>
        <v>4</v>
      </c>
    </row>
    <row r="4" spans="1:7" ht="45">
      <c r="A4" t="s">
        <v>8525</v>
      </c>
      <c r="B4" s="654" t="s">
        <v>5395</v>
      </c>
      <c r="C4" s="654" t="s">
        <v>5396</v>
      </c>
      <c r="D4" s="654" t="s">
        <v>5397</v>
      </c>
      <c r="E4" s="363" t="s">
        <v>2656</v>
      </c>
      <c r="F4" s="654" t="s">
        <v>5398</v>
      </c>
      <c r="G4">
        <f>IF(getRGB1($C4)="FFFFFF",0,1)+IF(getRGB1($D4)="FFFFFF",0,2)+IF(getRGB1($E4)="FFFFFF",0,3)+IF(getRGB1($F4)="FFFFFF",0,4)</f>
        <v>3</v>
      </c>
    </row>
    <row r="5" spans="1:7" ht="90">
      <c r="A5" t="s">
        <v>8525</v>
      </c>
      <c r="B5" s="653" t="s">
        <v>5399</v>
      </c>
      <c r="C5" s="653" t="s">
        <v>5400</v>
      </c>
      <c r="D5" s="360" t="s">
        <v>5401</v>
      </c>
      <c r="E5" s="653" t="s">
        <v>5402</v>
      </c>
      <c r="F5" s="653" t="s">
        <v>5403</v>
      </c>
      <c r="G5">
        <f>IF(getRGB1($C5)="FFFFFF",0,1)+IF(getRGB1($D5)="FFFFFF",0,2)+IF(getRGB1($E5)="FFFFFF",0,3)+IF(getRGB1($F5)="FFFFFF",0,4)</f>
        <v>2</v>
      </c>
    </row>
    <row r="6" spans="1:7" ht="120">
      <c r="A6" t="s">
        <v>8525</v>
      </c>
      <c r="B6" s="359" t="s">
        <v>5404</v>
      </c>
      <c r="C6" s="360">
        <v>0.7</v>
      </c>
      <c r="D6" s="359">
        <v>0.8</v>
      </c>
      <c r="E6" s="359">
        <v>0.6</v>
      </c>
      <c r="F6" s="359">
        <v>0.85</v>
      </c>
      <c r="G6">
        <f>IF(getRGB1($C6)="FFFFFF",0,1)+IF(getRGB1($D6)="FFFFFF",0,2)+IF(getRGB1($E6)="FFFFFF",0,3)+IF(getRGB1($F6)="FFFFFF",0,4)</f>
        <v>1</v>
      </c>
    </row>
    <row r="7" spans="1:7" ht="60">
      <c r="A7" t="s">
        <v>8525</v>
      </c>
      <c r="B7" s="359" t="s">
        <v>8684</v>
      </c>
      <c r="C7" s="359" t="b">
        <v>1</v>
      </c>
      <c r="D7" s="360" t="b">
        <v>0</v>
      </c>
      <c r="E7" s="359" t="s">
        <v>5406</v>
      </c>
      <c r="F7" s="359" t="s">
        <v>5407</v>
      </c>
      <c r="G7">
        <f>IF(getRGB1($C7)="FFFFFF",0,1)+IF(getRGB1($D7)="FFFFFF",0,2)+IF(getRGB1($E7)="FFFFFF",0,3)+IF(getRGB1($F7)="FFFFFF",0,4)</f>
        <v>2</v>
      </c>
    </row>
    <row r="8" spans="1:7" ht="60">
      <c r="A8" t="s">
        <v>8525</v>
      </c>
      <c r="B8" s="359" t="s">
        <v>5408</v>
      </c>
      <c r="C8" s="359" t="s">
        <v>74</v>
      </c>
      <c r="D8" s="359" t="s">
        <v>5409</v>
      </c>
      <c r="E8" s="359" t="s">
        <v>5410</v>
      </c>
      <c r="F8" s="360" t="s">
        <v>5411</v>
      </c>
      <c r="G8">
        <f>IF(getRGB1($C8)="FFFFFF",0,1)+IF(getRGB1($D8)="FFFFFF",0,2)+IF(getRGB1($E8)="FFFFFF",0,3)+IF(getRGB1($F8)="FFFFFF",0,4)</f>
        <v>4</v>
      </c>
    </row>
    <row r="9" spans="1:7" ht="60">
      <c r="A9" t="s">
        <v>8525</v>
      </c>
      <c r="B9" s="359" t="s">
        <v>5412</v>
      </c>
      <c r="C9" s="359" t="s">
        <v>5413</v>
      </c>
      <c r="D9" s="359" t="s">
        <v>5414</v>
      </c>
      <c r="E9" s="360" t="s">
        <v>5415</v>
      </c>
      <c r="F9" s="359" t="s">
        <v>61</v>
      </c>
      <c r="G9">
        <f>IF(getRGB1($C9)="FFFFFF",0,1)+IF(getRGB1($D9)="FFFFFF",0,2)+IF(getRGB1($E9)="FFFFFF",0,3)+IF(getRGB1($F9)="FFFFFF",0,4)</f>
        <v>3</v>
      </c>
    </row>
    <row r="10" spans="1:7" ht="45">
      <c r="A10" t="s">
        <v>8525</v>
      </c>
      <c r="B10" s="359" t="s">
        <v>5416</v>
      </c>
      <c r="C10" s="360" t="s">
        <v>5417</v>
      </c>
      <c r="D10" s="359" t="s">
        <v>5418</v>
      </c>
      <c r="E10" s="359" t="s">
        <v>5419</v>
      </c>
      <c r="F10" s="359" t="s">
        <v>5420</v>
      </c>
      <c r="G10">
        <f>IF(getRGB1($C10)="FFFFFF",0,1)+IF(getRGB1($D10)="FFFFFF",0,2)+IF(getRGB1($E10)="FFFFFF",0,3)+IF(getRGB1($F10)="FFFFFF",0,4)</f>
        <v>1</v>
      </c>
    </row>
    <row r="11" spans="1:7" ht="30">
      <c r="A11" t="s">
        <v>8525</v>
      </c>
      <c r="B11" s="359" t="s">
        <v>5421</v>
      </c>
      <c r="C11" s="359" t="s">
        <v>980</v>
      </c>
      <c r="D11" s="359" t="s">
        <v>173</v>
      </c>
      <c r="E11" s="359" t="s">
        <v>5422</v>
      </c>
      <c r="F11" s="360" t="s">
        <v>174</v>
      </c>
      <c r="G11">
        <f>IF(getRGB1($C11)="FFFFFF",0,1)+IF(getRGB1($D11)="FFFFFF",0,2)+IF(getRGB1($E11)="FFFFFF",0,3)+IF(getRGB1($F11)="FFFFFF",0,4)</f>
        <v>4</v>
      </c>
    </row>
    <row r="12" spans="1:7" ht="30">
      <c r="A12" t="s">
        <v>8525</v>
      </c>
      <c r="B12" s="362" t="s">
        <v>5423</v>
      </c>
      <c r="C12" s="362" t="s">
        <v>5424</v>
      </c>
      <c r="D12" s="362" t="s">
        <v>5425</v>
      </c>
      <c r="E12" s="362" t="s">
        <v>5426</v>
      </c>
      <c r="F12" s="362" t="s">
        <v>5427</v>
      </c>
      <c r="G12">
        <f>IF(getRGB1($C12)="FFFFFF",0,1)+IF(getRGB1($D12)="FFFFFF",0,2)+IF(getRGB1($E12)="FFFFFF",0,3)+IF(getRGB1($F12)="FFFFFF",0,4)</f>
        <v>0</v>
      </c>
    </row>
    <row r="13" spans="1:7" ht="75">
      <c r="A13" t="s">
        <v>8525</v>
      </c>
      <c r="B13" s="359" t="s">
        <v>5428</v>
      </c>
      <c r="C13" s="360" t="s">
        <v>5429</v>
      </c>
      <c r="D13" s="359" t="s">
        <v>4952</v>
      </c>
      <c r="E13" s="359" t="s">
        <v>4953</v>
      </c>
      <c r="F13" s="359" t="s">
        <v>5430</v>
      </c>
      <c r="G13">
        <f>IF(getRGB1($C13)="FFFFFF",0,1)+IF(getRGB1($D13)="FFFFFF",0,2)+IF(getRGB1($E13)="FFFFFF",0,3)+IF(getRGB1($F13)="FFFFFF",0,4)</f>
        <v>1</v>
      </c>
    </row>
    <row r="14" spans="1:7" ht="30">
      <c r="A14" t="s">
        <v>8525</v>
      </c>
      <c r="B14" s="359" t="s">
        <v>5431</v>
      </c>
      <c r="C14" s="359" t="s">
        <v>5432</v>
      </c>
      <c r="D14" s="359" t="s">
        <v>5433</v>
      </c>
      <c r="E14" s="359" t="s">
        <v>5434</v>
      </c>
      <c r="F14" s="360" t="s">
        <v>5435</v>
      </c>
      <c r="G14">
        <f>IF(getRGB1($C14)="FFFFFF",0,1)+IF(getRGB1($D14)="FFFFFF",0,2)+IF(getRGB1($E14)="FFFFFF",0,3)+IF(getRGB1($F14)="FFFFFF",0,4)</f>
        <v>4</v>
      </c>
    </row>
    <row r="15" spans="1:7" ht="45">
      <c r="A15" t="s">
        <v>8525</v>
      </c>
      <c r="B15" s="359" t="s">
        <v>5436</v>
      </c>
      <c r="C15" s="359" t="s">
        <v>5437</v>
      </c>
      <c r="D15" s="359" t="s">
        <v>5438</v>
      </c>
      <c r="E15" s="359" t="s">
        <v>5439</v>
      </c>
      <c r="F15" s="360" t="s">
        <v>5440</v>
      </c>
      <c r="G15">
        <f>IF(getRGB1($C15)="FFFFFF",0,1)+IF(getRGB1($D15)="FFFFFF",0,2)+IF(getRGB1($E15)="FFFFFF",0,3)+IF(getRGB1($F15)="FFFFFF",0,4)</f>
        <v>4</v>
      </c>
    </row>
    <row r="16" spans="1:7" ht="25.5">
      <c r="A16" t="s">
        <v>8526</v>
      </c>
      <c r="B16" s="97" t="s">
        <v>1825</v>
      </c>
      <c r="C16" s="98" t="s">
        <v>1826</v>
      </c>
      <c r="D16" s="99" t="s">
        <v>1827</v>
      </c>
      <c r="E16" s="100" t="s">
        <v>1828</v>
      </c>
      <c r="F16" s="100" t="s">
        <v>1829</v>
      </c>
      <c r="G16">
        <f>IF(getRGB1($C16)="FFFFFF",0,1)+IF(getRGB1($D16)="FFFFFF",0,2)+IF(getRGB1($E16)="FFFFFF",0,3)+IF(getRGB1($F16)="FFFFFF",0,4)</f>
        <v>2</v>
      </c>
    </row>
    <row r="17" spans="1:7" ht="38.25">
      <c r="A17" t="s">
        <v>8526</v>
      </c>
      <c r="B17" s="101" t="s">
        <v>1830</v>
      </c>
      <c r="C17" s="98" t="s">
        <v>1831</v>
      </c>
      <c r="D17" s="102" t="s">
        <v>1832</v>
      </c>
      <c r="E17" s="98" t="s">
        <v>1833</v>
      </c>
      <c r="F17" s="98" t="s">
        <v>1834</v>
      </c>
      <c r="G17">
        <f>IF(getRGB1($C17)="FFFFFF",0,1)+IF(getRGB1($D17)="FFFFFF",0,2)+IF(getRGB1($E17)="FFFFFF",0,3)+IF(getRGB1($F17)="FFFFFF",0,4)</f>
        <v>2</v>
      </c>
    </row>
    <row r="18" spans="1:7" ht="25.5">
      <c r="A18" t="s">
        <v>8526</v>
      </c>
      <c r="B18" s="101" t="s">
        <v>1835</v>
      </c>
      <c r="C18" s="100" t="s">
        <v>1836</v>
      </c>
      <c r="D18" s="99" t="s">
        <v>1837</v>
      </c>
      <c r="E18" s="100" t="s">
        <v>1838</v>
      </c>
      <c r="F18" s="100" t="s">
        <v>1839</v>
      </c>
      <c r="G18">
        <f>IF(getRGB1($C18)="FFFFFF",0,1)+IF(getRGB1($D18)="FFFFFF",0,2)+IF(getRGB1($E18)="FFFFFF",0,3)+IF(getRGB1($F18)="FFFFFF",0,4)</f>
        <v>2</v>
      </c>
    </row>
    <row r="19" spans="1:7">
      <c r="A19" t="s">
        <v>8526</v>
      </c>
      <c r="B19" s="101" t="s">
        <v>1840</v>
      </c>
      <c r="C19" s="99" t="s">
        <v>1841</v>
      </c>
      <c r="D19" s="100" t="s">
        <v>1842</v>
      </c>
      <c r="E19" s="100" t="s">
        <v>1843</v>
      </c>
      <c r="F19" s="100" t="s">
        <v>1844</v>
      </c>
      <c r="G19">
        <f>IF(getRGB1($C19)="FFFFFF",0,1)+IF(getRGB1($D19)="FFFFFF",0,2)+IF(getRGB1($E19)="FFFFFF",0,3)+IF(getRGB1($F19)="FFFFFF",0,4)</f>
        <v>1</v>
      </c>
    </row>
    <row r="20" spans="1:7" ht="25.5">
      <c r="A20" t="s">
        <v>8526</v>
      </c>
      <c r="B20" s="101" t="s">
        <v>1845</v>
      </c>
      <c r="C20" s="100" t="s">
        <v>1846</v>
      </c>
      <c r="D20" s="99" t="s">
        <v>1847</v>
      </c>
      <c r="E20" s="100" t="s">
        <v>1848</v>
      </c>
      <c r="F20" s="100" t="s">
        <v>1849</v>
      </c>
      <c r="G20">
        <f>IF(getRGB1($C20)="FFFFFF",0,1)+IF(getRGB1($D20)="FFFFFF",0,2)+IF(getRGB1($E20)="FFFFFF",0,3)+IF(getRGB1($F20)="FFFFFF",0,4)</f>
        <v>2</v>
      </c>
    </row>
    <row r="21" spans="1:7" ht="25.5">
      <c r="A21" t="s">
        <v>8526</v>
      </c>
      <c r="B21" s="103" t="s">
        <v>1850</v>
      </c>
      <c r="C21" s="99" t="s">
        <v>1851</v>
      </c>
      <c r="D21" s="100" t="s">
        <v>1852</v>
      </c>
      <c r="E21" s="100" t="s">
        <v>1853</v>
      </c>
      <c r="F21" s="100" t="s">
        <v>1854</v>
      </c>
      <c r="G21">
        <f>IF(getRGB1($C21)="FFFFFF",0,1)+IF(getRGB1($D21)="FFFFFF",0,2)+IF(getRGB1($E21)="FFFFFF",0,3)+IF(getRGB1($F21)="FFFFFF",0,4)</f>
        <v>1</v>
      </c>
    </row>
    <row r="22" spans="1:7" ht="25.5">
      <c r="A22" t="s">
        <v>8526</v>
      </c>
      <c r="B22" s="104" t="s">
        <v>1855</v>
      </c>
      <c r="C22" s="105" t="s">
        <v>1856</v>
      </c>
      <c r="D22" s="105" t="s">
        <v>1857</v>
      </c>
      <c r="E22" s="105" t="s">
        <v>1858</v>
      </c>
      <c r="F22" s="99" t="s">
        <v>1859</v>
      </c>
      <c r="G22">
        <f>IF(getRGB1($C22)="FFFFFF",0,1)+IF(getRGB1($D22)="FFFFFF",0,2)+IF(getRGB1($E22)="FFFFFF",0,3)+IF(getRGB1($F22)="FFFFFF",0,4)</f>
        <v>4</v>
      </c>
    </row>
    <row r="23" spans="1:7" ht="63.75">
      <c r="A23" t="s">
        <v>8526</v>
      </c>
      <c r="B23" s="101" t="s">
        <v>1860</v>
      </c>
      <c r="C23" s="99" t="s">
        <v>1861</v>
      </c>
      <c r="D23" s="100" t="s">
        <v>1862</v>
      </c>
      <c r="E23" s="100" t="s">
        <v>1863</v>
      </c>
      <c r="F23" s="100" t="s">
        <v>1864</v>
      </c>
      <c r="G23">
        <f>IF(getRGB1($C23)="FFFFFF",0,1)+IF(getRGB1($D23)="FFFFFF",0,2)+IF(getRGB1($E23)="FFFFFF",0,3)+IF(getRGB1($F23)="FFFFFF",0,4)</f>
        <v>1</v>
      </c>
    </row>
    <row r="24" spans="1:7" ht="51">
      <c r="A24" t="s">
        <v>8526</v>
      </c>
      <c r="B24" s="97" t="s">
        <v>1865</v>
      </c>
      <c r="C24" s="99" t="s">
        <v>1866</v>
      </c>
      <c r="D24" s="100" t="s">
        <v>1867</v>
      </c>
      <c r="E24" s="100" t="s">
        <v>1868</v>
      </c>
      <c r="F24" s="100" t="s">
        <v>1869</v>
      </c>
      <c r="G24">
        <f>IF(getRGB1($C24)="FFFFFF",0,1)+IF(getRGB1($D24)="FFFFFF",0,2)+IF(getRGB1($E24)="FFFFFF",0,3)+IF(getRGB1($F24)="FFFFFF",0,4)</f>
        <v>1</v>
      </c>
    </row>
    <row r="25" spans="1:7" ht="90">
      <c r="A25" t="s">
        <v>8526</v>
      </c>
      <c r="B25" s="106" t="s">
        <v>1870</v>
      </c>
      <c r="C25" s="107" t="s">
        <v>1871</v>
      </c>
      <c r="D25" s="106" t="s">
        <v>1872</v>
      </c>
      <c r="E25" s="106" t="s">
        <v>1873</v>
      </c>
      <c r="F25" s="108" t="s">
        <v>61</v>
      </c>
      <c r="G25">
        <f>IF(getRGB1($C25)="FFFFFF",0,1)+IF(getRGB1($D25)="FFFFFF",0,2)+IF(getRGB1($E25)="FFFFFF",0,3)+IF(getRGB1($F25)="FFFFFF",0,4)</f>
        <v>1</v>
      </c>
    </row>
    <row r="26" spans="1:7" ht="60">
      <c r="A26" t="s">
        <v>8526</v>
      </c>
      <c r="B26" s="106" t="s">
        <v>1874</v>
      </c>
      <c r="C26" s="109" t="s">
        <v>1875</v>
      </c>
      <c r="D26" s="110" t="s">
        <v>1876</v>
      </c>
      <c r="E26" s="110" t="s">
        <v>1877</v>
      </c>
      <c r="F26" s="107" t="s">
        <v>1869</v>
      </c>
      <c r="G26">
        <f>IF(getRGB1($C26)="FFFFFF",0,1)+IF(getRGB1($D26)="FFFFFF",0,2)+IF(getRGB1($E26)="FFFFFF",0,3)+IF(getRGB1($F26)="FFFFFF",0,4)</f>
        <v>4</v>
      </c>
    </row>
    <row r="27" spans="1:7" ht="60">
      <c r="A27" t="s">
        <v>8526</v>
      </c>
      <c r="B27" s="106" t="s">
        <v>1878</v>
      </c>
      <c r="C27" s="107" t="s">
        <v>1879</v>
      </c>
      <c r="D27" s="109" t="s">
        <v>1880</v>
      </c>
      <c r="E27" s="109" t="s">
        <v>1881</v>
      </c>
      <c r="F27" s="108" t="s">
        <v>61</v>
      </c>
      <c r="G27">
        <f>IF(getRGB1($C27)="FFFFFF",0,1)+IF(getRGB1($D27)="FFFFFF",0,2)+IF(getRGB1($E27)="FFFFFF",0,3)+IF(getRGB1($F27)="FFFFFF",0,4)</f>
        <v>1</v>
      </c>
    </row>
    <row r="28" spans="1:7" ht="30">
      <c r="A28" t="s">
        <v>8526</v>
      </c>
      <c r="B28" s="106" t="s">
        <v>1882</v>
      </c>
      <c r="C28" s="107" t="s">
        <v>1883</v>
      </c>
      <c r="D28" s="109" t="s">
        <v>1884</v>
      </c>
      <c r="E28" s="109" t="s">
        <v>1885</v>
      </c>
      <c r="F28" s="108" t="s">
        <v>61</v>
      </c>
      <c r="G28">
        <f>IF(getRGB1($C28)="FFFFFF",0,1)+IF(getRGB1($D28)="FFFFFF",0,2)+IF(getRGB1($E28)="FFFFFF",0,3)+IF(getRGB1($F28)="FFFFFF",0,4)</f>
        <v>1</v>
      </c>
    </row>
    <row r="29" spans="1:7" ht="30">
      <c r="A29" t="s">
        <v>8526</v>
      </c>
      <c r="B29" s="106" t="s">
        <v>1886</v>
      </c>
      <c r="C29" s="106" t="s">
        <v>1887</v>
      </c>
      <c r="D29" s="111" t="s">
        <v>1888</v>
      </c>
      <c r="E29" s="108" t="s">
        <v>1889</v>
      </c>
      <c r="F29" s="108" t="s">
        <v>1502</v>
      </c>
      <c r="G29">
        <f>IF(getRGB1($C29)="FFFFFF",0,1)+IF(getRGB1($D29)="FFFFFF",0,2)+IF(getRGB1($E29)="FFFFFF",0,3)+IF(getRGB1($F29)="FFFFFF",0,4)</f>
        <v>2</v>
      </c>
    </row>
    <row r="30" spans="1:7" ht="90">
      <c r="A30" t="s">
        <v>8526</v>
      </c>
      <c r="B30" s="106" t="s">
        <v>1890</v>
      </c>
      <c r="C30" s="108" t="s">
        <v>1891</v>
      </c>
      <c r="D30" s="111" t="s">
        <v>1892</v>
      </c>
      <c r="E30" s="108" t="s">
        <v>1891</v>
      </c>
      <c r="F30" s="108" t="s">
        <v>1893</v>
      </c>
      <c r="G30">
        <f>IF(getRGB1($C30)="FFFFFF",0,1)+IF(getRGB1($D30)="FFFFFF",0,2)+IF(getRGB1($E30)="FFFFFF",0,3)+IF(getRGB1($F30)="FFFFFF",0,4)</f>
        <v>2</v>
      </c>
    </row>
    <row r="31" spans="1:7" ht="26.25">
      <c r="A31" t="s">
        <v>8526</v>
      </c>
      <c r="B31" s="106" t="s">
        <v>1894</v>
      </c>
      <c r="C31" s="108" t="s">
        <v>174</v>
      </c>
      <c r="D31" s="108" t="s">
        <v>76</v>
      </c>
      <c r="E31" s="112" t="s">
        <v>1895</v>
      </c>
      <c r="F31" s="108" t="s">
        <v>74</v>
      </c>
      <c r="G31">
        <f>IF(getRGB1($C31)="FFFFFF",0,1)+IF(getRGB1($D31)="FFFFFF",0,2)+IF(getRGB1($E31)="FFFFFF",0,3)+IF(getRGB1($F31)="FFFFFF",0,4)</f>
        <v>3</v>
      </c>
    </row>
    <row r="32" spans="1:7" ht="60">
      <c r="A32" t="s">
        <v>8526</v>
      </c>
      <c r="B32" s="113" t="s">
        <v>1896</v>
      </c>
      <c r="C32" s="113" t="s">
        <v>1897</v>
      </c>
      <c r="D32" s="113" t="s">
        <v>1898</v>
      </c>
      <c r="E32" s="114"/>
      <c r="F32" s="115" t="s">
        <v>1899</v>
      </c>
      <c r="G32">
        <f>IF(getRGB1($C32)="FFFFFF",0,1)+IF(getRGB1($D32)="FFFFFF",0,2)+IF(getRGB1($E32)="FFFFFF",0,3)+IF(getRGB1($F32)="FFFFFF",0,4)</f>
        <v>4</v>
      </c>
    </row>
    <row r="33" spans="1:7" ht="105">
      <c r="A33" t="s">
        <v>8526</v>
      </c>
      <c r="B33" s="113" t="s">
        <v>1900</v>
      </c>
      <c r="C33" s="113" t="s">
        <v>1901</v>
      </c>
      <c r="D33" s="113" t="s">
        <v>1902</v>
      </c>
      <c r="E33" s="113" t="s">
        <v>1903</v>
      </c>
      <c r="F33" s="115" t="s">
        <v>1869</v>
      </c>
      <c r="G33">
        <f>IF(getRGB1($C33)="FFFFFF",0,1)+IF(getRGB1($D33)="FFFFFF",0,2)+IF(getRGB1($E33)="FFFFFF",0,3)+IF(getRGB1($F33)="FFFFFF",0,4)</f>
        <v>4</v>
      </c>
    </row>
    <row r="34" spans="1:7">
      <c r="A34" t="s">
        <v>8526</v>
      </c>
      <c r="B34" s="106" t="s">
        <v>1904</v>
      </c>
      <c r="C34" s="108" t="s">
        <v>1905</v>
      </c>
      <c r="D34" s="108" t="s">
        <v>1906</v>
      </c>
      <c r="E34" s="111" t="s">
        <v>1907</v>
      </c>
      <c r="F34" s="108" t="s">
        <v>61</v>
      </c>
      <c r="G34">
        <f>IF(getRGB1($C34)="FFFFFF",0,1)+IF(getRGB1($D34)="FFFFFF",0,2)+IF(getRGB1($E34)="FFFFFF",0,3)+IF(getRGB1($F34)="FFFFFF",0,4)</f>
        <v>3</v>
      </c>
    </row>
    <row r="35" spans="1:7" ht="60">
      <c r="A35" t="s">
        <v>8526</v>
      </c>
      <c r="B35" s="106" t="s">
        <v>1908</v>
      </c>
      <c r="C35" s="106" t="s">
        <v>1909</v>
      </c>
      <c r="D35" s="107" t="s">
        <v>1910</v>
      </c>
      <c r="E35" s="106" t="s">
        <v>1911</v>
      </c>
      <c r="F35" s="106" t="s">
        <v>1912</v>
      </c>
      <c r="G35">
        <f>IF(getRGB1($C35)="FFFFFF",0,1)+IF(getRGB1($D35)="FFFFFF",0,2)+IF(getRGB1($E35)="FFFFFF",0,3)+IF(getRGB1($F35)="FFFFFF",0,4)</f>
        <v>2</v>
      </c>
    </row>
    <row r="36" spans="1:7">
      <c r="A36" t="s">
        <v>8526</v>
      </c>
      <c r="B36" s="106" t="s">
        <v>1913</v>
      </c>
      <c r="C36" s="106" t="s">
        <v>1914</v>
      </c>
      <c r="D36" s="106" t="s">
        <v>1915</v>
      </c>
      <c r="E36" s="107" t="s">
        <v>1916</v>
      </c>
      <c r="F36" s="106" t="s">
        <v>1917</v>
      </c>
      <c r="G36">
        <f>IF(getRGB1($C36)="FFFFFF",0,1)+IF(getRGB1($D36)="FFFFFF",0,2)+IF(getRGB1($E36)="FFFFFF",0,3)+IF(getRGB1($F36)="FFFFFF",0,4)</f>
        <v>3</v>
      </c>
    </row>
    <row r="37" spans="1:7" ht="25.5">
      <c r="A37" t="s">
        <v>8527</v>
      </c>
      <c r="B37" s="54" t="s">
        <v>979</v>
      </c>
      <c r="C37" s="55" t="s">
        <v>74</v>
      </c>
      <c r="D37" s="55" t="s">
        <v>980</v>
      </c>
      <c r="E37" s="55" t="s">
        <v>137</v>
      </c>
      <c r="F37" s="56" t="s">
        <v>8720</v>
      </c>
      <c r="G37">
        <f>IF(getRGB1($C37)="FFFFFF",0,1)+IF(getRGB1($D37)="FFFFFF",0,2)+IF(getRGB1($E37)="FFFFFF",0,3)+IF(getRGB1($F37)="FFFFFF",0,4)</f>
        <v>4</v>
      </c>
    </row>
    <row r="38" spans="1:7" ht="38.25">
      <c r="A38" t="s">
        <v>8527</v>
      </c>
      <c r="B38" s="57" t="s">
        <v>8721</v>
      </c>
      <c r="C38" s="55" t="s">
        <v>983</v>
      </c>
      <c r="D38" s="55" t="s">
        <v>984</v>
      </c>
      <c r="E38" s="56" t="s">
        <v>985</v>
      </c>
      <c r="F38" s="55" t="s">
        <v>986</v>
      </c>
      <c r="G38">
        <f>IF(getRGB1($C38)="FFFFFF",0,1)+IF(getRGB1($D38)="FFFFFF",0,2)+IF(getRGB1($E38)="FFFFFF",0,3)+IF(getRGB1($F38)="FFFFFF",0,4)</f>
        <v>3</v>
      </c>
    </row>
    <row r="39" spans="1:7" ht="25.5">
      <c r="A39" t="s">
        <v>8527</v>
      </c>
      <c r="B39" s="57" t="s">
        <v>987</v>
      </c>
      <c r="C39" s="43" t="s">
        <v>988</v>
      </c>
      <c r="D39" s="44" t="s">
        <v>989</v>
      </c>
      <c r="E39" s="44" t="s">
        <v>990</v>
      </c>
      <c r="F39" s="55" t="s">
        <v>986</v>
      </c>
      <c r="G39">
        <f>IF(getRGB1($C39)="FFFFFF",0,1)+IF(getRGB1($D39)="FFFFFF",0,2)+IF(getRGB1($E39)="FFFFFF",0,3)+IF(getRGB1($F39)="FFFFFF",0,4)</f>
        <v>1</v>
      </c>
    </row>
    <row r="40" spans="1:7" ht="25.5">
      <c r="A40" t="s">
        <v>8527</v>
      </c>
      <c r="B40" s="57" t="s">
        <v>991</v>
      </c>
      <c r="C40" s="58" t="s">
        <v>992</v>
      </c>
      <c r="D40" s="58" t="s">
        <v>993</v>
      </c>
      <c r="E40" s="58" t="s">
        <v>994</v>
      </c>
      <c r="F40" s="59" t="s">
        <v>995</v>
      </c>
      <c r="G40">
        <f>IF(getRGB1($C40)="FFFFFF",0,1)+IF(getRGB1($D40)="FFFFFF",0,2)+IF(getRGB1($E40)="FFFFFF",0,3)+IF(getRGB1($F40)="FFFFFF",0,4)</f>
        <v>4</v>
      </c>
    </row>
    <row r="41" spans="1:7" ht="38.25">
      <c r="A41" t="s">
        <v>8527</v>
      </c>
      <c r="B41" s="60" t="s">
        <v>996</v>
      </c>
      <c r="C41" s="44" t="s">
        <v>997</v>
      </c>
      <c r="D41" s="44" t="s">
        <v>998</v>
      </c>
      <c r="E41" s="44" t="s">
        <v>999</v>
      </c>
      <c r="F41" s="43" t="s">
        <v>1000</v>
      </c>
      <c r="G41">
        <f>IF(getRGB1($C41)="FFFFFF",0,1)+IF(getRGB1($D41)="FFFFFF",0,2)+IF(getRGB1($E41)="FFFFFF",0,3)+IF(getRGB1($F41)="FFFFFF",0,4)</f>
        <v>4</v>
      </c>
    </row>
    <row r="42" spans="1:7" ht="38.25">
      <c r="A42" t="s">
        <v>8527</v>
      </c>
      <c r="B42" s="57" t="s">
        <v>1001</v>
      </c>
      <c r="C42" s="44" t="s">
        <v>233</v>
      </c>
      <c r="D42" s="44" t="s">
        <v>1002</v>
      </c>
      <c r="E42" s="43" t="s">
        <v>1003</v>
      </c>
      <c r="F42" s="44" t="s">
        <v>1004</v>
      </c>
      <c r="G42">
        <f>IF(getRGB1($C42)="FFFFFF",0,1)+IF(getRGB1($D42)="FFFFFF",0,2)+IF(getRGB1($E42)="FFFFFF",0,3)+IF(getRGB1($F42)="FFFFFF",0,4)</f>
        <v>3</v>
      </c>
    </row>
    <row r="43" spans="1:7" ht="76.5">
      <c r="A43" t="s">
        <v>8527</v>
      </c>
      <c r="B43" s="57" t="s">
        <v>1005</v>
      </c>
      <c r="C43" s="61" t="s">
        <v>1006</v>
      </c>
      <c r="D43" s="61" t="s">
        <v>1007</v>
      </c>
      <c r="E43" s="61" t="s">
        <v>1008</v>
      </c>
      <c r="F43" s="43" t="s">
        <v>1009</v>
      </c>
      <c r="G43">
        <f>IF(getRGB1($C43)="FFFFFF",0,1)+IF(getRGB1($D43)="FFFFFF",0,2)+IF(getRGB1($E43)="FFFFFF",0,3)+IF(getRGB1($F43)="FFFFFF",0,4)</f>
        <v>4</v>
      </c>
    </row>
    <row r="44" spans="1:7" ht="76.5">
      <c r="A44" t="s">
        <v>8527</v>
      </c>
      <c r="B44" s="57" t="s">
        <v>8722</v>
      </c>
      <c r="C44" s="44" t="s">
        <v>1011</v>
      </c>
      <c r="D44" s="44" t="s">
        <v>1012</v>
      </c>
      <c r="E44" s="43" t="s">
        <v>1013</v>
      </c>
      <c r="F44" s="44" t="s">
        <v>1014</v>
      </c>
      <c r="G44">
        <f>IF(getRGB1($C44)="FFFFFF",0,1)+IF(getRGB1($D44)="FFFFFF",0,2)+IF(getRGB1($E44)="FFFFFF",0,3)+IF(getRGB1($F44)="FFFFFF",0,4)</f>
        <v>3</v>
      </c>
    </row>
    <row r="45" spans="1:7" ht="38.25">
      <c r="A45" t="s">
        <v>8527</v>
      </c>
      <c r="B45" s="57" t="s">
        <v>1015</v>
      </c>
      <c r="C45" s="44" t="s">
        <v>1016</v>
      </c>
      <c r="D45" s="43" t="s">
        <v>1017</v>
      </c>
      <c r="E45" s="44" t="s">
        <v>1018</v>
      </c>
      <c r="F45" s="44" t="s">
        <v>1019</v>
      </c>
      <c r="G45">
        <f>IF(getRGB1($C45)="FFFFFF",0,1)+IF(getRGB1($D45)="FFFFFF",0,2)+IF(getRGB1($E45)="FFFFFF",0,3)+IF(getRGB1($F45)="FFFFFF",0,4)</f>
        <v>2</v>
      </c>
    </row>
    <row r="46" spans="1:7" ht="25.5">
      <c r="A46" t="s">
        <v>8527</v>
      </c>
      <c r="B46" s="57" t="s">
        <v>1020</v>
      </c>
      <c r="C46" s="44" t="s">
        <v>1021</v>
      </c>
      <c r="D46" s="43" t="s">
        <v>1022</v>
      </c>
      <c r="E46" s="44" t="s">
        <v>1023</v>
      </c>
      <c r="F46" s="44" t="s">
        <v>61</v>
      </c>
      <c r="G46">
        <f>IF(getRGB1($C46)="FFFFFF",0,1)+IF(getRGB1($D46)="FFFFFF",0,2)+IF(getRGB1($E46)="FFFFFF",0,3)+IF(getRGB1($F46)="FFFFFF",0,4)</f>
        <v>2</v>
      </c>
    </row>
    <row r="47" spans="1:7">
      <c r="A47" t="s">
        <v>8527</v>
      </c>
      <c r="B47" s="57" t="s">
        <v>1024</v>
      </c>
      <c r="C47" s="44" t="s">
        <v>1025</v>
      </c>
      <c r="D47" s="44" t="s">
        <v>1026</v>
      </c>
      <c r="E47" s="44" t="s">
        <v>1027</v>
      </c>
      <c r="F47" s="43" t="s">
        <v>1000</v>
      </c>
      <c r="G47">
        <f>IF(getRGB1($C47)="FFFFFF",0,1)+IF(getRGB1($D47)="FFFFFF",0,2)+IF(getRGB1($E47)="FFFFFF",0,3)+IF(getRGB1($F47)="FFFFFF",0,4)</f>
        <v>4</v>
      </c>
    </row>
    <row r="48" spans="1:7" ht="25.5">
      <c r="A48" t="s">
        <v>8527</v>
      </c>
      <c r="B48" s="57" t="s">
        <v>1028</v>
      </c>
      <c r="C48" s="44" t="s">
        <v>1029</v>
      </c>
      <c r="D48" s="44" t="s">
        <v>1030</v>
      </c>
      <c r="E48" s="44" t="s">
        <v>1031</v>
      </c>
      <c r="F48" s="43" t="s">
        <v>1000</v>
      </c>
      <c r="G48">
        <f>IF(getRGB1($C48)="FFFFFF",0,1)+IF(getRGB1($D48)="FFFFFF",0,2)+IF(getRGB1($E48)="FFFFFF",0,3)+IF(getRGB1($F48)="FFFFFF",0,4)</f>
        <v>4</v>
      </c>
    </row>
    <row r="49" spans="1:7" ht="25.5">
      <c r="A49" t="s">
        <v>8527</v>
      </c>
      <c r="B49" s="57" t="s">
        <v>1032</v>
      </c>
      <c r="C49" s="44" t="s">
        <v>1033</v>
      </c>
      <c r="D49" s="43" t="s">
        <v>1034</v>
      </c>
      <c r="E49" s="44" t="s">
        <v>1035</v>
      </c>
      <c r="F49" s="44" t="s">
        <v>1036</v>
      </c>
      <c r="G49">
        <f>IF(getRGB1($C49)="FFFFFF",0,1)+IF(getRGB1($D49)="FFFFFF",0,2)+IF(getRGB1($E49)="FFFFFF",0,3)+IF(getRGB1($F49)="FFFFFF",0,4)</f>
        <v>2</v>
      </c>
    </row>
    <row r="50" spans="1:7" ht="25.5">
      <c r="A50" t="s">
        <v>8527</v>
      </c>
      <c r="B50" s="57" t="s">
        <v>1037</v>
      </c>
      <c r="C50" s="44" t="s">
        <v>1038</v>
      </c>
      <c r="D50" s="44" t="s">
        <v>1039</v>
      </c>
      <c r="E50" s="43" t="s">
        <v>1040</v>
      </c>
      <c r="F50" s="44" t="s">
        <v>1041</v>
      </c>
      <c r="G50">
        <f>IF(getRGB1($C50)="FFFFFF",0,1)+IF(getRGB1($D50)="FFFFFF",0,2)+IF(getRGB1($E50)="FFFFFF",0,3)+IF(getRGB1($F50)="FFFFFF",0,4)</f>
        <v>3</v>
      </c>
    </row>
    <row r="51" spans="1:7" ht="63.75">
      <c r="A51" t="s">
        <v>8527</v>
      </c>
      <c r="B51" s="60" t="s">
        <v>8723</v>
      </c>
      <c r="C51" s="44" t="s">
        <v>1002</v>
      </c>
      <c r="D51" s="43" t="s">
        <v>1013</v>
      </c>
      <c r="E51" s="44" t="s">
        <v>1043</v>
      </c>
      <c r="F51" s="44" t="s">
        <v>1044</v>
      </c>
      <c r="G51">
        <f>IF(getRGB1($C51)="FFFFFF",0,1)+IF(getRGB1($D51)="FFFFFF",0,2)+IF(getRGB1($E51)="FFFFFF",0,3)+IF(getRGB1($F51)="FFFFFF",0,4)</f>
        <v>2</v>
      </c>
    </row>
    <row r="52" spans="1:7" ht="25.5">
      <c r="A52" t="s">
        <v>8527</v>
      </c>
      <c r="B52" s="57" t="s">
        <v>1045</v>
      </c>
      <c r="C52" s="44" t="s">
        <v>1046</v>
      </c>
      <c r="D52" s="58" t="s">
        <v>1047</v>
      </c>
      <c r="E52" s="43" t="s">
        <v>1048</v>
      </c>
      <c r="F52" s="44" t="s">
        <v>1049</v>
      </c>
      <c r="G52">
        <f>IF(getRGB1($C52)="FFFFFF",0,1)+IF(getRGB1($D52)="FFFFFF",0,2)+IF(getRGB1($E52)="FFFFFF",0,3)+IF(getRGB1($F52)="FFFFFF",0,4)</f>
        <v>3</v>
      </c>
    </row>
    <row r="53" spans="1:7" ht="38.25">
      <c r="A53" t="s">
        <v>8527</v>
      </c>
      <c r="B53" s="60" t="s">
        <v>1050</v>
      </c>
      <c r="C53" s="44" t="s">
        <v>1051</v>
      </c>
      <c r="D53" s="58" t="s">
        <v>1052</v>
      </c>
      <c r="E53" s="44" t="s">
        <v>1053</v>
      </c>
      <c r="F53" s="43" t="s">
        <v>1054</v>
      </c>
      <c r="G53">
        <f>IF(getRGB1($C53)="FFFFFF",0,1)+IF(getRGB1($D53)="FFFFFF",0,2)+IF(getRGB1($E53)="FFFFFF",0,3)+IF(getRGB1($F53)="FFFFFF",0,4)</f>
        <v>4</v>
      </c>
    </row>
    <row r="54" spans="1:7" ht="51">
      <c r="A54" t="s">
        <v>8527</v>
      </c>
      <c r="B54" s="57" t="s">
        <v>1055</v>
      </c>
      <c r="C54" s="44" t="s">
        <v>1052</v>
      </c>
      <c r="D54" s="44" t="s">
        <v>1056</v>
      </c>
      <c r="E54" s="43" t="s">
        <v>1011</v>
      </c>
      <c r="F54" s="44" t="s">
        <v>1057</v>
      </c>
      <c r="G54">
        <f>IF(getRGB1($C54)="FFFFFF",0,1)+IF(getRGB1($D54)="FFFFFF",0,2)+IF(getRGB1($E54)="FFFFFF",0,3)+IF(getRGB1($F54)="FFFFFF",0,4)</f>
        <v>3</v>
      </c>
    </row>
    <row r="55" spans="1:7">
      <c r="A55" t="s">
        <v>8527</v>
      </c>
      <c r="B55" s="57" t="s">
        <v>1058</v>
      </c>
      <c r="C55" s="44" t="s">
        <v>980</v>
      </c>
      <c r="D55" s="44" t="s">
        <v>174</v>
      </c>
      <c r="E55" s="44" t="s">
        <v>74</v>
      </c>
      <c r="F55" s="43" t="s">
        <v>1059</v>
      </c>
      <c r="G55">
        <f>IF(getRGB1($C55)="FFFFFF",0,1)+IF(getRGB1($D55)="FFFFFF",0,2)+IF(getRGB1($E55)="FFFFFF",0,3)+IF(getRGB1($F55)="FFFFFF",0,4)</f>
        <v>4</v>
      </c>
    </row>
    <row r="56" spans="1:7">
      <c r="A56" t="s">
        <v>8527</v>
      </c>
      <c r="B56" s="57" t="s">
        <v>1060</v>
      </c>
      <c r="C56" s="44" t="s">
        <v>74</v>
      </c>
      <c r="D56" s="44" t="s">
        <v>1059</v>
      </c>
      <c r="E56" s="44" t="s">
        <v>137</v>
      </c>
      <c r="F56" s="43" t="s">
        <v>174</v>
      </c>
      <c r="G56">
        <f>IF(getRGB1($C56)="FFFFFF",0,1)+IF(getRGB1($D56)="FFFFFF",0,2)+IF(getRGB1($E56)="FFFFFF",0,3)+IF(getRGB1($F56)="FFFFFF",0,4)</f>
        <v>4</v>
      </c>
    </row>
    <row r="57" spans="1:7" ht="38.25">
      <c r="A57" t="s">
        <v>8527</v>
      </c>
      <c r="B57" s="57" t="s">
        <v>1061</v>
      </c>
      <c r="C57" s="62" t="s">
        <v>1062</v>
      </c>
      <c r="D57" s="62" t="s">
        <v>1063</v>
      </c>
      <c r="E57" s="63" t="s">
        <v>1064</v>
      </c>
      <c r="F57" s="64" t="s">
        <v>1065</v>
      </c>
      <c r="G57">
        <f>IF(getRGB1($C57)="FFFFFF",0,1)+IF(getRGB1($D57)="FFFFFF",0,2)+IF(getRGB1($E57)="FFFFFF",0,3)+IF(getRGB1($F57)="FFFFFF",0,4)</f>
        <v>3</v>
      </c>
    </row>
    <row r="58" spans="1:7" ht="25.5">
      <c r="A58" t="s">
        <v>8527</v>
      </c>
      <c r="B58" s="57" t="s">
        <v>8724</v>
      </c>
      <c r="C58" s="55">
        <v>0.1</v>
      </c>
      <c r="D58" s="55">
        <v>0.2</v>
      </c>
      <c r="E58" s="55">
        <v>0.15</v>
      </c>
      <c r="F58" s="43" t="s">
        <v>1067</v>
      </c>
      <c r="G58">
        <f>IF(getRGB1($C58)="FFFFFF",0,1)+IF(getRGB1($D58)="FFFFFF",0,2)+IF(getRGB1($E58)="FFFFFF",0,3)+IF(getRGB1($F58)="FFFFFF",0,4)</f>
        <v>4</v>
      </c>
    </row>
    <row r="59" spans="1:7" ht="25.5">
      <c r="A59" t="s">
        <v>8527</v>
      </c>
      <c r="B59" s="57" t="s">
        <v>1068</v>
      </c>
      <c r="C59" s="55">
        <v>1</v>
      </c>
      <c r="D59" s="55">
        <v>0.95</v>
      </c>
      <c r="E59" s="55">
        <v>1.05</v>
      </c>
      <c r="F59" s="56">
        <v>0.9</v>
      </c>
      <c r="G59">
        <f>IF(getRGB1($C59)="FFFFFF",0,1)+IF(getRGB1($D59)="FFFFFF",0,2)+IF(getRGB1($E59)="FFFFFF",0,3)+IF(getRGB1($F59)="FFFFFF",0,4)</f>
        <v>4</v>
      </c>
    </row>
    <row r="60" spans="1:7" ht="25.5">
      <c r="A60" t="s">
        <v>8527</v>
      </c>
      <c r="B60" s="57" t="s">
        <v>8725</v>
      </c>
      <c r="C60" s="56">
        <v>0.1</v>
      </c>
      <c r="D60" s="55">
        <v>0.2</v>
      </c>
      <c r="E60" s="55">
        <v>0.15</v>
      </c>
      <c r="F60" s="44" t="s">
        <v>1067</v>
      </c>
      <c r="G60">
        <f>IF(getRGB1($C60)="FFFFFF",0,1)+IF(getRGB1($D60)="FFFFFF",0,2)+IF(getRGB1($E60)="FFFFFF",0,3)+IF(getRGB1($F60)="FFFFFF",0,4)</f>
        <v>1</v>
      </c>
    </row>
    <row r="61" spans="1:7" ht="38.25">
      <c r="A61" t="s">
        <v>8527</v>
      </c>
      <c r="B61" s="57" t="s">
        <v>1070</v>
      </c>
      <c r="C61" s="44" t="s">
        <v>252</v>
      </c>
      <c r="D61" s="44" t="s">
        <v>1071</v>
      </c>
      <c r="E61" s="44" t="s">
        <v>1072</v>
      </c>
      <c r="F61" s="43" t="s">
        <v>1073</v>
      </c>
      <c r="G61">
        <f>IF(getRGB1($C61)="FFFFFF",0,1)+IF(getRGB1($D61)="FFFFFF",0,2)+IF(getRGB1($E61)="FFFFFF",0,3)+IF(getRGB1($F61)="FFFFFF",0,4)</f>
        <v>4</v>
      </c>
    </row>
    <row r="62" spans="1:7">
      <c r="A62" t="s">
        <v>8527</v>
      </c>
      <c r="B62" s="57" t="s">
        <v>1074</v>
      </c>
      <c r="C62" s="44" t="s">
        <v>1021</v>
      </c>
      <c r="D62" s="44" t="s">
        <v>1075</v>
      </c>
      <c r="E62" s="44" t="s">
        <v>1076</v>
      </c>
      <c r="F62" s="43" t="s">
        <v>61</v>
      </c>
      <c r="G62">
        <f>IF(getRGB1($C62)="FFFFFF",0,1)+IF(getRGB1($D62)="FFFFFF",0,2)+IF(getRGB1($E62)="FFFFFF",0,3)+IF(getRGB1($F62)="FFFFFF",0,4)</f>
        <v>4</v>
      </c>
    </row>
    <row r="63" spans="1:7" ht="25.5">
      <c r="A63" t="s">
        <v>8527</v>
      </c>
      <c r="B63" s="57" t="s">
        <v>1077</v>
      </c>
      <c r="C63" s="44" t="s">
        <v>1078</v>
      </c>
      <c r="D63" s="44" t="s">
        <v>1079</v>
      </c>
      <c r="E63" s="43" t="s">
        <v>1080</v>
      </c>
      <c r="F63" s="44" t="s">
        <v>1081</v>
      </c>
      <c r="G63">
        <f>IF(getRGB1($C63)="FFFFFF",0,1)+IF(getRGB1($D63)="FFFFFF",0,2)+IF(getRGB1($E63)="FFFFFF",0,3)+IF(getRGB1($F63)="FFFFFF",0,4)</f>
        <v>3</v>
      </c>
    </row>
    <row r="64" spans="1:7" ht="38.25">
      <c r="A64" t="s">
        <v>8527</v>
      </c>
      <c r="B64" s="57" t="s">
        <v>1082</v>
      </c>
      <c r="C64" s="44" t="s">
        <v>1029</v>
      </c>
      <c r="D64" s="44" t="s">
        <v>1030</v>
      </c>
      <c r="E64" s="44" t="s">
        <v>1031</v>
      </c>
      <c r="F64" s="43" t="s">
        <v>1075</v>
      </c>
      <c r="G64">
        <f>IF(getRGB1($C64)="FFFFFF",0,1)+IF(getRGB1($D64)="FFFFFF",0,2)+IF(getRGB1($E64)="FFFFFF",0,3)+IF(getRGB1($F64)="FFFFFF",0,4)</f>
        <v>4</v>
      </c>
    </row>
    <row r="65" spans="1:7" ht="38.25">
      <c r="A65" t="s">
        <v>8527</v>
      </c>
      <c r="B65" s="57" t="s">
        <v>8726</v>
      </c>
      <c r="C65" s="64" t="s">
        <v>1084</v>
      </c>
      <c r="D65" s="64" t="s">
        <v>1085</v>
      </c>
      <c r="E65" s="63" t="s">
        <v>1086</v>
      </c>
      <c r="F65" s="64" t="s">
        <v>1087</v>
      </c>
      <c r="G65">
        <f>IF(getRGB1($C65)="FFFFFF",0,1)+IF(getRGB1($D65)="FFFFFF",0,2)+IF(getRGB1($E65)="FFFFFF",0,3)+IF(getRGB1($F65)="FFFFFF",0,4)</f>
        <v>3</v>
      </c>
    </row>
    <row r="66" spans="1:7" ht="38.25">
      <c r="A66" t="s">
        <v>8527</v>
      </c>
      <c r="B66" s="57" t="s">
        <v>1088</v>
      </c>
      <c r="C66" s="44" t="s">
        <v>1056</v>
      </c>
      <c r="D66" s="43" t="s">
        <v>1052</v>
      </c>
      <c r="E66" s="44" t="s">
        <v>1011</v>
      </c>
      <c r="F66" s="44" t="s">
        <v>1002</v>
      </c>
      <c r="G66">
        <f>IF(getRGB1($C66)="FFFFFF",0,1)+IF(getRGB1($D66)="FFFFFF",0,2)+IF(getRGB1($E66)="FFFFFF",0,3)+IF(getRGB1($F66)="FFFFFF",0,4)</f>
        <v>2</v>
      </c>
    </row>
    <row r="67" spans="1:7" ht="38.25">
      <c r="A67" t="s">
        <v>8527</v>
      </c>
      <c r="B67" s="57" t="s">
        <v>1089</v>
      </c>
      <c r="C67" s="43" t="s">
        <v>1090</v>
      </c>
      <c r="D67" s="44" t="s">
        <v>1091</v>
      </c>
      <c r="E67" s="44" t="s">
        <v>1092</v>
      </c>
      <c r="F67" s="44" t="s">
        <v>1093</v>
      </c>
      <c r="G67">
        <f>IF(getRGB1($C67)="FFFFFF",0,1)+IF(getRGB1($D67)="FFFFFF",0,2)+IF(getRGB1($E67)="FFFFFF",0,3)+IF(getRGB1($F67)="FFFFFF",0,4)</f>
        <v>1</v>
      </c>
    </row>
    <row r="68" spans="1:7" ht="25.5">
      <c r="A68" t="s">
        <v>8527</v>
      </c>
      <c r="B68" s="57" t="s">
        <v>1094</v>
      </c>
      <c r="C68" s="44" t="s">
        <v>1095</v>
      </c>
      <c r="D68" s="43" t="s">
        <v>1096</v>
      </c>
      <c r="E68" s="44" t="s">
        <v>1097</v>
      </c>
      <c r="F68" s="44" t="s">
        <v>1098</v>
      </c>
      <c r="G68">
        <f>IF(getRGB1($C68)="FFFFFF",0,1)+IF(getRGB1($D68)="FFFFFF",0,2)+IF(getRGB1($E68)="FFFFFF",0,3)+IF(getRGB1($F68)="FFFFFF",0,4)</f>
        <v>2</v>
      </c>
    </row>
    <row r="69" spans="1:7" ht="25.5">
      <c r="A69" t="s">
        <v>8527</v>
      </c>
      <c r="B69" s="57" t="s">
        <v>1099</v>
      </c>
      <c r="C69" s="56">
        <v>0.1</v>
      </c>
      <c r="D69" s="55">
        <v>0.45</v>
      </c>
      <c r="E69" s="55">
        <v>0.35</v>
      </c>
      <c r="F69" s="55">
        <v>0.5</v>
      </c>
      <c r="G69">
        <f>IF(getRGB1($C69)="FFFFFF",0,1)+IF(getRGB1($D69)="FFFFFF",0,2)+IF(getRGB1($E69)="FFFFFF",0,3)+IF(getRGB1($F69)="FFFFFF",0,4)</f>
        <v>1</v>
      </c>
    </row>
    <row r="70" spans="1:7" ht="25.5">
      <c r="A70" t="s">
        <v>8527</v>
      </c>
      <c r="B70" s="57" t="s">
        <v>1100</v>
      </c>
      <c r="C70" s="55">
        <v>0.1</v>
      </c>
      <c r="D70" s="56">
        <v>0.45</v>
      </c>
      <c r="E70" s="55">
        <v>0.35</v>
      </c>
      <c r="F70" s="55">
        <v>0.5</v>
      </c>
      <c r="G70">
        <f>IF(getRGB1($C70)="FFFFFF",0,1)+IF(getRGB1($D70)="FFFFFF",0,2)+IF(getRGB1($E70)="FFFFFF",0,3)+IF(getRGB1($F70)="FFFFFF",0,4)</f>
        <v>2</v>
      </c>
    </row>
    <row r="71" spans="1:7" ht="25.5">
      <c r="A71" t="s">
        <v>8527</v>
      </c>
      <c r="B71" s="57" t="s">
        <v>1101</v>
      </c>
      <c r="C71" s="55">
        <v>0.1</v>
      </c>
      <c r="D71" s="55">
        <v>0.15</v>
      </c>
      <c r="E71" s="55">
        <v>0.35</v>
      </c>
      <c r="F71" s="56">
        <v>0.45</v>
      </c>
      <c r="G71">
        <f>IF(getRGB1($C71)="FFFFFF",0,1)+IF(getRGB1($D71)="FFFFFF",0,2)+IF(getRGB1($E71)="FFFFFF",0,3)+IF(getRGB1($F71)="FFFFFF",0,4)</f>
        <v>4</v>
      </c>
    </row>
    <row r="72" spans="1:7" ht="25.5">
      <c r="A72" t="s">
        <v>8527</v>
      </c>
      <c r="B72" s="57" t="s">
        <v>1102</v>
      </c>
      <c r="C72" s="43" t="s">
        <v>1103</v>
      </c>
      <c r="D72" s="44" t="s">
        <v>1104</v>
      </c>
      <c r="E72" s="44" t="s">
        <v>1105</v>
      </c>
      <c r="F72" s="44" t="s">
        <v>1106</v>
      </c>
      <c r="G72">
        <f>IF(getRGB1($C72)="FFFFFF",0,1)+IF(getRGB1($D72)="FFFFFF",0,2)+IF(getRGB1($E72)="FFFFFF",0,3)+IF(getRGB1($F72)="FFFFFF",0,4)</f>
        <v>1</v>
      </c>
    </row>
    <row r="73" spans="1:7" ht="25.5">
      <c r="A73" t="s">
        <v>8527</v>
      </c>
      <c r="B73" s="57" t="s">
        <v>1107</v>
      </c>
      <c r="C73" s="44" t="s">
        <v>1108</v>
      </c>
      <c r="D73" s="43" t="s">
        <v>1109</v>
      </c>
      <c r="E73" s="44" t="s">
        <v>1110</v>
      </c>
      <c r="F73" s="44" t="s">
        <v>1111</v>
      </c>
      <c r="G73">
        <f>IF(getRGB1($C73)="FFFFFF",0,1)+IF(getRGB1($D73)="FFFFFF",0,2)+IF(getRGB1($E73)="FFFFFF",0,3)+IF(getRGB1($F73)="FFFFFF",0,4)</f>
        <v>2</v>
      </c>
    </row>
    <row r="74" spans="1:7" ht="25.5">
      <c r="A74" t="s">
        <v>8527</v>
      </c>
      <c r="B74" s="57" t="s">
        <v>1112</v>
      </c>
      <c r="C74" s="43" t="s">
        <v>1108</v>
      </c>
      <c r="D74" s="44" t="s">
        <v>1109</v>
      </c>
      <c r="E74" s="44" t="s">
        <v>1110</v>
      </c>
      <c r="F74" s="44" t="s">
        <v>1111</v>
      </c>
      <c r="G74">
        <f>IF(getRGB1($C74)="FFFFFF",0,1)+IF(getRGB1($D74)="FFFFFF",0,2)+IF(getRGB1($E74)="FFFFFF",0,3)+IF(getRGB1($F74)="FFFFFF",0,4)</f>
        <v>1</v>
      </c>
    </row>
    <row r="75" spans="1:7" ht="25.5">
      <c r="A75" t="s">
        <v>8527</v>
      </c>
      <c r="B75" s="57" t="s">
        <v>1113</v>
      </c>
      <c r="C75" s="44" t="s">
        <v>1114</v>
      </c>
      <c r="D75" s="44" t="s">
        <v>1115</v>
      </c>
      <c r="E75" s="44" t="s">
        <v>1116</v>
      </c>
      <c r="F75" s="43" t="s">
        <v>1117</v>
      </c>
      <c r="G75">
        <f>IF(getRGB1($C75)="FFFFFF",0,1)+IF(getRGB1($D75)="FFFFFF",0,2)+IF(getRGB1($E75)="FFFFFF",0,3)+IF(getRGB1($F75)="FFFFFF",0,4)</f>
        <v>4</v>
      </c>
    </row>
    <row r="76" spans="1:7" ht="25.5">
      <c r="A76" t="s">
        <v>8527</v>
      </c>
      <c r="B76" s="57" t="s">
        <v>1118</v>
      </c>
      <c r="C76" s="44" t="s">
        <v>1114</v>
      </c>
      <c r="D76" s="44" t="s">
        <v>1115</v>
      </c>
      <c r="E76" s="44" t="s">
        <v>1116</v>
      </c>
      <c r="F76" s="43" t="s">
        <v>1117</v>
      </c>
      <c r="G76">
        <f>IF(getRGB1($C76)="FFFFFF",0,1)+IF(getRGB1($D76)="FFFFFF",0,2)+IF(getRGB1($E76)="FFFFFF",0,3)+IF(getRGB1($F76)="FFFFFF",0,4)</f>
        <v>4</v>
      </c>
    </row>
    <row r="77" spans="1:7" ht="25.5">
      <c r="A77" t="s">
        <v>8527</v>
      </c>
      <c r="B77" s="57" t="s">
        <v>1119</v>
      </c>
      <c r="C77" s="44" t="s">
        <v>174</v>
      </c>
      <c r="D77" s="43" t="s">
        <v>270</v>
      </c>
      <c r="E77" s="44" t="s">
        <v>1059</v>
      </c>
      <c r="F77" s="44" t="s">
        <v>74</v>
      </c>
      <c r="G77">
        <f>IF(getRGB1($C77)="FFFFFF",0,1)+IF(getRGB1($D77)="FFFFFF",0,2)+IF(getRGB1($E77)="FFFFFF",0,3)+IF(getRGB1($F77)="FFFFFF",0,4)</f>
        <v>2</v>
      </c>
    </row>
    <row r="78" spans="1:7" ht="51">
      <c r="A78" t="s">
        <v>8527</v>
      </c>
      <c r="B78" s="57" t="s">
        <v>8727</v>
      </c>
      <c r="C78" s="44" t="s">
        <v>1121</v>
      </c>
      <c r="D78" s="44" t="s">
        <v>1122</v>
      </c>
      <c r="E78" s="44" t="s">
        <v>1123</v>
      </c>
      <c r="F78" s="43" t="s">
        <v>1124</v>
      </c>
      <c r="G78">
        <f>IF(getRGB1($C78)="FFFFFF",0,1)+IF(getRGB1($D78)="FFFFFF",0,2)+IF(getRGB1($E78)="FFFFFF",0,3)+IF(getRGB1($F78)="FFFFFF",0,4)</f>
        <v>4</v>
      </c>
    </row>
    <row r="79" spans="1:7" ht="25.5">
      <c r="A79" t="s">
        <v>8527</v>
      </c>
      <c r="B79" s="57" t="s">
        <v>1125</v>
      </c>
      <c r="C79" s="44" t="s">
        <v>1126</v>
      </c>
      <c r="D79" s="43" t="s">
        <v>1127</v>
      </c>
      <c r="E79" s="44" t="s">
        <v>1128</v>
      </c>
      <c r="F79" s="44" t="s">
        <v>1129</v>
      </c>
      <c r="G79">
        <f>IF(getRGB1($C79)="FFFFFF",0,1)+IF(getRGB1($D79)="FFFFFF",0,2)+IF(getRGB1($E79)="FFFFFF",0,3)+IF(getRGB1($F79)="FFFFFF",0,4)</f>
        <v>2</v>
      </c>
    </row>
    <row r="80" spans="1:7" ht="25.5">
      <c r="A80" t="s">
        <v>8527</v>
      </c>
      <c r="B80" s="57" t="s">
        <v>1130</v>
      </c>
      <c r="C80" s="44" t="s">
        <v>270</v>
      </c>
      <c r="D80" s="43" t="s">
        <v>76</v>
      </c>
      <c r="E80" s="44" t="s">
        <v>137</v>
      </c>
      <c r="F80" s="44" t="s">
        <v>1131</v>
      </c>
      <c r="G80">
        <f>IF(getRGB1($C80)="FFFFFF",0,1)+IF(getRGB1($D80)="FFFFFF",0,2)+IF(getRGB1($E80)="FFFFFF",0,3)+IF(getRGB1($F80)="FFFFFF",0,4)</f>
        <v>2</v>
      </c>
    </row>
    <row r="81" spans="1:7" ht="25.5">
      <c r="A81" t="s">
        <v>8527</v>
      </c>
      <c r="B81" s="57" t="s">
        <v>1132</v>
      </c>
      <c r="C81" s="44" t="s">
        <v>1126</v>
      </c>
      <c r="D81" s="44" t="s">
        <v>1127</v>
      </c>
      <c r="E81" s="43" t="s">
        <v>1128</v>
      </c>
      <c r="F81" s="44" t="s">
        <v>1129</v>
      </c>
      <c r="G81">
        <f>IF(getRGB1($C81)="FFFFFF",0,1)+IF(getRGB1($D81)="FFFFFF",0,2)+IF(getRGB1($E81)="FFFFFF",0,3)+IF(getRGB1($F81)="FFFFFF",0,4)</f>
        <v>3</v>
      </c>
    </row>
    <row r="82" spans="1:7" ht="38.25">
      <c r="A82" t="s">
        <v>8527</v>
      </c>
      <c r="B82" s="57" t="s">
        <v>1133</v>
      </c>
      <c r="C82" s="44" t="s">
        <v>1134</v>
      </c>
      <c r="D82" s="44" t="s">
        <v>1135</v>
      </c>
      <c r="E82" s="43" t="s">
        <v>1136</v>
      </c>
      <c r="F82" s="44" t="s">
        <v>1137</v>
      </c>
      <c r="G82">
        <f>IF(getRGB1($C82)="FFFFFF",0,1)+IF(getRGB1($D82)="FFFFFF",0,2)+IF(getRGB1($E82)="FFFFFF",0,3)+IF(getRGB1($F82)="FFFFFF",0,4)</f>
        <v>3</v>
      </c>
    </row>
    <row r="83" spans="1:7" ht="25.5">
      <c r="A83" t="s">
        <v>8527</v>
      </c>
      <c r="B83" s="57" t="s">
        <v>1138</v>
      </c>
      <c r="C83" s="65">
        <v>1.2500000000000001E-2</v>
      </c>
      <c r="D83" s="55">
        <v>0.01</v>
      </c>
      <c r="E83" s="66">
        <v>1.4999999999999999E-2</v>
      </c>
      <c r="F83" s="55">
        <v>0.02</v>
      </c>
      <c r="G83">
        <f>IF(getRGB1($C83)="FFFFFF",0,1)+IF(getRGB1($D83)="FFFFFF",0,2)+IF(getRGB1($E83)="FFFFFF",0,3)+IF(getRGB1($F83)="FFFFFF",0,4)</f>
        <v>3</v>
      </c>
    </row>
    <row r="84" spans="1:7" ht="38.25">
      <c r="A84" t="s">
        <v>8527</v>
      </c>
      <c r="B84" s="57" t="s">
        <v>1139</v>
      </c>
      <c r="C84" s="55">
        <v>0.01</v>
      </c>
      <c r="D84" s="56">
        <v>0.02</v>
      </c>
      <c r="E84" s="65">
        <v>1.4999999999999999E-2</v>
      </c>
      <c r="F84" s="65">
        <v>1.2500000000000001E-2</v>
      </c>
      <c r="G84">
        <f>IF(getRGB1($C84)="FFFFFF",0,1)+IF(getRGB1($D84)="FFFFFF",0,2)+IF(getRGB1($E84)="FFFFFF",0,3)+IF(getRGB1($F84)="FFFFFF",0,4)</f>
        <v>2</v>
      </c>
    </row>
    <row r="85" spans="1:7" ht="25.5">
      <c r="A85" t="s">
        <v>8527</v>
      </c>
      <c r="B85" s="57" t="s">
        <v>1140</v>
      </c>
      <c r="C85" s="56">
        <v>0.01</v>
      </c>
      <c r="D85" s="55">
        <v>0.02</v>
      </c>
      <c r="E85" s="65">
        <v>1.4999999999999999E-2</v>
      </c>
      <c r="F85" s="65">
        <v>1.2500000000000001E-2</v>
      </c>
      <c r="G85">
        <f>IF(getRGB1($C85)="FFFFFF",0,1)+IF(getRGB1($D85)="FFFFFF",0,2)+IF(getRGB1($E85)="FFFFFF",0,3)+IF(getRGB1($F85)="FFFFFF",0,4)</f>
        <v>1</v>
      </c>
    </row>
    <row r="86" spans="1:7" ht="25.5">
      <c r="A86" t="s">
        <v>8527</v>
      </c>
      <c r="B86" s="57" t="s">
        <v>1141</v>
      </c>
      <c r="C86" s="44" t="s">
        <v>1142</v>
      </c>
      <c r="D86" s="44" t="s">
        <v>1143</v>
      </c>
      <c r="E86" s="43" t="s">
        <v>1144</v>
      </c>
      <c r="F86" s="44" t="s">
        <v>1145</v>
      </c>
      <c r="G86">
        <f>IF(getRGB1($C86)="FFFFFF",0,1)+IF(getRGB1($D86)="FFFFFF",0,2)+IF(getRGB1($E86)="FFFFFF",0,3)+IF(getRGB1($F86)="FFFFFF",0,4)</f>
        <v>3</v>
      </c>
    </row>
    <row r="87" spans="1:7" ht="25.5">
      <c r="A87" t="s">
        <v>8527</v>
      </c>
      <c r="B87" s="57" t="s">
        <v>1146</v>
      </c>
      <c r="C87" s="44" t="s">
        <v>1147</v>
      </c>
      <c r="D87" s="44" t="s">
        <v>1148</v>
      </c>
      <c r="E87" s="43" t="s">
        <v>1149</v>
      </c>
      <c r="F87" s="41" t="s">
        <v>1150</v>
      </c>
      <c r="G87">
        <f>IF(getRGB1($C87)="FFFFFF",0,1)+IF(getRGB1($D87)="FFFFFF",0,2)+IF(getRGB1($E87)="FFFFFF",0,3)+IF(getRGB1($F87)="FFFFFF",0,4)</f>
        <v>3</v>
      </c>
    </row>
    <row r="88" spans="1:7">
      <c r="A88" t="s">
        <v>8527</v>
      </c>
      <c r="B88" s="57" t="s">
        <v>1151</v>
      </c>
      <c r="C88" s="41" t="s">
        <v>930</v>
      </c>
      <c r="D88" s="40" t="s">
        <v>1152</v>
      </c>
      <c r="E88" s="41"/>
      <c r="F88" s="41"/>
      <c r="G88">
        <f>IF(getRGB1($C88)="FFFFFF",0,1)+IF(getRGB1($D88)="FFFFFF",0,2)+IF(getRGB1($E88)="FFFFFF",0,3)+IF(getRGB1($F88)="FFFFFF",0,4)</f>
        <v>2</v>
      </c>
    </row>
    <row r="89" spans="1:7" ht="25.5">
      <c r="A89" t="s">
        <v>8527</v>
      </c>
      <c r="B89" s="57" t="s">
        <v>1153</v>
      </c>
      <c r="C89" s="41" t="s">
        <v>1154</v>
      </c>
      <c r="D89" s="41" t="s">
        <v>1155</v>
      </c>
      <c r="E89" s="67">
        <v>10000</v>
      </c>
      <c r="F89" s="41" t="s">
        <v>1156</v>
      </c>
      <c r="G89">
        <f>IF(getRGB1($C89)="FFFFFF",0,1)+IF(getRGB1($D89)="FFFFFF",0,2)+IF(getRGB1($E89)="FFFFFF",0,3)+IF(getRGB1($F89)="FFFFFF",0,4)</f>
        <v>3</v>
      </c>
    </row>
    <row r="90" spans="1:7" ht="25.5">
      <c r="A90" t="s">
        <v>8527</v>
      </c>
      <c r="B90" s="57" t="s">
        <v>1157</v>
      </c>
      <c r="C90" s="41" t="s">
        <v>1158</v>
      </c>
      <c r="D90" s="40" t="s">
        <v>1159</v>
      </c>
      <c r="E90" s="41" t="s">
        <v>1160</v>
      </c>
      <c r="F90" s="68">
        <v>10000</v>
      </c>
      <c r="G90">
        <f>IF(getRGB1($C90)="FFFFFF",0,1)+IF(getRGB1($D90)="FFFFFF",0,2)+IF(getRGB1($E90)="FFFFFF",0,3)+IF(getRGB1($F90)="FFFFFF",0,4)</f>
        <v>2</v>
      </c>
    </row>
    <row r="91" spans="1:7">
      <c r="A91" t="s">
        <v>8527</v>
      </c>
      <c r="B91" s="57" t="s">
        <v>1161</v>
      </c>
      <c r="C91" s="40" t="s">
        <v>1162</v>
      </c>
      <c r="D91" s="44" t="s">
        <v>1163</v>
      </c>
      <c r="E91" s="44" t="s">
        <v>1164</v>
      </c>
      <c r="F91" s="41" t="s">
        <v>61</v>
      </c>
      <c r="G91">
        <f>IF(getRGB1($C91)="FFFFFF",0,1)+IF(getRGB1($D91)="FFFFFF",0,2)+IF(getRGB1($E91)="FFFFFF",0,3)+IF(getRGB1($F91)="FFFFFF",0,4)</f>
        <v>1</v>
      </c>
    </row>
    <row r="92" spans="1:7" ht="25.5">
      <c r="A92" t="s">
        <v>8527</v>
      </c>
      <c r="B92" s="57" t="s">
        <v>1165</v>
      </c>
      <c r="C92" s="41" t="b">
        <v>1</v>
      </c>
      <c r="D92" s="40" t="b">
        <v>0</v>
      </c>
      <c r="E92" s="41"/>
      <c r="F92" s="41"/>
      <c r="G92">
        <f>IF(getRGB1($C92)="FFFFFF",0,1)+IF(getRGB1($D92)="FFFFFF",0,2)+IF(getRGB1($E92)="FFFFFF",0,3)+IF(getRGB1($F92)="FFFFFF",0,4)</f>
        <v>2</v>
      </c>
    </row>
    <row r="93" spans="1:7" ht="25.5">
      <c r="A93" t="s">
        <v>8527</v>
      </c>
      <c r="B93" s="57" t="s">
        <v>1166</v>
      </c>
      <c r="C93" s="41" t="b">
        <v>1</v>
      </c>
      <c r="D93" s="40" t="b">
        <v>0</v>
      </c>
      <c r="E93" s="41"/>
      <c r="F93" s="41"/>
      <c r="G93">
        <f>IF(getRGB1($C93)="FFFFFF",0,1)+IF(getRGB1($D93)="FFFFFF",0,2)+IF(getRGB1($E93)="FFFFFF",0,3)+IF(getRGB1($F93)="FFFFFF",0,4)</f>
        <v>2</v>
      </c>
    </row>
    <row r="94" spans="1:7">
      <c r="A94" t="s">
        <v>8527</v>
      </c>
      <c r="B94" s="57" t="s">
        <v>1167</v>
      </c>
      <c r="C94" s="69" t="s">
        <v>1085</v>
      </c>
      <c r="D94" s="69" t="s">
        <v>1168</v>
      </c>
      <c r="E94" s="70" t="s">
        <v>1086</v>
      </c>
      <c r="F94" s="69" t="s">
        <v>1087</v>
      </c>
      <c r="G94">
        <f>IF(getRGB1($C94)="FFFFFF",0,1)+IF(getRGB1($D94)="FFFFFF",0,2)+IF(getRGB1($E94)="FFFFFF",0,3)+IF(getRGB1($F94)="FFFFFF",0,4)</f>
        <v>3</v>
      </c>
    </row>
    <row r="95" spans="1:7" ht="38.25">
      <c r="A95" t="s">
        <v>8527</v>
      </c>
      <c r="B95" s="57" t="s">
        <v>1169</v>
      </c>
      <c r="C95" s="43" t="s">
        <v>1170</v>
      </c>
      <c r="D95" s="44" t="s">
        <v>1171</v>
      </c>
      <c r="E95" s="41" t="s">
        <v>1172</v>
      </c>
      <c r="F95" s="41" t="s">
        <v>1173</v>
      </c>
      <c r="G95">
        <f>IF(getRGB1($C95)="FFFFFF",0,1)+IF(getRGB1($D95)="FFFFFF",0,2)+IF(getRGB1($E95)="FFFFFF",0,3)+IF(getRGB1($F95)="FFFFFF",0,4)</f>
        <v>1</v>
      </c>
    </row>
    <row r="96" spans="1:7" ht="25.5">
      <c r="A96" t="s">
        <v>8527</v>
      </c>
      <c r="B96" s="57" t="s">
        <v>1174</v>
      </c>
      <c r="C96" s="41">
        <v>5</v>
      </c>
      <c r="D96" s="40">
        <v>7</v>
      </c>
      <c r="E96" s="41">
        <v>4</v>
      </c>
      <c r="F96" s="41">
        <v>6</v>
      </c>
      <c r="G96">
        <f>IF(getRGB1($C96)="FFFFFF",0,1)+IF(getRGB1($D96)="FFFFFF",0,2)+IF(getRGB1($E96)="FFFFFF",0,3)+IF(getRGB1($F96)="FFFFFF",0,4)</f>
        <v>2</v>
      </c>
    </row>
    <row r="97" spans="1:7">
      <c r="A97" t="s">
        <v>8527</v>
      </c>
      <c r="B97" s="57" t="s">
        <v>1175</v>
      </c>
      <c r="C97" s="71">
        <v>0.155</v>
      </c>
      <c r="D97" s="72">
        <v>0.15</v>
      </c>
      <c r="E97" s="72">
        <v>0.16</v>
      </c>
      <c r="F97" s="73">
        <v>0.16500000000000001</v>
      </c>
      <c r="G97">
        <f>IF(getRGB1($C97)="FFFFFF",0,1)+IF(getRGB1($D97)="FFFFFF",0,2)+IF(getRGB1($E97)="FFFFFF",0,3)+IF(getRGB1($F97)="FFFFFF",0,4)</f>
        <v>1</v>
      </c>
    </row>
    <row r="98" spans="1:7">
      <c r="A98" t="s">
        <v>8527</v>
      </c>
      <c r="B98" s="57" t="s">
        <v>1176</v>
      </c>
      <c r="C98" s="40" t="s">
        <v>1177</v>
      </c>
      <c r="D98" s="41" t="s">
        <v>1178</v>
      </c>
      <c r="E98" s="41" t="s">
        <v>1179</v>
      </c>
      <c r="F98" s="41" t="s">
        <v>1180</v>
      </c>
      <c r="G98">
        <f>IF(getRGB1($C98)="FFFFFF",0,1)+IF(getRGB1($D98)="FFFFFF",0,2)+IF(getRGB1($E98)="FFFFFF",0,3)+IF(getRGB1($F98)="FFFFFF",0,4)</f>
        <v>1</v>
      </c>
    </row>
    <row r="99" spans="1:7">
      <c r="A99" t="s">
        <v>8527</v>
      </c>
      <c r="B99" s="57" t="s">
        <v>1181</v>
      </c>
      <c r="C99" s="44" t="s">
        <v>1182</v>
      </c>
      <c r="D99" s="44" t="s">
        <v>1183</v>
      </c>
      <c r="E99" s="43" t="s">
        <v>1184</v>
      </c>
      <c r="F99" s="44" t="s">
        <v>66</v>
      </c>
      <c r="G99">
        <f>IF(getRGB1($C99)="FFFFFF",0,1)+IF(getRGB1($D99)="FFFFFF",0,2)+IF(getRGB1($E99)="FFFFFF",0,3)+IF(getRGB1($F99)="FFFFFF",0,4)</f>
        <v>3</v>
      </c>
    </row>
    <row r="100" spans="1:7" ht="38.25">
      <c r="A100" t="s">
        <v>8527</v>
      </c>
      <c r="B100" s="57" t="s">
        <v>1185</v>
      </c>
      <c r="C100" s="43" t="s">
        <v>1186</v>
      </c>
      <c r="D100" s="44" t="s">
        <v>1187</v>
      </c>
      <c r="E100" s="44" t="s">
        <v>1188</v>
      </c>
      <c r="F100" s="41" t="s">
        <v>66</v>
      </c>
      <c r="G100">
        <f>IF(getRGB1($C100)="FFFFFF",0,1)+IF(getRGB1($D100)="FFFFFF",0,2)+IF(getRGB1($E100)="FFFFFF",0,3)+IF(getRGB1($F100)="FFFFFF",0,4)</f>
        <v>1</v>
      </c>
    </row>
    <row r="101" spans="1:7" ht="25.5">
      <c r="A101" t="s">
        <v>8527</v>
      </c>
      <c r="B101" s="57" t="s">
        <v>1189</v>
      </c>
      <c r="C101" s="74" t="s">
        <v>1062</v>
      </c>
      <c r="D101" s="75" t="s">
        <v>1064</v>
      </c>
      <c r="E101" s="76" t="s">
        <v>1190</v>
      </c>
      <c r="F101" s="76" t="s">
        <v>1191</v>
      </c>
      <c r="G101">
        <f>IF(getRGB1($C101)="FFFFFF",0,1)+IF(getRGB1($D101)="FFFFFF",0,2)+IF(getRGB1($E101)="FFFFFF",0,3)+IF(getRGB1($F101)="FFFFFF",0,4)</f>
        <v>2</v>
      </c>
    </row>
    <row r="102" spans="1:7" ht="25.5">
      <c r="A102" t="s">
        <v>8527</v>
      </c>
      <c r="B102" s="57" t="s">
        <v>1192</v>
      </c>
      <c r="C102" s="73">
        <v>6.3399999999999998E-2</v>
      </c>
      <c r="D102" s="73">
        <v>4.2299999999999997E-2</v>
      </c>
      <c r="E102" s="71">
        <v>5.7200000000000001E-2</v>
      </c>
      <c r="F102" s="72">
        <v>0.1</v>
      </c>
      <c r="G102">
        <f>IF(getRGB1($C102)="FFFFFF",0,1)+IF(getRGB1($D102)="FFFFFF",0,2)+IF(getRGB1($E102)="FFFFFF",0,3)+IF(getRGB1($F102)="FFFFFF",0,4)</f>
        <v>3</v>
      </c>
    </row>
    <row r="103" spans="1:7" ht="25.5">
      <c r="A103" t="s">
        <v>8527</v>
      </c>
      <c r="B103" s="57" t="s">
        <v>1193</v>
      </c>
      <c r="C103" s="41" t="s">
        <v>174</v>
      </c>
      <c r="D103" s="41" t="s">
        <v>1059</v>
      </c>
      <c r="E103" s="41" t="s">
        <v>980</v>
      </c>
      <c r="F103" s="40" t="s">
        <v>1194</v>
      </c>
      <c r="G103">
        <f>IF(getRGB1($C103)="FFFFFF",0,1)+IF(getRGB1($D103)="FFFFFF",0,2)+IF(getRGB1($E103)="FFFFFF",0,3)+IF(getRGB1($F103)="FFFFFF",0,4)</f>
        <v>4</v>
      </c>
    </row>
    <row r="104" spans="1:7" ht="51">
      <c r="A104" t="s">
        <v>8527</v>
      </c>
      <c r="B104" s="57" t="s">
        <v>1195</v>
      </c>
      <c r="C104" s="43" t="s">
        <v>1196</v>
      </c>
      <c r="D104" s="44" t="s">
        <v>1197</v>
      </c>
      <c r="E104" s="44" t="s">
        <v>1198</v>
      </c>
      <c r="F104" s="44" t="s">
        <v>1199</v>
      </c>
      <c r="G104">
        <f>IF(getRGB1($C104)="FFFFFF",0,1)+IF(getRGB1($D104)="FFFFFF",0,2)+IF(getRGB1($E104)="FFFFFF",0,3)+IF(getRGB1($F104)="FFFFFF",0,4)</f>
        <v>1</v>
      </c>
    </row>
    <row r="105" spans="1:7" ht="38.25">
      <c r="A105" t="s">
        <v>8527</v>
      </c>
      <c r="B105" s="57" t="s">
        <v>1200</v>
      </c>
      <c r="C105" s="44" t="s">
        <v>1201</v>
      </c>
      <c r="D105" s="43" t="s">
        <v>1202</v>
      </c>
      <c r="E105" s="41" t="s">
        <v>836</v>
      </c>
      <c r="F105" s="41" t="s">
        <v>1203</v>
      </c>
      <c r="G105">
        <f>IF(getRGB1($C105)="FFFFFF",0,1)+IF(getRGB1($D105)="FFFFFF",0,2)+IF(getRGB1($E105)="FFFFFF",0,3)+IF(getRGB1($F105)="FFFFFF",0,4)</f>
        <v>2</v>
      </c>
    </row>
    <row r="106" spans="1:7" ht="38.25">
      <c r="A106" t="s">
        <v>8527</v>
      </c>
      <c r="B106" s="57" t="s">
        <v>1204</v>
      </c>
      <c r="C106" s="41" t="s">
        <v>1021</v>
      </c>
      <c r="D106" s="40" t="s">
        <v>1205</v>
      </c>
      <c r="E106" s="41" t="s">
        <v>174</v>
      </c>
      <c r="F106" s="41" t="s">
        <v>1206</v>
      </c>
      <c r="G106">
        <f>IF(getRGB1($C106)="FFFFFF",0,1)+IF(getRGB1($D106)="FFFFFF",0,2)+IF(getRGB1($E106)="FFFFFF",0,3)+IF(getRGB1($F106)="FFFFFF",0,4)</f>
        <v>2</v>
      </c>
    </row>
    <row r="107" spans="1:7">
      <c r="A107" t="s">
        <v>8527</v>
      </c>
      <c r="B107" s="57" t="s">
        <v>1207</v>
      </c>
      <c r="C107" s="41" t="s">
        <v>1208</v>
      </c>
      <c r="D107" s="41" t="s">
        <v>1209</v>
      </c>
      <c r="E107" s="40" t="s">
        <v>1210</v>
      </c>
      <c r="F107" s="41" t="s">
        <v>66</v>
      </c>
      <c r="G107">
        <f>IF(getRGB1($C107)="FFFFFF",0,1)+IF(getRGB1($D107)="FFFFFF",0,2)+IF(getRGB1($E107)="FFFFFF",0,3)+IF(getRGB1($F107)="FFFFFF",0,4)</f>
        <v>3</v>
      </c>
    </row>
    <row r="108" spans="1:7">
      <c r="A108" t="s">
        <v>8527</v>
      </c>
      <c r="B108" s="57" t="s">
        <v>1211</v>
      </c>
      <c r="C108" s="72">
        <v>0.9</v>
      </c>
      <c r="D108" s="72">
        <v>0.75</v>
      </c>
      <c r="E108" s="72">
        <v>0.8</v>
      </c>
      <c r="F108" s="77">
        <v>0.85</v>
      </c>
      <c r="G108">
        <f>IF(getRGB1($C108)="FFFFFF",0,1)+IF(getRGB1($D108)="FFFFFF",0,2)+IF(getRGB1($E108)="FFFFFF",0,3)+IF(getRGB1($F108)="FFFFFF",0,4)</f>
        <v>4</v>
      </c>
    </row>
    <row r="109" spans="1:7" ht="38.25">
      <c r="A109" t="s">
        <v>8527</v>
      </c>
      <c r="B109" s="57" t="s">
        <v>1212</v>
      </c>
      <c r="C109" s="43" t="s">
        <v>1213</v>
      </c>
      <c r="D109" s="61" t="s">
        <v>1214</v>
      </c>
      <c r="E109" s="61" t="s">
        <v>1215</v>
      </c>
      <c r="F109" s="61" t="s">
        <v>1216</v>
      </c>
      <c r="G109">
        <f>IF(getRGB1($C109)="FFFFFF",0,1)+IF(getRGB1($D109)="FFFFFF",0,2)+IF(getRGB1($E109)="FFFFFF",0,3)+IF(getRGB1($F109)="FFFFFF",0,4)</f>
        <v>1</v>
      </c>
    </row>
    <row r="110" spans="1:7" ht="38.25">
      <c r="A110" t="s">
        <v>8527</v>
      </c>
      <c r="B110" s="57" t="s">
        <v>1217</v>
      </c>
      <c r="C110" s="43" t="s">
        <v>1218</v>
      </c>
      <c r="D110" s="61" t="s">
        <v>1219</v>
      </c>
      <c r="E110" s="61" t="s">
        <v>1220</v>
      </c>
      <c r="F110" s="61" t="s">
        <v>1221</v>
      </c>
      <c r="G110">
        <f>IF(getRGB1($C110)="FFFFFF",0,1)+IF(getRGB1($D110)="FFFFFF",0,2)+IF(getRGB1($E110)="FFFFFF",0,3)+IF(getRGB1($F110)="FFFFFF",0,4)</f>
        <v>1</v>
      </c>
    </row>
    <row r="111" spans="1:7">
      <c r="A111" t="s">
        <v>8527</v>
      </c>
      <c r="B111" s="57" t="s">
        <v>1222</v>
      </c>
      <c r="C111" s="41" t="s">
        <v>1223</v>
      </c>
      <c r="D111" s="41" t="s">
        <v>1224</v>
      </c>
      <c r="E111" s="40" t="s">
        <v>1225</v>
      </c>
      <c r="F111" s="41" t="s">
        <v>8728</v>
      </c>
      <c r="G111">
        <f>IF(getRGB1($C111)="FFFFFF",0,1)+IF(getRGB1($D111)="FFFFFF",0,2)+IF(getRGB1($E111)="FFFFFF",0,3)+IF(getRGB1($F111)="FFFFFF",0,4)</f>
        <v>3</v>
      </c>
    </row>
    <row r="112" spans="1:7">
      <c r="A112" t="s">
        <v>8527</v>
      </c>
      <c r="B112" s="57" t="s">
        <v>1227</v>
      </c>
      <c r="C112" s="61" t="s">
        <v>1228</v>
      </c>
      <c r="D112" s="61" t="s">
        <v>1229</v>
      </c>
      <c r="E112" s="43" t="s">
        <v>1230</v>
      </c>
      <c r="F112" s="61" t="s">
        <v>328</v>
      </c>
      <c r="G112">
        <f>IF(getRGB1($C112)="FFFFFF",0,1)+IF(getRGB1($D112)="FFFFFF",0,2)+IF(getRGB1($E112)="FFFFFF",0,3)+IF(getRGB1($F112)="FFFFFF",0,4)</f>
        <v>3</v>
      </c>
    </row>
    <row r="113" spans="1:7">
      <c r="A113" t="s">
        <v>8527</v>
      </c>
      <c r="B113" s="57" t="s">
        <v>1231</v>
      </c>
      <c r="C113" s="61">
        <v>5</v>
      </c>
      <c r="D113" s="61">
        <v>6</v>
      </c>
      <c r="E113" s="43">
        <v>7</v>
      </c>
      <c r="F113" s="61">
        <v>8</v>
      </c>
      <c r="G113">
        <f>IF(getRGB1($C113)="FFFFFF",0,1)+IF(getRGB1($D113)="FFFFFF",0,2)+IF(getRGB1($E113)="FFFFFF",0,3)+IF(getRGB1($F113)="FFFFFF",0,4)</f>
        <v>3</v>
      </c>
    </row>
    <row r="114" spans="1:7" ht="25.5">
      <c r="A114" t="s">
        <v>8527</v>
      </c>
      <c r="B114" s="57" t="s">
        <v>1232</v>
      </c>
      <c r="C114" s="43" t="s">
        <v>1233</v>
      </c>
      <c r="D114" s="61" t="s">
        <v>1234</v>
      </c>
      <c r="E114" s="78">
        <v>10000</v>
      </c>
      <c r="F114" s="61" t="s">
        <v>1235</v>
      </c>
      <c r="G114">
        <f>IF(getRGB1($C114)="FFFFFF",0,1)+IF(getRGB1($D114)="FFFFFF",0,2)+IF(getRGB1($E114)="FFFFFF",0,3)+IF(getRGB1($F114)="FFFFFF",0,4)</f>
        <v>1</v>
      </c>
    </row>
    <row r="115" spans="1:7">
      <c r="A115" t="s">
        <v>8527</v>
      </c>
      <c r="B115" s="57" t="s">
        <v>1236</v>
      </c>
      <c r="C115" s="61" t="s">
        <v>1233</v>
      </c>
      <c r="D115" s="61" t="s">
        <v>1234</v>
      </c>
      <c r="E115" s="79">
        <v>10000</v>
      </c>
      <c r="F115" s="61" t="s">
        <v>1235</v>
      </c>
      <c r="G115">
        <f>IF(getRGB1($C115)="FFFFFF",0,1)+IF(getRGB1($D115)="FFFFFF",0,2)+IF(getRGB1($E115)="FFFFFF",0,3)+IF(getRGB1($F115)="FFFFFF",0,4)</f>
        <v>3</v>
      </c>
    </row>
    <row r="116" spans="1:7" ht="76.5">
      <c r="A116" t="s">
        <v>8527</v>
      </c>
      <c r="B116" s="57" t="s">
        <v>1237</v>
      </c>
      <c r="C116" s="43" t="s">
        <v>1238</v>
      </c>
      <c r="D116" s="61" t="s">
        <v>1239</v>
      </c>
      <c r="E116" s="61" t="s">
        <v>1240</v>
      </c>
      <c r="F116" s="61" t="s">
        <v>1241</v>
      </c>
      <c r="G116">
        <f>IF(getRGB1($C116)="FFFFFF",0,1)+IF(getRGB1($D116)="FFFFFF",0,2)+IF(getRGB1($E116)="FFFFFF",0,3)+IF(getRGB1($F116)="FFFFFF",0,4)</f>
        <v>1</v>
      </c>
    </row>
    <row r="117" spans="1:7" ht="89.25">
      <c r="A117" t="s">
        <v>8527</v>
      </c>
      <c r="B117" s="57" t="s">
        <v>1242</v>
      </c>
      <c r="C117" s="61" t="s">
        <v>1243</v>
      </c>
      <c r="D117" s="61" t="s">
        <v>1244</v>
      </c>
      <c r="E117" s="43" t="s">
        <v>1245</v>
      </c>
      <c r="F117" s="61" t="s">
        <v>1246</v>
      </c>
      <c r="G117">
        <f>IF(getRGB1($C117)="FFFFFF",0,1)+IF(getRGB1($D117)="FFFFFF",0,2)+IF(getRGB1($E117)="FFFFFF",0,3)+IF(getRGB1($F117)="FFFFFF",0,4)</f>
        <v>3</v>
      </c>
    </row>
    <row r="118" spans="1:7" ht="25.5">
      <c r="A118" t="s">
        <v>8527</v>
      </c>
      <c r="B118" s="57" t="s">
        <v>1247</v>
      </c>
      <c r="C118" s="43" t="s">
        <v>1248</v>
      </c>
      <c r="D118" s="61" t="s">
        <v>1249</v>
      </c>
      <c r="E118" s="61" t="s">
        <v>1250</v>
      </c>
      <c r="F118" s="61" t="s">
        <v>1251</v>
      </c>
      <c r="G118">
        <f>IF(getRGB1($C118)="FFFFFF",0,1)+IF(getRGB1($D118)="FFFFFF",0,2)+IF(getRGB1($E118)="FFFFFF",0,3)+IF(getRGB1($F118)="FFFFFF",0,4)</f>
        <v>1</v>
      </c>
    </row>
    <row r="119" spans="1:7" ht="76.5">
      <c r="A119" t="s">
        <v>8527</v>
      </c>
      <c r="B119" s="57" t="s">
        <v>1252</v>
      </c>
      <c r="C119" s="61" t="s">
        <v>1253</v>
      </c>
      <c r="D119" s="43" t="s">
        <v>1254</v>
      </c>
      <c r="E119" s="61" t="s">
        <v>1255</v>
      </c>
      <c r="F119" s="61" t="s">
        <v>1256</v>
      </c>
      <c r="G119">
        <f>IF(getRGB1($C119)="FFFFFF",0,1)+IF(getRGB1($D119)="FFFFFF",0,2)+IF(getRGB1($E119)="FFFFFF",0,3)+IF(getRGB1($F119)="FFFFFF",0,4)</f>
        <v>2</v>
      </c>
    </row>
    <row r="120" spans="1:7" ht="76.5">
      <c r="A120" t="s">
        <v>8527</v>
      </c>
      <c r="B120" s="57" t="s">
        <v>1257</v>
      </c>
      <c r="C120" s="43" t="s">
        <v>1258</v>
      </c>
      <c r="D120" s="61" t="s">
        <v>1259</v>
      </c>
      <c r="E120" s="61" t="s">
        <v>1260</v>
      </c>
      <c r="F120" s="61" t="s">
        <v>1261</v>
      </c>
      <c r="G120">
        <f>IF(getRGB1($C120)="FFFFFF",0,1)+IF(getRGB1($D120)="FFFFFF",0,2)+IF(getRGB1($E120)="FFFFFF",0,3)+IF(getRGB1($F120)="FFFFFF",0,4)</f>
        <v>1</v>
      </c>
    </row>
    <row r="121" spans="1:7" ht="25.5">
      <c r="A121" t="s">
        <v>8527</v>
      </c>
      <c r="B121" s="57" t="s">
        <v>1262</v>
      </c>
      <c r="C121" s="42" t="s">
        <v>1263</v>
      </c>
      <c r="D121" s="61" t="s">
        <v>1264</v>
      </c>
      <c r="E121" s="43" t="s">
        <v>1265</v>
      </c>
      <c r="F121" s="61" t="s">
        <v>1266</v>
      </c>
      <c r="G121">
        <f>IF(getRGB1($C121)="FFFFFF",0,1)+IF(getRGB1($D121)="FFFFFF",0,2)+IF(getRGB1($E121)="FFFFFF",0,3)+IF(getRGB1($F121)="FFFFFF",0,4)</f>
        <v>3</v>
      </c>
    </row>
    <row r="122" spans="1:7" ht="25.5">
      <c r="A122" t="s">
        <v>8527</v>
      </c>
      <c r="B122" s="57" t="s">
        <v>1267</v>
      </c>
      <c r="C122" s="40" t="s">
        <v>1268</v>
      </c>
      <c r="D122" s="61" t="s">
        <v>73</v>
      </c>
      <c r="E122" s="61" t="s">
        <v>74</v>
      </c>
      <c r="F122" s="61" t="s">
        <v>1269</v>
      </c>
      <c r="G122">
        <f>IF(getRGB1($C122)="FFFFFF",0,1)+IF(getRGB1($D122)="FFFFFF",0,2)+IF(getRGB1($E122)="FFFFFF",0,3)+IF(getRGB1($F122)="FFFFFF",0,4)</f>
        <v>1</v>
      </c>
    </row>
    <row r="123" spans="1:7" ht="25.5">
      <c r="A123" t="s">
        <v>8527</v>
      </c>
      <c r="B123" s="57" t="s">
        <v>1270</v>
      </c>
      <c r="C123" s="42" t="s">
        <v>1271</v>
      </c>
      <c r="D123" s="40" t="s">
        <v>1272</v>
      </c>
      <c r="E123" s="61" t="s">
        <v>1273</v>
      </c>
      <c r="F123" s="61" t="s">
        <v>1274</v>
      </c>
      <c r="G123">
        <f>IF(getRGB1($C123)="FFFFFF",0,1)+IF(getRGB1($D123)="FFFFFF",0,2)+IF(getRGB1($E123)="FFFFFF",0,3)+IF(getRGB1($F123)="FFFFFF",0,4)</f>
        <v>2</v>
      </c>
    </row>
    <row r="124" spans="1:7" ht="25.5">
      <c r="A124" t="s">
        <v>8527</v>
      </c>
      <c r="B124" s="57" t="s">
        <v>1275</v>
      </c>
      <c r="C124" s="61" t="s">
        <v>1276</v>
      </c>
      <c r="D124" s="61" t="s">
        <v>1277</v>
      </c>
      <c r="E124" s="61" t="s">
        <v>1278</v>
      </c>
      <c r="F124" s="43" t="s">
        <v>1279</v>
      </c>
      <c r="G124">
        <f>IF(getRGB1($C124)="FFFFFF",0,1)+IF(getRGB1($D124)="FFFFFF",0,2)+IF(getRGB1($E124)="FFFFFF",0,3)+IF(getRGB1($F124)="FFFFFF",0,4)</f>
        <v>4</v>
      </c>
    </row>
    <row r="125" spans="1:7" ht="38.25">
      <c r="A125" t="s">
        <v>8527</v>
      </c>
      <c r="B125" s="57" t="s">
        <v>1280</v>
      </c>
      <c r="C125" s="43" t="s">
        <v>1281</v>
      </c>
      <c r="D125" s="61" t="s">
        <v>73</v>
      </c>
      <c r="E125" s="61" t="s">
        <v>1282</v>
      </c>
      <c r="F125" s="61" t="s">
        <v>1283</v>
      </c>
      <c r="G125">
        <f>IF(getRGB1($C125)="FFFFFF",0,1)+IF(getRGB1($D125)="FFFFFF",0,2)+IF(getRGB1($E125)="FFFFFF",0,3)+IF(getRGB1($F125)="FFFFFF",0,4)</f>
        <v>1</v>
      </c>
    </row>
    <row r="126" spans="1:7" ht="38.25">
      <c r="A126" t="s">
        <v>8527</v>
      </c>
      <c r="B126" s="57" t="s">
        <v>1284</v>
      </c>
      <c r="C126" s="40" t="b">
        <v>1</v>
      </c>
      <c r="D126" s="42" t="b">
        <v>0</v>
      </c>
      <c r="E126" s="42"/>
      <c r="F126" s="42"/>
      <c r="G126">
        <f>IF(getRGB1($C126)="FFFFFF",0,1)+IF(getRGB1($D126)="FFFFFF",0,2)+IF(getRGB1($E126)="FFFFFF",0,3)+IF(getRGB1($F126)="FFFFFF",0,4)</f>
        <v>1</v>
      </c>
    </row>
    <row r="127" spans="1:7" ht="38.25">
      <c r="A127" t="s">
        <v>8527</v>
      </c>
      <c r="B127" s="57" t="s">
        <v>1285</v>
      </c>
      <c r="C127" s="42">
        <v>90</v>
      </c>
      <c r="D127" s="42">
        <v>60</v>
      </c>
      <c r="E127" s="40">
        <v>30</v>
      </c>
      <c r="F127" s="42">
        <v>180</v>
      </c>
      <c r="G127">
        <f>IF(getRGB1($C127)="FFFFFF",0,1)+IF(getRGB1($D127)="FFFFFF",0,2)+IF(getRGB1($E127)="FFFFFF",0,3)+IF(getRGB1($F127)="FFFFFF",0,4)</f>
        <v>3</v>
      </c>
    </row>
    <row r="128" spans="1:7" ht="30">
      <c r="A128" t="s">
        <v>8528</v>
      </c>
      <c r="B128" s="655" t="s">
        <v>8529</v>
      </c>
      <c r="C128" s="656">
        <v>10</v>
      </c>
      <c r="D128" s="656">
        <v>13</v>
      </c>
      <c r="E128" s="657">
        <v>14</v>
      </c>
      <c r="F128" s="656">
        <v>15</v>
      </c>
      <c r="G128">
        <f>IF(getRGB1($C128)="FFFFFF",0,1)+IF(getRGB1($D128)="FFFFFF",0,2)+IF(getRGB1($E128)="FFFFFF",0,3)+IF(getRGB1($F128)="FFFFFF",0,4)</f>
        <v>3</v>
      </c>
    </row>
    <row r="129" spans="1:7" ht="30">
      <c r="A129" t="s">
        <v>8528</v>
      </c>
      <c r="B129" s="658" t="s">
        <v>8530</v>
      </c>
      <c r="C129" s="659" t="s">
        <v>8531</v>
      </c>
      <c r="D129" s="660" t="s">
        <v>8532</v>
      </c>
      <c r="E129" s="659" t="s">
        <v>8533</v>
      </c>
      <c r="F129" s="659" t="s">
        <v>8534</v>
      </c>
      <c r="G129">
        <f>IF(getRGB1($C129)="FFFFFF",0,1)+IF(getRGB1($D129)="FFFFFF",0,2)+IF(getRGB1($E129)="FFFFFF",0,3)+IF(getRGB1($F129)="FFFFFF",0,4)</f>
        <v>2</v>
      </c>
    </row>
    <row r="130" spans="1:7" ht="30">
      <c r="A130" t="s">
        <v>8528</v>
      </c>
      <c r="B130" s="661" t="s">
        <v>8729</v>
      </c>
      <c r="C130" s="659" t="s">
        <v>8535</v>
      </c>
      <c r="D130" s="659" t="s">
        <v>8536</v>
      </c>
      <c r="E130" s="660" t="s">
        <v>8537</v>
      </c>
      <c r="F130" s="659" t="s">
        <v>8538</v>
      </c>
      <c r="G130">
        <f>IF(getRGB1($C130)="FFFFFF",0,1)+IF(getRGB1($D130)="FFFFFF",0,2)+IF(getRGB1($E130)="FFFFFF",0,3)+IF(getRGB1($F130)="FFFFFF",0,4)</f>
        <v>3</v>
      </c>
    </row>
    <row r="131" spans="1:7" ht="75">
      <c r="A131" t="s">
        <v>8528</v>
      </c>
      <c r="B131" s="661" t="s">
        <v>8539</v>
      </c>
      <c r="C131" s="659" t="s">
        <v>8540</v>
      </c>
      <c r="D131" s="659" t="s">
        <v>8541</v>
      </c>
      <c r="E131" s="659" t="s">
        <v>8542</v>
      </c>
      <c r="F131" s="660" t="s">
        <v>8543</v>
      </c>
      <c r="G131">
        <f>IF(getRGB1($C131)="FFFFFF",0,1)+IF(getRGB1($D131)="FFFFFF",0,2)+IF(getRGB1($E131)="FFFFFF",0,3)+IF(getRGB1($F131)="FFFFFF",0,4)</f>
        <v>4</v>
      </c>
    </row>
    <row r="132" spans="1:7" ht="30">
      <c r="A132" t="s">
        <v>8528</v>
      </c>
      <c r="B132" s="661" t="s">
        <v>8544</v>
      </c>
      <c r="C132" s="659" t="s">
        <v>8528</v>
      </c>
      <c r="D132" s="659" t="s">
        <v>8545</v>
      </c>
      <c r="E132" s="659" t="s">
        <v>8546</v>
      </c>
      <c r="F132" s="659" t="s">
        <v>2141</v>
      </c>
      <c r="G132">
        <f>IF(getRGB1($C132)="FFFFFF",0,1)+IF(getRGB1($D132)="FFFFFF",0,2)+IF(getRGB1($E132)="FFFFFF",0,3)+IF(getRGB1($F132)="FFFFFF",0,4)</f>
        <v>0</v>
      </c>
    </row>
    <row r="133" spans="1:7">
      <c r="A133" t="s">
        <v>8528</v>
      </c>
      <c r="B133" s="661" t="s">
        <v>8547</v>
      </c>
      <c r="C133" s="662" t="s">
        <v>8548</v>
      </c>
      <c r="D133" s="662" t="s">
        <v>8549</v>
      </c>
      <c r="E133" s="663" t="s">
        <v>8550</v>
      </c>
      <c r="F133" s="662" t="s">
        <v>8551</v>
      </c>
      <c r="G133">
        <f>IF(getRGB1($C133)="FFFFFF",0,1)+IF(getRGB1($D133)="FFFFFF",0,2)+IF(getRGB1($E133)="FFFFFF",0,3)+IF(getRGB1($F133)="FFFFFF",0,4)</f>
        <v>3</v>
      </c>
    </row>
    <row r="134" spans="1:7">
      <c r="A134" t="s">
        <v>8528</v>
      </c>
      <c r="B134" s="661" t="s">
        <v>8552</v>
      </c>
      <c r="C134" s="659" t="s">
        <v>8553</v>
      </c>
      <c r="D134" s="659" t="s">
        <v>8554</v>
      </c>
      <c r="E134" s="659" t="s">
        <v>8555</v>
      </c>
      <c r="F134" s="660" t="s">
        <v>8556</v>
      </c>
      <c r="G134">
        <f>IF(getRGB1($C134)="FFFFFF",0,1)+IF(getRGB1($D134)="FFFFFF",0,2)+IF(getRGB1($E134)="FFFFFF",0,3)+IF(getRGB1($F134)="FFFFFF",0,4)</f>
        <v>4</v>
      </c>
    </row>
    <row r="135" spans="1:7" ht="45">
      <c r="A135" t="s">
        <v>8528</v>
      </c>
      <c r="B135" s="661" t="s">
        <v>8557</v>
      </c>
      <c r="C135" s="659" t="s">
        <v>8546</v>
      </c>
      <c r="D135" s="660" t="s">
        <v>8528</v>
      </c>
      <c r="E135" s="659" t="s">
        <v>8558</v>
      </c>
      <c r="F135" s="659" t="s">
        <v>8556</v>
      </c>
      <c r="G135">
        <f>IF(getRGB1($C135)="FFFFFF",0,1)+IF(getRGB1($D135)="FFFFFF",0,2)+IF(getRGB1($E135)="FFFFFF",0,3)+IF(getRGB1($F135)="FFFFFF",0,4)</f>
        <v>2</v>
      </c>
    </row>
    <row r="136" spans="1:7" ht="60">
      <c r="A136" t="s">
        <v>8528</v>
      </c>
      <c r="B136" s="661" t="s">
        <v>8559</v>
      </c>
      <c r="C136" s="659" t="s">
        <v>8560</v>
      </c>
      <c r="D136" s="660" t="s">
        <v>8561</v>
      </c>
      <c r="E136" s="659" t="s">
        <v>8562</v>
      </c>
      <c r="F136" s="659" t="s">
        <v>8563</v>
      </c>
      <c r="G136">
        <f>IF(getRGB1($C136)="FFFFFF",0,1)+IF(getRGB1($D136)="FFFFFF",0,2)+IF(getRGB1($E136)="FFFFFF",0,3)+IF(getRGB1($F136)="FFFFFF",0,4)</f>
        <v>2</v>
      </c>
    </row>
    <row r="137" spans="1:7" ht="30">
      <c r="A137" t="s">
        <v>8528</v>
      </c>
      <c r="B137" s="661" t="s">
        <v>8564</v>
      </c>
      <c r="C137" s="659" t="s">
        <v>8565</v>
      </c>
      <c r="D137" s="659" t="s">
        <v>8566</v>
      </c>
      <c r="E137" s="660" t="s">
        <v>8567</v>
      </c>
      <c r="F137" s="659" t="s">
        <v>8568</v>
      </c>
      <c r="G137">
        <f>IF(getRGB1($C137)="FFFFFF",0,1)+IF(getRGB1($D137)="FFFFFF",0,2)+IF(getRGB1($E137)="FFFFFF",0,3)+IF(getRGB1($F137)="FFFFFF",0,4)</f>
        <v>3</v>
      </c>
    </row>
    <row r="138" spans="1:7" ht="45">
      <c r="A138" t="s">
        <v>8528</v>
      </c>
      <c r="B138" s="661" t="s">
        <v>8569</v>
      </c>
      <c r="C138" s="659" t="s">
        <v>8570</v>
      </c>
      <c r="D138" s="659" t="s">
        <v>8571</v>
      </c>
      <c r="E138" s="659" t="s">
        <v>8572</v>
      </c>
      <c r="F138" s="660" t="s">
        <v>8573</v>
      </c>
      <c r="G138">
        <f>IF(getRGB1($C138)="FFFFFF",0,1)+IF(getRGB1($D138)="FFFFFF",0,2)+IF(getRGB1($E138)="FFFFFF",0,3)+IF(getRGB1($F138)="FFFFFF",0,4)</f>
        <v>4</v>
      </c>
    </row>
    <row r="139" spans="1:7" ht="60">
      <c r="A139" t="s">
        <v>8528</v>
      </c>
      <c r="B139" s="661" t="s">
        <v>8574</v>
      </c>
      <c r="C139" s="660" t="s">
        <v>8575</v>
      </c>
      <c r="D139" s="659" t="s">
        <v>8730</v>
      </c>
      <c r="E139" s="659" t="s">
        <v>8576</v>
      </c>
      <c r="F139" s="659" t="s">
        <v>8731</v>
      </c>
      <c r="G139">
        <f>IF(getRGB1($C139)="FFFFFF",0,1)+IF(getRGB1($D139)="FFFFFF",0,2)+IF(getRGB1($E139)="FFFFFF",0,3)+IF(getRGB1($F139)="FFFFFF",0,4)</f>
        <v>1</v>
      </c>
    </row>
    <row r="140" spans="1:7" ht="60">
      <c r="A140" t="s">
        <v>8528</v>
      </c>
      <c r="B140" s="661" t="s">
        <v>8577</v>
      </c>
      <c r="C140" s="659" t="s">
        <v>8578</v>
      </c>
      <c r="D140" s="659" t="s">
        <v>8732</v>
      </c>
      <c r="E140" s="659" t="s">
        <v>8733</v>
      </c>
      <c r="F140" s="659" t="s">
        <v>8579</v>
      </c>
      <c r="G140">
        <f>IF(getRGB1($C140)="FFFFFF",0,1)+IF(getRGB1($D140)="FFFFFF",0,2)+IF(getRGB1($E140)="FFFFFF",0,3)+IF(getRGB1($F140)="FFFFFF",0,4)</f>
        <v>0</v>
      </c>
    </row>
    <row r="141" spans="1:7" ht="45">
      <c r="A141" t="s">
        <v>8528</v>
      </c>
      <c r="B141" s="661" t="s">
        <v>8580</v>
      </c>
      <c r="C141" s="659" t="s">
        <v>8533</v>
      </c>
      <c r="D141" s="659" t="s">
        <v>8581</v>
      </c>
      <c r="E141" s="659" t="s">
        <v>8534</v>
      </c>
      <c r="F141" s="660" t="s">
        <v>8582</v>
      </c>
      <c r="G141">
        <f>IF(getRGB1($C141)="FFFFFF",0,1)+IF(getRGB1($D141)="FFFFFF",0,2)+IF(getRGB1($E141)="FFFFFF",0,3)+IF(getRGB1($F141)="FFFFFF",0,4)</f>
        <v>4</v>
      </c>
    </row>
    <row r="142" spans="1:7" ht="30">
      <c r="A142" t="s">
        <v>8528</v>
      </c>
      <c r="B142" s="661" t="s">
        <v>8583</v>
      </c>
      <c r="C142" s="659" t="s">
        <v>8584</v>
      </c>
      <c r="D142" s="659"/>
      <c r="E142" s="659"/>
      <c r="F142" s="659"/>
      <c r="G142">
        <f>IF(getRGB1($C142)="FFFFFF",0,1)+IF(getRGB1($D142)="FFFFFF",0,2)+IF(getRGB1($E142)="FFFFFF",0,3)+IF(getRGB1($F142)="FFFFFF",0,4)</f>
        <v>0</v>
      </c>
    </row>
    <row r="143" spans="1:7" ht="30">
      <c r="A143" t="s">
        <v>8528</v>
      </c>
      <c r="B143" s="661" t="s">
        <v>8585</v>
      </c>
      <c r="C143" s="659" t="s">
        <v>8586</v>
      </c>
      <c r="D143" s="659" t="s">
        <v>8553</v>
      </c>
      <c r="E143" s="660" t="s">
        <v>8554</v>
      </c>
      <c r="F143" s="659" t="s">
        <v>8587</v>
      </c>
      <c r="G143">
        <f>IF(getRGB1($C143)="FFFFFF",0,1)+IF(getRGB1($D143)="FFFFFF",0,2)+IF(getRGB1($E143)="FFFFFF",0,3)+IF(getRGB1($F143)="FFFFFF",0,4)</f>
        <v>3</v>
      </c>
    </row>
    <row r="144" spans="1:7" ht="45">
      <c r="A144" t="s">
        <v>8528</v>
      </c>
      <c r="B144" s="661" t="s">
        <v>8588</v>
      </c>
      <c r="C144" s="659" t="s">
        <v>8734</v>
      </c>
      <c r="D144" s="659" t="s">
        <v>8589</v>
      </c>
      <c r="E144" s="659" t="s">
        <v>8590</v>
      </c>
      <c r="F144" s="659" t="s">
        <v>8591</v>
      </c>
      <c r="G144">
        <f>IF(getRGB1($C144)="FFFFFF",0,1)+IF(getRGB1($D144)="FFFFFF",0,2)+IF(getRGB1($E144)="FFFFFF",0,3)+IF(getRGB1($F144)="FFFFFF",0,4)</f>
        <v>0</v>
      </c>
    </row>
    <row r="145" spans="1:7" ht="60">
      <c r="A145" t="s">
        <v>8528</v>
      </c>
      <c r="B145" s="661" t="s">
        <v>8592</v>
      </c>
      <c r="C145" s="659" t="s">
        <v>8593</v>
      </c>
      <c r="D145" s="659" t="s">
        <v>8594</v>
      </c>
      <c r="E145" s="660" t="s">
        <v>8595</v>
      </c>
      <c r="F145" s="659" t="s">
        <v>8596</v>
      </c>
      <c r="G145">
        <f>IF(getRGB1($C145)="FFFFFF",0,1)+IF(getRGB1($D145)="FFFFFF",0,2)+IF(getRGB1($E145)="FFFFFF",0,3)+IF(getRGB1($F145)="FFFFFF",0,4)</f>
        <v>3</v>
      </c>
    </row>
    <row r="146" spans="1:7" ht="45">
      <c r="A146" t="s">
        <v>8528</v>
      </c>
      <c r="B146" s="661" t="s">
        <v>8597</v>
      </c>
      <c r="C146" s="659" t="s">
        <v>8598</v>
      </c>
      <c r="D146" s="659" t="s">
        <v>8599</v>
      </c>
      <c r="E146" s="659" t="s">
        <v>8600</v>
      </c>
      <c r="F146" s="660" t="s">
        <v>8601</v>
      </c>
      <c r="G146">
        <f>IF(getRGB1($C146)="FFFFFF",0,1)+IF(getRGB1($D146)="FFFFFF",0,2)+IF(getRGB1($E146)="FFFFFF",0,3)+IF(getRGB1($F146)="FFFFFF",0,4)</f>
        <v>4</v>
      </c>
    </row>
    <row r="147" spans="1:7" ht="30">
      <c r="A147" t="s">
        <v>8528</v>
      </c>
      <c r="B147" s="661" t="s">
        <v>8602</v>
      </c>
      <c r="C147" s="659" t="s">
        <v>8603</v>
      </c>
      <c r="D147" s="659"/>
      <c r="E147" s="659"/>
      <c r="F147" s="659"/>
      <c r="G147">
        <f>IF(getRGB1($C147)="FFFFFF",0,1)+IF(getRGB1($D147)="FFFFFF",0,2)+IF(getRGB1($E147)="FFFFFF",0,3)+IF(getRGB1($F147)="FFFFFF",0,4)</f>
        <v>0</v>
      </c>
    </row>
    <row r="148" spans="1:7" ht="30">
      <c r="A148" t="s">
        <v>8528</v>
      </c>
      <c r="B148" s="661" t="s">
        <v>8604</v>
      </c>
      <c r="C148" s="659" t="s">
        <v>8532</v>
      </c>
      <c r="D148" s="659" t="s">
        <v>8534</v>
      </c>
      <c r="E148" s="659" t="s">
        <v>8605</v>
      </c>
      <c r="F148" s="660" t="s">
        <v>8606</v>
      </c>
      <c r="G148">
        <f>IF(getRGB1($C148)="FFFFFF",0,1)+IF(getRGB1($D148)="FFFFFF",0,2)+IF(getRGB1($E148)="FFFFFF",0,3)+IF(getRGB1($F148)="FFFFFF",0,4)</f>
        <v>4</v>
      </c>
    </row>
    <row r="149" spans="1:7" ht="75">
      <c r="A149" t="s">
        <v>8528</v>
      </c>
      <c r="B149" s="658" t="s">
        <v>8607</v>
      </c>
      <c r="C149" s="659" t="s">
        <v>8608</v>
      </c>
      <c r="D149" s="659" t="s">
        <v>8609</v>
      </c>
      <c r="E149" s="659" t="s">
        <v>8610</v>
      </c>
      <c r="F149" s="659" t="s">
        <v>8611</v>
      </c>
      <c r="G149">
        <f>IF(getRGB1($C149)="FFFFFF",0,1)+IF(getRGB1($D149)="FFFFFF",0,2)+IF(getRGB1($E149)="FFFFFF",0,3)+IF(getRGB1($F149)="FFFFFF",0,4)</f>
        <v>0</v>
      </c>
    </row>
    <row r="150" spans="1:7" ht="30">
      <c r="A150" t="s">
        <v>8528</v>
      </c>
      <c r="B150" s="661" t="s">
        <v>8612</v>
      </c>
      <c r="C150" s="659">
        <v>4</v>
      </c>
      <c r="D150" s="659">
        <v>7</v>
      </c>
      <c r="E150" s="659">
        <v>5</v>
      </c>
      <c r="F150" s="660">
        <v>6</v>
      </c>
      <c r="G150">
        <f>IF(getRGB1($C150)="FFFFFF",0,1)+IF(getRGB1($D150)="FFFFFF",0,2)+IF(getRGB1($E150)="FFFFFF",0,3)+IF(getRGB1($F150)="FFFFFF",0,4)</f>
        <v>4</v>
      </c>
    </row>
    <row r="151" spans="1:7">
      <c r="A151" t="s">
        <v>8528</v>
      </c>
      <c r="B151" s="661" t="s">
        <v>8613</v>
      </c>
      <c r="C151" s="659" t="s">
        <v>8614</v>
      </c>
      <c r="D151" s="659" t="s">
        <v>8615</v>
      </c>
      <c r="E151" s="660" t="s">
        <v>8616</v>
      </c>
      <c r="F151" s="659" t="s">
        <v>2141</v>
      </c>
      <c r="G151">
        <f>IF(getRGB1($C151)="FFFFFF",0,1)+IF(getRGB1($D151)="FFFFFF",0,2)+IF(getRGB1($E151)="FFFFFF",0,3)+IF(getRGB1($F151)="FFFFFF",0,4)</f>
        <v>3</v>
      </c>
    </row>
    <row r="152" spans="1:7" ht="90">
      <c r="A152" t="s">
        <v>8528</v>
      </c>
      <c r="B152" s="661" t="s">
        <v>8617</v>
      </c>
      <c r="C152" s="659" t="s">
        <v>8618</v>
      </c>
      <c r="D152" s="659" t="s">
        <v>8619</v>
      </c>
      <c r="E152" s="660" t="s">
        <v>8620</v>
      </c>
      <c r="F152" s="659" t="s">
        <v>8543</v>
      </c>
      <c r="G152">
        <f>IF(getRGB1($C152)="FFFFFF",0,1)+IF(getRGB1($D152)="FFFFFF",0,2)+IF(getRGB1($E152)="FFFFFF",0,3)+IF(getRGB1($F152)="FFFFFF",0,4)</f>
        <v>3</v>
      </c>
    </row>
    <row r="153" spans="1:7" ht="45">
      <c r="A153" t="s">
        <v>8528</v>
      </c>
      <c r="B153" s="661" t="s">
        <v>8621</v>
      </c>
      <c r="C153" s="659" t="s">
        <v>8533</v>
      </c>
      <c r="D153" s="659" t="s">
        <v>8622</v>
      </c>
      <c r="E153" s="660" t="s">
        <v>8623</v>
      </c>
      <c r="F153" s="659" t="s">
        <v>8624</v>
      </c>
      <c r="G153">
        <f>IF(getRGB1($C153)="FFFFFF",0,1)+IF(getRGB1($D153)="FFFFFF",0,2)+IF(getRGB1($E153)="FFFFFF",0,3)+IF(getRGB1($F153)="FFFFFF",0,4)</f>
        <v>3</v>
      </c>
    </row>
    <row r="154" spans="1:7" ht="30">
      <c r="A154" t="s">
        <v>8528</v>
      </c>
      <c r="B154" s="661" t="s">
        <v>8625</v>
      </c>
      <c r="C154" s="659">
        <v>5</v>
      </c>
      <c r="D154" s="660">
        <v>6</v>
      </c>
      <c r="E154" s="659">
        <v>4</v>
      </c>
      <c r="F154" s="659">
        <v>7</v>
      </c>
      <c r="G154">
        <f>IF(getRGB1($C154)="FFFFFF",0,1)+IF(getRGB1($D154)="FFFFFF",0,2)+IF(getRGB1($E154)="FFFFFF",0,3)+IF(getRGB1($F154)="FFFFFF",0,4)</f>
        <v>2</v>
      </c>
    </row>
    <row r="155" spans="1:7" ht="30">
      <c r="A155" t="s">
        <v>8528</v>
      </c>
      <c r="B155" s="661" t="s">
        <v>8626</v>
      </c>
      <c r="C155" s="659" t="s">
        <v>8627</v>
      </c>
      <c r="D155" s="660" t="s">
        <v>8628</v>
      </c>
      <c r="E155" s="659" t="s">
        <v>8629</v>
      </c>
      <c r="F155" s="659" t="s">
        <v>8630</v>
      </c>
      <c r="G155">
        <f>IF(getRGB1($C155)="FFFFFF",0,1)+IF(getRGB1($D155)="FFFFFF",0,2)+IF(getRGB1($E155)="FFFFFF",0,3)+IF(getRGB1($F155)="FFFFFF",0,4)</f>
        <v>2</v>
      </c>
    </row>
    <row r="156" spans="1:7" ht="30">
      <c r="A156" t="s">
        <v>8528</v>
      </c>
      <c r="B156" s="661" t="s">
        <v>8631</v>
      </c>
      <c r="C156" s="660">
        <v>30</v>
      </c>
      <c r="D156" s="659">
        <v>40</v>
      </c>
      <c r="E156" s="659">
        <v>45</v>
      </c>
      <c r="F156" s="659">
        <v>50</v>
      </c>
      <c r="G156">
        <f>IF(getRGB1($C156)="FFFFFF",0,1)+IF(getRGB1($D156)="FFFFFF",0,2)+IF(getRGB1($E156)="FFFFFF",0,3)+IF(getRGB1($F156)="FFFFFF",0,4)</f>
        <v>1</v>
      </c>
    </row>
    <row r="157" spans="1:7">
      <c r="A157" t="s">
        <v>8528</v>
      </c>
      <c r="B157" s="661" t="s">
        <v>8632</v>
      </c>
      <c r="C157" s="659">
        <v>24</v>
      </c>
      <c r="D157" s="659">
        <v>20</v>
      </c>
      <c r="E157" s="660">
        <v>22</v>
      </c>
      <c r="F157" s="659">
        <v>30</v>
      </c>
      <c r="G157">
        <f>IF(getRGB1($C157)="FFFFFF",0,1)+IF(getRGB1($D157)="FFFFFF",0,2)+IF(getRGB1($E157)="FFFFFF",0,3)+IF(getRGB1($F157)="FFFFFF",0,4)</f>
        <v>3</v>
      </c>
    </row>
    <row r="158" spans="1:7" ht="45">
      <c r="A158" t="s">
        <v>8528</v>
      </c>
      <c r="B158" s="661" t="s">
        <v>8633</v>
      </c>
      <c r="C158" s="659" t="s">
        <v>8634</v>
      </c>
      <c r="D158" s="659" t="s">
        <v>8635</v>
      </c>
      <c r="E158" s="659" t="s">
        <v>8636</v>
      </c>
      <c r="F158" s="660" t="s">
        <v>8637</v>
      </c>
      <c r="G158">
        <f>IF(getRGB1($C158)="FFFFFF",0,1)+IF(getRGB1($D158)="FFFFFF",0,2)+IF(getRGB1($E158)="FFFFFF",0,3)+IF(getRGB1($F158)="FFFFFF",0,4)</f>
        <v>4</v>
      </c>
    </row>
    <row r="159" spans="1:7" ht="45">
      <c r="A159" t="s">
        <v>8528</v>
      </c>
      <c r="B159" s="661" t="s">
        <v>8638</v>
      </c>
      <c r="C159" s="659" t="s">
        <v>8639</v>
      </c>
      <c r="D159" s="659" t="s">
        <v>8640</v>
      </c>
      <c r="E159" s="660" t="s">
        <v>8641</v>
      </c>
      <c r="F159" s="659" t="s">
        <v>2141</v>
      </c>
      <c r="G159">
        <f>IF(getRGB1($C159)="FFFFFF",0,1)+IF(getRGB1($D159)="FFFFFF",0,2)+IF(getRGB1($E159)="FFFFFF",0,3)+IF(getRGB1($F159)="FFFFFF",0,4)</f>
        <v>3</v>
      </c>
    </row>
    <row r="160" spans="1:7" ht="30">
      <c r="A160" t="s">
        <v>8528</v>
      </c>
      <c r="B160" s="661" t="s">
        <v>8642</v>
      </c>
      <c r="C160" s="659">
        <v>4</v>
      </c>
      <c r="D160" s="660">
        <v>5</v>
      </c>
      <c r="E160" s="659">
        <v>3</v>
      </c>
      <c r="F160" s="659">
        <v>6</v>
      </c>
      <c r="G160">
        <f>IF(getRGB1($C160)="FFFFFF",0,1)+IF(getRGB1($D160)="FFFFFF",0,2)+IF(getRGB1($E160)="FFFFFF",0,3)+IF(getRGB1($F160)="FFFFFF",0,4)</f>
        <v>2</v>
      </c>
    </row>
    <row r="161" spans="1:7" ht="90">
      <c r="A161" t="s">
        <v>8528</v>
      </c>
      <c r="B161" s="661" t="s">
        <v>8643</v>
      </c>
      <c r="C161" s="659" t="s">
        <v>8644</v>
      </c>
      <c r="D161" s="659" t="s">
        <v>8645</v>
      </c>
      <c r="E161" s="660" t="s">
        <v>8646</v>
      </c>
      <c r="F161" s="661" t="s">
        <v>8647</v>
      </c>
      <c r="G161">
        <f>IF(getRGB1($C161)="FFFFFF",0,1)+IF(getRGB1($D161)="FFFFFF",0,2)+IF(getRGB1($E161)="FFFFFF",0,3)+IF(getRGB1($F161)="FFFFFF",0,4)</f>
        <v>3</v>
      </c>
    </row>
    <row r="162" spans="1:7" ht="30">
      <c r="A162" t="s">
        <v>8528</v>
      </c>
      <c r="B162" s="661" t="s">
        <v>8648</v>
      </c>
      <c r="C162" s="659" t="s">
        <v>8649</v>
      </c>
      <c r="D162" s="660" t="s">
        <v>8650</v>
      </c>
      <c r="E162" s="659" t="s">
        <v>8651</v>
      </c>
      <c r="F162" s="659" t="s">
        <v>8652</v>
      </c>
      <c r="G162">
        <f>IF(getRGB1($C162)="FFFFFF",0,1)+IF(getRGB1($D162)="FFFFFF",0,2)+IF(getRGB1($E162)="FFFFFF",0,3)+IF(getRGB1($F162)="FFFFFF",0,4)</f>
        <v>2</v>
      </c>
    </row>
    <row r="163" spans="1:7" ht="30">
      <c r="A163" t="s">
        <v>8528</v>
      </c>
      <c r="B163" s="661" t="s">
        <v>8653</v>
      </c>
      <c r="C163" s="659">
        <v>2</v>
      </c>
      <c r="D163" s="659">
        <v>5</v>
      </c>
      <c r="E163" s="660">
        <v>10</v>
      </c>
      <c r="F163" s="659">
        <v>15</v>
      </c>
      <c r="G163">
        <f>IF(getRGB1($C163)="FFFFFF",0,1)+IF(getRGB1($D163)="FFFFFF",0,2)+IF(getRGB1($E163)="FFFFFF",0,3)+IF(getRGB1($F163)="FFFFFF",0,4)</f>
        <v>3</v>
      </c>
    </row>
    <row r="164" spans="1:7" ht="60">
      <c r="A164" t="s">
        <v>8528</v>
      </c>
      <c r="B164" s="661" t="s">
        <v>8654</v>
      </c>
      <c r="C164" s="659">
        <v>5</v>
      </c>
      <c r="D164" s="659">
        <v>4</v>
      </c>
      <c r="E164" s="660">
        <v>6</v>
      </c>
      <c r="F164" s="659">
        <v>7</v>
      </c>
      <c r="G164">
        <f>IF(getRGB1($C164)="FFFFFF",0,1)+IF(getRGB1($D164)="FFFFFF",0,2)+IF(getRGB1($E164)="FFFFFF",0,3)+IF(getRGB1($F164)="FFFFFF",0,4)</f>
        <v>3</v>
      </c>
    </row>
    <row r="165" spans="1:7" ht="45">
      <c r="A165" t="s">
        <v>8528</v>
      </c>
      <c r="B165" s="658" t="s">
        <v>8655</v>
      </c>
      <c r="C165" s="659" t="s">
        <v>8584</v>
      </c>
      <c r="D165" s="661"/>
      <c r="E165" s="661"/>
      <c r="F165" s="661"/>
      <c r="G165">
        <f>IF(getRGB1($C165)="FFFFFF",0,1)+IF(getRGB1($D165)="FFFFFF",0,2)+IF(getRGB1($E165)="FFFFFF",0,3)+IF(getRGB1($F165)="FFFFFF",0,4)</f>
        <v>0</v>
      </c>
    </row>
    <row r="166" spans="1:7" ht="45">
      <c r="A166" t="s">
        <v>8528</v>
      </c>
      <c r="B166" s="664" t="s">
        <v>8656</v>
      </c>
      <c r="C166" s="659" t="s">
        <v>8657</v>
      </c>
      <c r="D166" s="659" t="s">
        <v>8658</v>
      </c>
      <c r="E166" s="659" t="s">
        <v>8659</v>
      </c>
      <c r="F166" s="659" t="s">
        <v>8660</v>
      </c>
      <c r="G166">
        <f>IF(getRGB1($C166)="FFFFFF",0,1)+IF(getRGB1($D166)="FFFFFF",0,2)+IF(getRGB1($E166)="FFFFFF",0,3)+IF(getRGB1($F166)="FFFFFF",0,4)</f>
        <v>0</v>
      </c>
    </row>
    <row r="167" spans="1:7">
      <c r="A167" t="s">
        <v>8528</v>
      </c>
      <c r="B167" s="664" t="s">
        <v>8661</v>
      </c>
      <c r="C167" s="660" t="s">
        <v>8662</v>
      </c>
      <c r="D167" s="659" t="s">
        <v>8663</v>
      </c>
      <c r="E167" s="659" t="s">
        <v>8664</v>
      </c>
      <c r="F167" s="659" t="s">
        <v>8665</v>
      </c>
      <c r="G167">
        <f>IF(getRGB1($C167)="FFFFFF",0,1)+IF(getRGB1($D167)="FFFFFF",0,2)+IF(getRGB1($E167)="FFFFFF",0,3)+IF(getRGB1($F167)="FFFFFF",0,4)</f>
        <v>1</v>
      </c>
    </row>
    <row r="168" spans="1:7">
      <c r="A168" t="s">
        <v>8528</v>
      </c>
      <c r="B168" s="664" t="s">
        <v>8666</v>
      </c>
      <c r="C168" s="659">
        <v>8</v>
      </c>
      <c r="D168" s="659">
        <v>9</v>
      </c>
      <c r="E168" s="659">
        <v>15</v>
      </c>
      <c r="F168" s="659">
        <v>10</v>
      </c>
      <c r="G168">
        <f>IF(getRGB1($C168)="FFFFFF",0,1)+IF(getRGB1($D168)="FFFFFF",0,2)+IF(getRGB1($E168)="FFFFFF",0,3)+IF(getRGB1($F168)="FFFFFF",0,4)</f>
        <v>0</v>
      </c>
    </row>
    <row r="169" spans="1:7" ht="45">
      <c r="A169" t="s">
        <v>8528</v>
      </c>
      <c r="B169" s="661" t="s">
        <v>8667</v>
      </c>
      <c r="C169" s="659" t="s">
        <v>8668</v>
      </c>
      <c r="D169" s="659" t="s">
        <v>8669</v>
      </c>
      <c r="E169" s="659" t="s">
        <v>8670</v>
      </c>
      <c r="F169" s="660" t="s">
        <v>2141</v>
      </c>
      <c r="G169">
        <f>IF(getRGB1($C169)="FFFFFF",0,1)+IF(getRGB1($D169)="FFFFFF",0,2)+IF(getRGB1($E169)="FFFFFF",0,3)+IF(getRGB1($F169)="FFFFFF",0,4)</f>
        <v>4</v>
      </c>
    </row>
    <row r="170" spans="1:7" ht="30.75" thickBot="1">
      <c r="A170" t="s">
        <v>8528</v>
      </c>
      <c r="B170" s="665" t="s">
        <v>8671</v>
      </c>
      <c r="C170" s="666" t="s">
        <v>8672</v>
      </c>
      <c r="D170" s="667" t="s">
        <v>8673</v>
      </c>
      <c r="E170" s="666" t="s">
        <v>8674</v>
      </c>
      <c r="F170" s="666" t="s">
        <v>8675</v>
      </c>
      <c r="G170">
        <f>IF(getRGB1($C170)="FFFFFF",0,1)+IF(getRGB1($D170)="FFFFFF",0,2)+IF(getRGB1($E170)="FFFFFF",0,3)+IF(getRGB1($F170)="FFFFFF",0,4)</f>
        <v>2</v>
      </c>
    </row>
    <row r="171" spans="1:7" ht="30">
      <c r="A171" t="s">
        <v>6695</v>
      </c>
      <c r="B171" s="336" t="s">
        <v>4693</v>
      </c>
      <c r="C171" s="337" t="s">
        <v>3466</v>
      </c>
      <c r="D171" s="481" t="s">
        <v>3540</v>
      </c>
      <c r="E171" s="337" t="s">
        <v>3444</v>
      </c>
      <c r="F171" s="337" t="s">
        <v>4694</v>
      </c>
      <c r="G171">
        <f>IF(getRGB1($C171)="FFFFFF",0,1)+IF(getRGB1($D171)="FFFFFF",0,2)+IF(getRGB1($E171)="FFFFFF",0,3)+IF(getRGB1($F171)="FFFFFF",0,4)</f>
        <v>2</v>
      </c>
    </row>
    <row r="172" spans="1:7" ht="30">
      <c r="A172" t="s">
        <v>6695</v>
      </c>
      <c r="B172" s="336" t="s">
        <v>6696</v>
      </c>
      <c r="C172" s="481" t="s">
        <v>4696</v>
      </c>
      <c r="D172" s="337" t="s">
        <v>4697</v>
      </c>
      <c r="E172" s="337" t="s">
        <v>4698</v>
      </c>
      <c r="F172" s="337" t="s">
        <v>4699</v>
      </c>
      <c r="G172">
        <f>IF(getRGB1($C172)="FFFFFF",0,1)+IF(getRGB1($D172)="FFFFFF",0,2)+IF(getRGB1($E172)="FFFFFF",0,3)+IF(getRGB1($F172)="FFFFFF",0,4)</f>
        <v>1</v>
      </c>
    </row>
    <row r="173" spans="1:7" ht="45">
      <c r="A173" t="s">
        <v>6695</v>
      </c>
      <c r="B173" s="336" t="s">
        <v>4700</v>
      </c>
      <c r="C173" s="337" t="s">
        <v>4701</v>
      </c>
      <c r="D173" s="337" t="s">
        <v>4702</v>
      </c>
      <c r="E173" s="337" t="s">
        <v>4703</v>
      </c>
      <c r="F173" s="481" t="s">
        <v>4704</v>
      </c>
      <c r="G173">
        <f>IF(getRGB1($C173)="FFFFFF",0,1)+IF(getRGB1($D173)="FFFFFF",0,2)+IF(getRGB1($E173)="FFFFFF",0,3)+IF(getRGB1($F173)="FFFFFF",0,4)</f>
        <v>4</v>
      </c>
    </row>
    <row r="174" spans="1:7" ht="30">
      <c r="A174" t="s">
        <v>6695</v>
      </c>
      <c r="B174" s="482" t="s">
        <v>4705</v>
      </c>
      <c r="C174" s="483" t="s">
        <v>4706</v>
      </c>
      <c r="D174" s="484" t="s">
        <v>4707</v>
      </c>
      <c r="E174" s="483" t="s">
        <v>4708</v>
      </c>
      <c r="F174" s="483" t="s">
        <v>4709</v>
      </c>
      <c r="G174">
        <f>IF(getRGB1($C174)="FFFFFF",0,1)+IF(getRGB1($D174)="FFFFFF",0,2)+IF(getRGB1($E174)="FFFFFF",0,3)+IF(getRGB1($F174)="FFFFFF",0,4)</f>
        <v>2</v>
      </c>
    </row>
    <row r="175" spans="1:7" ht="45">
      <c r="A175" t="s">
        <v>6695</v>
      </c>
      <c r="B175" s="482" t="s">
        <v>4710</v>
      </c>
      <c r="C175" s="483" t="s">
        <v>4711</v>
      </c>
      <c r="D175" s="484" t="s">
        <v>4712</v>
      </c>
      <c r="E175" s="483" t="s">
        <v>4713</v>
      </c>
      <c r="F175" s="483" t="s">
        <v>4714</v>
      </c>
      <c r="G175">
        <f>IF(getRGB1($C175)="FFFFFF",0,1)+IF(getRGB1($D175)="FFFFFF",0,2)+IF(getRGB1($E175)="FFFFFF",0,3)+IF(getRGB1($F175)="FFFFFF",0,4)</f>
        <v>2</v>
      </c>
    </row>
    <row r="176" spans="1:7" ht="30">
      <c r="A176" t="s">
        <v>6695</v>
      </c>
      <c r="B176" s="336" t="s">
        <v>6697</v>
      </c>
      <c r="C176" s="337">
        <v>2000</v>
      </c>
      <c r="D176" s="337">
        <v>1500</v>
      </c>
      <c r="E176" s="481">
        <v>1000</v>
      </c>
      <c r="F176" s="337">
        <v>750</v>
      </c>
      <c r="G176">
        <f>IF(getRGB1($C176)="FFFFFF",0,1)+IF(getRGB1($D176)="FFFFFF",0,2)+IF(getRGB1($E176)="FFFFFF",0,3)+IF(getRGB1($F176)="FFFFFF",0,4)</f>
        <v>3</v>
      </c>
    </row>
    <row r="177" spans="1:7" ht="60">
      <c r="A177" t="s">
        <v>6695</v>
      </c>
      <c r="B177" s="336" t="s">
        <v>4715</v>
      </c>
      <c r="C177" s="337" t="s">
        <v>4716</v>
      </c>
      <c r="D177" s="481" t="s">
        <v>4717</v>
      </c>
      <c r="E177" s="337" t="s">
        <v>4718</v>
      </c>
      <c r="F177" s="337" t="s">
        <v>4719</v>
      </c>
      <c r="G177">
        <f>IF(getRGB1($C177)="FFFFFF",0,1)+IF(getRGB1($D177)="FFFFFF",0,2)+IF(getRGB1($E177)="FFFFFF",0,3)+IF(getRGB1($F177)="FFFFFF",0,4)</f>
        <v>2</v>
      </c>
    </row>
    <row r="178" spans="1:7" ht="45">
      <c r="A178" t="s">
        <v>6695</v>
      </c>
      <c r="B178" s="336" t="s">
        <v>6698</v>
      </c>
      <c r="C178" s="337" t="s">
        <v>4717</v>
      </c>
      <c r="D178" s="337" t="s">
        <v>4721</v>
      </c>
      <c r="E178" s="481" t="s">
        <v>4722</v>
      </c>
      <c r="F178" s="337" t="s">
        <v>4723</v>
      </c>
      <c r="G178">
        <f>IF(getRGB1($C178)="FFFFFF",0,1)+IF(getRGB1($D178)="FFFFFF",0,2)+IF(getRGB1($E178)="FFFFFF",0,3)+IF(getRGB1($F178)="FFFFFF",0,4)</f>
        <v>3</v>
      </c>
    </row>
    <row r="179" spans="1:7" ht="45">
      <c r="A179" t="s">
        <v>6695</v>
      </c>
      <c r="B179" s="482" t="s">
        <v>4724</v>
      </c>
      <c r="C179" s="483" t="s">
        <v>4725</v>
      </c>
      <c r="D179" s="483" t="s">
        <v>4726</v>
      </c>
      <c r="E179" s="484" t="s">
        <v>4727</v>
      </c>
      <c r="F179" s="483" t="s">
        <v>4728</v>
      </c>
      <c r="G179">
        <f>IF(getRGB1($C179)="FFFFFF",0,1)+IF(getRGB1($D179)="FFFFFF",0,2)+IF(getRGB1($E179)="FFFFFF",0,3)+IF(getRGB1($F179)="FFFFFF",0,4)</f>
        <v>3</v>
      </c>
    </row>
    <row r="180" spans="1:7" ht="45">
      <c r="A180" t="s">
        <v>6695</v>
      </c>
      <c r="B180" s="482" t="s">
        <v>4729</v>
      </c>
      <c r="C180" s="337" t="s">
        <v>4730</v>
      </c>
      <c r="D180" s="481" t="s">
        <v>4731</v>
      </c>
      <c r="E180" s="337" t="s">
        <v>4721</v>
      </c>
      <c r="F180" s="337" t="s">
        <v>4723</v>
      </c>
      <c r="G180">
        <f>IF(getRGB1($C180)="FFFFFF",0,1)+IF(getRGB1($D180)="FFFFFF",0,2)+IF(getRGB1($E180)="FFFFFF",0,3)+IF(getRGB1($F180)="FFFFFF",0,4)</f>
        <v>2</v>
      </c>
    </row>
    <row r="181" spans="1:7" ht="45">
      <c r="A181" t="s">
        <v>6695</v>
      </c>
      <c r="B181" s="336" t="s">
        <v>6699</v>
      </c>
      <c r="C181" s="337" t="s">
        <v>4730</v>
      </c>
      <c r="D181" s="481" t="s">
        <v>4731</v>
      </c>
      <c r="E181" s="337" t="s">
        <v>4721</v>
      </c>
      <c r="F181" s="337" t="s">
        <v>4719</v>
      </c>
      <c r="G181">
        <f>IF(getRGB1($C181)="FFFFFF",0,1)+IF(getRGB1($D181)="FFFFFF",0,2)+IF(getRGB1($E181)="FFFFFF",0,3)+IF(getRGB1($F181)="FFFFFF",0,4)</f>
        <v>2</v>
      </c>
    </row>
    <row r="182" spans="1:7" ht="60">
      <c r="A182" t="s">
        <v>6695</v>
      </c>
      <c r="B182" s="336" t="s">
        <v>6700</v>
      </c>
      <c r="C182" s="337" t="s">
        <v>4734</v>
      </c>
      <c r="D182" s="337" t="s">
        <v>4731</v>
      </c>
      <c r="E182" s="337" t="s">
        <v>4721</v>
      </c>
      <c r="F182" s="481" t="s">
        <v>4722</v>
      </c>
      <c r="G182">
        <f>IF(getRGB1($C182)="FFFFFF",0,1)+IF(getRGB1($D182)="FFFFFF",0,2)+IF(getRGB1($E182)="FFFFFF",0,3)+IF(getRGB1($F182)="FFFFFF",0,4)</f>
        <v>4</v>
      </c>
    </row>
    <row r="183" spans="1:7" ht="30">
      <c r="A183" t="s">
        <v>6695</v>
      </c>
      <c r="B183" s="336" t="s">
        <v>4735</v>
      </c>
      <c r="C183" s="337" t="s">
        <v>4736</v>
      </c>
      <c r="D183" s="337" t="s">
        <v>4737</v>
      </c>
      <c r="E183" s="481" t="s">
        <v>4738</v>
      </c>
      <c r="F183" s="337" t="s">
        <v>4719</v>
      </c>
      <c r="G183">
        <f>IF(getRGB1($C183)="FFFFFF",0,1)+IF(getRGB1($D183)="FFFFFF",0,2)+IF(getRGB1($E183)="FFFFFF",0,3)+IF(getRGB1($F183)="FFFFFF",0,4)</f>
        <v>3</v>
      </c>
    </row>
    <row r="184" spans="1:7" ht="30">
      <c r="A184" t="s">
        <v>6695</v>
      </c>
      <c r="B184" s="336" t="s">
        <v>4739</v>
      </c>
      <c r="C184" s="337" t="s">
        <v>4740</v>
      </c>
      <c r="D184" s="337" t="s">
        <v>4741</v>
      </c>
      <c r="E184" s="337" t="s">
        <v>4742</v>
      </c>
      <c r="F184" s="481" t="s">
        <v>4743</v>
      </c>
      <c r="G184">
        <f>IF(getRGB1($C184)="FFFFFF",0,1)+IF(getRGB1($D184)="FFFFFF",0,2)+IF(getRGB1($E184)="FFFFFF",0,3)+IF(getRGB1($F184)="FFFFFF",0,4)</f>
        <v>4</v>
      </c>
    </row>
    <row r="185" spans="1:7" ht="30">
      <c r="A185" t="s">
        <v>6695</v>
      </c>
      <c r="B185" s="336" t="s">
        <v>6701</v>
      </c>
      <c r="C185" s="337" t="s">
        <v>1203</v>
      </c>
      <c r="D185" s="337" t="s">
        <v>4745</v>
      </c>
      <c r="E185" s="337" t="s">
        <v>4719</v>
      </c>
      <c r="F185" s="481" t="s">
        <v>4746</v>
      </c>
      <c r="G185">
        <f>IF(getRGB1($C185)="FFFFFF",0,1)+IF(getRGB1($D185)="FFFFFF",0,2)+IF(getRGB1($E185)="FFFFFF",0,3)+IF(getRGB1($F185)="FFFFFF",0,4)</f>
        <v>4</v>
      </c>
    </row>
    <row r="186" spans="1:7" ht="30">
      <c r="A186" t="s">
        <v>6695</v>
      </c>
      <c r="B186" s="336" t="s">
        <v>4747</v>
      </c>
      <c r="C186" s="481" t="s">
        <v>1203</v>
      </c>
      <c r="D186" s="337" t="s">
        <v>4745</v>
      </c>
      <c r="E186" s="337" t="s">
        <v>4719</v>
      </c>
      <c r="F186" s="337" t="s">
        <v>4748</v>
      </c>
      <c r="G186">
        <f>IF(getRGB1($C186)="FFFFFF",0,1)+IF(getRGB1($D186)="FFFFFF",0,2)+IF(getRGB1($E186)="FFFFFF",0,3)+IF(getRGB1($F186)="FFFFFF",0,4)</f>
        <v>1</v>
      </c>
    </row>
    <row r="187" spans="1:7" ht="30">
      <c r="A187" t="s">
        <v>6695</v>
      </c>
      <c r="B187" s="336" t="s">
        <v>4749</v>
      </c>
      <c r="C187" s="337" t="s">
        <v>3473</v>
      </c>
      <c r="D187" s="337" t="s">
        <v>3471</v>
      </c>
      <c r="E187" s="481" t="s">
        <v>3472</v>
      </c>
      <c r="F187" s="337" t="s">
        <v>3539</v>
      </c>
      <c r="G187">
        <f>IF(getRGB1($C187)="FFFFFF",0,1)+IF(getRGB1($D187)="FFFFFF",0,2)+IF(getRGB1($E187)="FFFFFF",0,3)+IF(getRGB1($F187)="FFFFFF",0,4)</f>
        <v>3</v>
      </c>
    </row>
    <row r="188" spans="1:7" ht="30">
      <c r="A188" t="s">
        <v>6695</v>
      </c>
      <c r="B188" s="336" t="s">
        <v>4750</v>
      </c>
      <c r="C188" s="337">
        <v>1948</v>
      </c>
      <c r="D188" s="481">
        <v>1975</v>
      </c>
      <c r="E188" s="337">
        <v>1991</v>
      </c>
      <c r="F188" s="337" t="s">
        <v>4751</v>
      </c>
      <c r="G188">
        <f>IF(getRGB1($C188)="FFFFFF",0,1)+IF(getRGB1($D188)="FFFFFF",0,2)+IF(getRGB1($E188)="FFFFFF",0,3)+IF(getRGB1($F188)="FFFFFF",0,4)</f>
        <v>2</v>
      </c>
    </row>
    <row r="189" spans="1:7" ht="30">
      <c r="A189" t="s">
        <v>6695</v>
      </c>
      <c r="B189" s="482" t="s">
        <v>6702</v>
      </c>
      <c r="C189" s="483" t="s">
        <v>6703</v>
      </c>
      <c r="D189" s="484" t="s">
        <v>6704</v>
      </c>
      <c r="E189" s="483" t="s">
        <v>6705</v>
      </c>
      <c r="F189" s="483" t="s">
        <v>4751</v>
      </c>
      <c r="G189">
        <f>IF(getRGB1($C189)="FFFFFF",0,1)+IF(getRGB1($D189)="FFFFFF",0,2)+IF(getRGB1($E189)="FFFFFF",0,3)+IF(getRGB1($F189)="FFFFFF",0,4)</f>
        <v>2</v>
      </c>
    </row>
    <row r="190" spans="1:7" ht="30">
      <c r="A190" t="s">
        <v>6695</v>
      </c>
      <c r="B190" s="336" t="s">
        <v>4752</v>
      </c>
      <c r="C190" s="337" t="s">
        <v>74</v>
      </c>
      <c r="D190" s="481" t="s">
        <v>76</v>
      </c>
      <c r="E190" s="337" t="s">
        <v>270</v>
      </c>
      <c r="F190" s="337" t="s">
        <v>73</v>
      </c>
      <c r="G190">
        <f>IF(getRGB1($C190)="FFFFFF",0,1)+IF(getRGB1($D190)="FFFFFF",0,2)+IF(getRGB1($E190)="FFFFFF",0,3)+IF(getRGB1($F190)="FFFFFF",0,4)</f>
        <v>2</v>
      </c>
    </row>
    <row r="191" spans="1:7" ht="30">
      <c r="A191" t="s">
        <v>6695</v>
      </c>
      <c r="B191" s="336" t="s">
        <v>6706</v>
      </c>
      <c r="C191" s="337" t="s">
        <v>74</v>
      </c>
      <c r="D191" s="337" t="s">
        <v>73</v>
      </c>
      <c r="E191" s="337" t="s">
        <v>76</v>
      </c>
      <c r="F191" s="481" t="s">
        <v>270</v>
      </c>
      <c r="G191">
        <f>IF(getRGB1($C191)="FFFFFF",0,1)+IF(getRGB1($D191)="FFFFFF",0,2)+IF(getRGB1($E191)="FFFFFF",0,3)+IF(getRGB1($F191)="FFFFFF",0,4)</f>
        <v>4</v>
      </c>
    </row>
    <row r="192" spans="1:7" ht="30">
      <c r="A192" t="s">
        <v>6695</v>
      </c>
      <c r="B192" s="482" t="s">
        <v>4754</v>
      </c>
      <c r="C192" s="484" t="s">
        <v>74</v>
      </c>
      <c r="D192" s="337" t="s">
        <v>73</v>
      </c>
      <c r="E192" s="337" t="s">
        <v>177</v>
      </c>
      <c r="F192" s="337" t="s">
        <v>4755</v>
      </c>
      <c r="G192">
        <f>IF(getRGB1($C192)="FFFFFF",0,1)+IF(getRGB1($D192)="FFFFFF",0,2)+IF(getRGB1($E192)="FFFFFF",0,3)+IF(getRGB1($F192)="FFFFFF",0,4)</f>
        <v>1</v>
      </c>
    </row>
    <row r="193" spans="1:7" ht="30">
      <c r="A193" t="s">
        <v>6695</v>
      </c>
      <c r="B193" s="336" t="s">
        <v>4655</v>
      </c>
      <c r="C193" s="337" t="s">
        <v>4656</v>
      </c>
      <c r="D193" s="337" t="s">
        <v>4657</v>
      </c>
      <c r="E193" s="481" t="s">
        <v>74</v>
      </c>
      <c r="F193" s="337" t="s">
        <v>4658</v>
      </c>
      <c r="G193">
        <f>IF(getRGB1($C193)="FFFFFF",0,1)+IF(getRGB1($D193)="FFFFFF",0,2)+IF(getRGB1($E193)="FFFFFF",0,3)+IF(getRGB1($F193)="FFFFFF",0,4)</f>
        <v>3</v>
      </c>
    </row>
    <row r="194" spans="1:7" ht="30">
      <c r="A194" t="s">
        <v>6695</v>
      </c>
      <c r="B194" s="336" t="s">
        <v>4756</v>
      </c>
      <c r="C194" s="337" t="s">
        <v>73</v>
      </c>
      <c r="D194" s="337" t="s">
        <v>4757</v>
      </c>
      <c r="E194" s="337" t="s">
        <v>4758</v>
      </c>
      <c r="F194" s="481" t="s">
        <v>4755</v>
      </c>
      <c r="G194">
        <f>IF(getRGB1($C194)="FFFFFF",0,1)+IF(getRGB1($D194)="FFFFFF",0,2)+IF(getRGB1($E194)="FFFFFF",0,3)+IF(getRGB1($F194)="FFFFFF",0,4)</f>
        <v>4</v>
      </c>
    </row>
    <row r="195" spans="1:7" ht="45">
      <c r="A195" t="s">
        <v>6695</v>
      </c>
      <c r="B195" s="336" t="s">
        <v>4759</v>
      </c>
      <c r="C195" s="481" t="s">
        <v>74</v>
      </c>
      <c r="D195" s="337" t="s">
        <v>73</v>
      </c>
      <c r="E195" s="337" t="s">
        <v>177</v>
      </c>
      <c r="F195" s="337" t="s">
        <v>4760</v>
      </c>
      <c r="G195">
        <f>IF(getRGB1($C195)="FFFFFF",0,1)+IF(getRGB1($D195)="FFFFFF",0,2)+IF(getRGB1($E195)="FFFFFF",0,3)+IF(getRGB1($F195)="FFFFFF",0,4)</f>
        <v>1</v>
      </c>
    </row>
    <row r="196" spans="1:7" ht="60">
      <c r="A196" t="s">
        <v>6695</v>
      </c>
      <c r="B196" s="336" t="s">
        <v>4761</v>
      </c>
      <c r="C196" s="337" t="s">
        <v>74</v>
      </c>
      <c r="D196" s="481" t="s">
        <v>73</v>
      </c>
      <c r="E196" s="337" t="s">
        <v>177</v>
      </c>
      <c r="F196" s="337" t="s">
        <v>4658</v>
      </c>
      <c r="G196">
        <f>IF(getRGB1($C196)="FFFFFF",0,1)+IF(getRGB1($D196)="FFFFFF",0,2)+IF(getRGB1($E196)="FFFFFF",0,3)+IF(getRGB1($F196)="FFFFFF",0,4)</f>
        <v>2</v>
      </c>
    </row>
    <row r="197" spans="1:7" ht="45">
      <c r="A197" t="s">
        <v>6695</v>
      </c>
      <c r="B197" s="336" t="s">
        <v>4762</v>
      </c>
      <c r="C197" s="337" t="s">
        <v>4763</v>
      </c>
      <c r="D197" s="668" t="s">
        <v>1203</v>
      </c>
      <c r="E197" s="337" t="s">
        <v>4764</v>
      </c>
      <c r="F197" s="481" t="s">
        <v>2808</v>
      </c>
      <c r="G197">
        <f>IF(getRGB1($C197)="FFFFFF",0,1)+IF(getRGB1($D197)="FFFFFF",0,2)+IF(getRGB1($E197)="FFFFFF",0,3)+IF(getRGB1($F197)="FFFFFF",0,4)</f>
        <v>4</v>
      </c>
    </row>
    <row r="198" spans="1:7" ht="30">
      <c r="A198" t="s">
        <v>6695</v>
      </c>
      <c r="B198" s="336" t="s">
        <v>4765</v>
      </c>
      <c r="C198" s="337">
        <v>3</v>
      </c>
      <c r="D198" s="337">
        <v>4</v>
      </c>
      <c r="E198" s="481">
        <v>5</v>
      </c>
      <c r="F198" s="337">
        <v>6</v>
      </c>
      <c r="G198">
        <f>IF(getRGB1($C198)="FFFFFF",0,1)+IF(getRGB1($D198)="FFFFFF",0,2)+IF(getRGB1($E198)="FFFFFF",0,3)+IF(getRGB1($F198)="FFFFFF",0,4)</f>
        <v>3</v>
      </c>
    </row>
    <row r="199" spans="1:7" ht="30">
      <c r="A199" t="s">
        <v>6695</v>
      </c>
      <c r="B199" s="336" t="s">
        <v>4766</v>
      </c>
      <c r="C199" s="337" t="s">
        <v>4767</v>
      </c>
      <c r="D199" s="337" t="s">
        <v>4768</v>
      </c>
      <c r="E199" s="337" t="s">
        <v>4769</v>
      </c>
      <c r="F199" s="481" t="s">
        <v>4770</v>
      </c>
      <c r="G199">
        <f>IF(getRGB1($C199)="FFFFFF",0,1)+IF(getRGB1($D199)="FFFFFF",0,2)+IF(getRGB1($E199)="FFFFFF",0,3)+IF(getRGB1($F199)="FFFFFF",0,4)</f>
        <v>4</v>
      </c>
    </row>
    <row r="200" spans="1:7">
      <c r="A200" t="s">
        <v>6695</v>
      </c>
      <c r="B200" s="336" t="s">
        <v>4771</v>
      </c>
      <c r="C200" s="337" t="s">
        <v>4772</v>
      </c>
      <c r="D200" s="481" t="s">
        <v>4767</v>
      </c>
      <c r="E200" s="337" t="s">
        <v>4768</v>
      </c>
      <c r="F200" s="337" t="s">
        <v>4769</v>
      </c>
      <c r="G200">
        <f>IF(getRGB1($C200)="FFFFFF",0,1)+IF(getRGB1($D200)="FFFFFF",0,2)+IF(getRGB1($E200)="FFFFFF",0,3)+IF(getRGB1($F200)="FFFFFF",0,4)</f>
        <v>2</v>
      </c>
    </row>
    <row r="201" spans="1:7" ht="30">
      <c r="A201" t="s">
        <v>6695</v>
      </c>
      <c r="B201" s="336" t="s">
        <v>4773</v>
      </c>
      <c r="C201" s="337">
        <v>400</v>
      </c>
      <c r="D201" s="337">
        <v>500</v>
      </c>
      <c r="E201" s="337">
        <v>600</v>
      </c>
      <c r="F201" s="481">
        <v>1000</v>
      </c>
      <c r="G201">
        <f>IF(getRGB1($C201)="FFFFFF",0,1)+IF(getRGB1($D201)="FFFFFF",0,2)+IF(getRGB1($E201)="FFFFFF",0,3)+IF(getRGB1($F201)="FFFFFF",0,4)</f>
        <v>4</v>
      </c>
    </row>
    <row r="202" spans="1:7" ht="30">
      <c r="A202" t="s">
        <v>6695</v>
      </c>
      <c r="B202" s="336" t="s">
        <v>4774</v>
      </c>
      <c r="C202" s="337" t="s">
        <v>4775</v>
      </c>
      <c r="D202" s="337" t="s">
        <v>4776</v>
      </c>
      <c r="E202" s="337" t="s">
        <v>83</v>
      </c>
      <c r="F202" s="337" t="s">
        <v>4777</v>
      </c>
      <c r="G202">
        <f>IF(getRGB1($C202)="FFFFFF",0,1)+IF(getRGB1($D202)="FFFFFF",0,2)+IF(getRGB1($E202)="FFFFFF",0,3)+IF(getRGB1($F202)="FFFFFF",0,4)</f>
        <v>0</v>
      </c>
    </row>
    <row r="203" spans="1:7" ht="45">
      <c r="A203" t="s">
        <v>6695</v>
      </c>
      <c r="B203" s="336" t="s">
        <v>4778</v>
      </c>
      <c r="C203" s="485">
        <v>0.65</v>
      </c>
      <c r="D203" s="486">
        <v>0.75</v>
      </c>
      <c r="E203" s="485">
        <v>0.85</v>
      </c>
      <c r="F203" s="485">
        <v>0.95</v>
      </c>
      <c r="G203">
        <f>IF(getRGB1($C203)="FFFFFF",0,1)+IF(getRGB1($D203)="FFFFFF",0,2)+IF(getRGB1($E203)="FFFFFF",0,3)+IF(getRGB1($F203)="FFFFFF",0,4)</f>
        <v>2</v>
      </c>
    </row>
    <row r="204" spans="1:7" ht="30">
      <c r="A204" t="s">
        <v>6695</v>
      </c>
      <c r="B204" s="336" t="s">
        <v>4779</v>
      </c>
      <c r="C204" s="487" t="s">
        <v>4780</v>
      </c>
      <c r="D204" s="337" t="s">
        <v>4781</v>
      </c>
      <c r="E204" s="342" t="s">
        <v>4782</v>
      </c>
      <c r="F204" s="337" t="s">
        <v>4783</v>
      </c>
      <c r="G204">
        <f>IF(getRGB1($C204)="FFFFFF",0,1)+IF(getRGB1($D204)="FFFFFF",0,2)+IF(getRGB1($E204)="FFFFFF",0,3)+IF(getRGB1($F204)="FFFFFF",0,4)</f>
        <v>0</v>
      </c>
    </row>
    <row r="205" spans="1:7" ht="30">
      <c r="A205" t="s">
        <v>6695</v>
      </c>
      <c r="B205" s="336" t="s">
        <v>4784</v>
      </c>
      <c r="C205" s="337" t="s">
        <v>4785</v>
      </c>
      <c r="D205" s="481" t="s">
        <v>4786</v>
      </c>
      <c r="E205" s="337" t="s">
        <v>4787</v>
      </c>
      <c r="F205" s="337" t="s">
        <v>4719</v>
      </c>
      <c r="G205">
        <f>IF(getRGB1($C205)="FFFFFF",0,1)+IF(getRGB1($D205)="FFFFFF",0,2)+IF(getRGB1($E205)="FFFFFF",0,3)+IF(getRGB1($F205)="FFFFFF",0,4)</f>
        <v>2</v>
      </c>
    </row>
    <row r="206" spans="1:7" ht="30">
      <c r="A206" t="s">
        <v>6695</v>
      </c>
      <c r="B206" s="336" t="s">
        <v>4788</v>
      </c>
      <c r="C206" s="481" t="s">
        <v>4785</v>
      </c>
      <c r="D206" s="337" t="s">
        <v>4786</v>
      </c>
      <c r="E206" s="337" t="s">
        <v>4787</v>
      </c>
      <c r="F206" s="337" t="s">
        <v>4719</v>
      </c>
      <c r="G206">
        <f>IF(getRGB1($C206)="FFFFFF",0,1)+IF(getRGB1($D206)="FFFFFF",0,2)+IF(getRGB1($E206)="FFFFFF",0,3)+IF(getRGB1($F206)="FFFFFF",0,4)</f>
        <v>1</v>
      </c>
    </row>
    <row r="207" spans="1:7" ht="30">
      <c r="A207" t="s">
        <v>6695</v>
      </c>
      <c r="B207" s="336" t="s">
        <v>4789</v>
      </c>
      <c r="C207" s="481" t="s">
        <v>4785</v>
      </c>
      <c r="D207" s="337" t="s">
        <v>4786</v>
      </c>
      <c r="E207" s="337" t="s">
        <v>4787</v>
      </c>
      <c r="F207" s="337" t="s">
        <v>4719</v>
      </c>
      <c r="G207">
        <f>IF(getRGB1($C207)="FFFFFF",0,1)+IF(getRGB1($D207)="FFFFFF",0,2)+IF(getRGB1($E207)="FFFFFF",0,3)+IF(getRGB1($F207)="FFFFFF",0,4)</f>
        <v>1</v>
      </c>
    </row>
    <row r="208" spans="1:7" ht="30">
      <c r="A208" t="s">
        <v>6695</v>
      </c>
      <c r="B208" s="336" t="s">
        <v>4790</v>
      </c>
      <c r="C208" s="481" t="s">
        <v>4785</v>
      </c>
      <c r="D208" s="337" t="s">
        <v>4786</v>
      </c>
      <c r="E208" s="337" t="s">
        <v>4787</v>
      </c>
      <c r="F208" s="337" t="s">
        <v>4719</v>
      </c>
      <c r="G208">
        <f>IF(getRGB1($C208)="FFFFFF",0,1)+IF(getRGB1($D208)="FFFFFF",0,2)+IF(getRGB1($E208)="FFFFFF",0,3)+IF(getRGB1($F208)="FFFFFF",0,4)</f>
        <v>1</v>
      </c>
    </row>
    <row r="209" spans="1:7" ht="45">
      <c r="A209" t="s">
        <v>6695</v>
      </c>
      <c r="B209" s="336" t="s">
        <v>4791</v>
      </c>
      <c r="C209" s="337" t="s">
        <v>1073</v>
      </c>
      <c r="D209" s="337" t="s">
        <v>4792</v>
      </c>
      <c r="E209" s="337" t="s">
        <v>4793</v>
      </c>
      <c r="F209" s="481" t="s">
        <v>4794</v>
      </c>
      <c r="G209">
        <f>IF(getRGB1($C209)="FFFFFF",0,1)+IF(getRGB1($D209)="FFFFFF",0,2)+IF(getRGB1($E209)="FFFFFF",0,3)+IF(getRGB1($F209)="FFFFFF",0,4)</f>
        <v>4</v>
      </c>
    </row>
    <row r="210" spans="1:7" ht="45">
      <c r="A210" t="s">
        <v>6695</v>
      </c>
      <c r="B210" s="336" t="s">
        <v>4795</v>
      </c>
      <c r="C210" s="337" t="s">
        <v>4716</v>
      </c>
      <c r="D210" s="481" t="s">
        <v>4717</v>
      </c>
      <c r="E210" s="337" t="s">
        <v>4796</v>
      </c>
      <c r="F210" s="337" t="s">
        <v>209</v>
      </c>
      <c r="G210">
        <f>IF(getRGB1($C210)="FFFFFF",0,1)+IF(getRGB1($D210)="FFFFFF",0,2)+IF(getRGB1($E210)="FFFFFF",0,3)+IF(getRGB1($F210)="FFFFFF",0,4)</f>
        <v>2</v>
      </c>
    </row>
    <row r="211" spans="1:7" ht="45">
      <c r="A211" t="s">
        <v>6695</v>
      </c>
      <c r="B211" s="336" t="s">
        <v>4797</v>
      </c>
      <c r="C211" s="337" t="s">
        <v>4716</v>
      </c>
      <c r="D211" s="337" t="s">
        <v>4717</v>
      </c>
      <c r="E211" s="337" t="s">
        <v>4796</v>
      </c>
      <c r="F211" s="481" t="s">
        <v>4798</v>
      </c>
      <c r="G211">
        <f>IF(getRGB1($C211)="FFFFFF",0,1)+IF(getRGB1($D211)="FFFFFF",0,2)+IF(getRGB1($E211)="FFFFFF",0,3)+IF(getRGB1($F211)="FFFFFF",0,4)</f>
        <v>4</v>
      </c>
    </row>
    <row r="212" spans="1:7" ht="30">
      <c r="A212" t="s">
        <v>6695</v>
      </c>
      <c r="B212" s="336" t="s">
        <v>4659</v>
      </c>
      <c r="C212" s="337" t="s">
        <v>4660</v>
      </c>
      <c r="D212" s="337" t="s">
        <v>4661</v>
      </c>
      <c r="E212" s="337" t="s">
        <v>4662</v>
      </c>
      <c r="F212" s="481" t="s">
        <v>1725</v>
      </c>
      <c r="G212">
        <f>IF(getRGB1($C212)="FFFFFF",0,1)+IF(getRGB1($D212)="FFFFFF",0,2)+IF(getRGB1($E212)="FFFFFF",0,3)+IF(getRGB1($F212)="FFFFFF",0,4)</f>
        <v>4</v>
      </c>
    </row>
    <row r="213" spans="1:7" ht="45">
      <c r="A213" t="s">
        <v>6695</v>
      </c>
      <c r="B213" s="336" t="s">
        <v>4799</v>
      </c>
      <c r="C213" s="337" t="s">
        <v>4716</v>
      </c>
      <c r="D213" s="337" t="s">
        <v>4717</v>
      </c>
      <c r="E213" s="481" t="s">
        <v>4796</v>
      </c>
      <c r="F213" s="337" t="s">
        <v>4798</v>
      </c>
      <c r="G213">
        <f>IF(getRGB1($C213)="FFFFFF",0,1)+IF(getRGB1($D213)="FFFFFF",0,2)+IF(getRGB1($E213)="FFFFFF",0,3)+IF(getRGB1($F213)="FFFFFF",0,4)</f>
        <v>3</v>
      </c>
    </row>
    <row r="214" spans="1:7" ht="45">
      <c r="A214" t="s">
        <v>6695</v>
      </c>
      <c r="B214" s="336" t="s">
        <v>8685</v>
      </c>
      <c r="C214" s="337" t="s">
        <v>4646</v>
      </c>
      <c r="D214" s="481" t="s">
        <v>4674</v>
      </c>
      <c r="E214" s="337" t="s">
        <v>4648</v>
      </c>
      <c r="F214" s="337" t="s">
        <v>209</v>
      </c>
      <c r="G214">
        <f>IF(getRGB1($C214)="FFFFFF",0,1)+IF(getRGB1($D214)="FFFFFF",0,2)+IF(getRGB1($E214)="FFFFFF",0,3)+IF(getRGB1($F214)="FFFFFF",0,4)</f>
        <v>2</v>
      </c>
    </row>
    <row r="215" spans="1:7" ht="45">
      <c r="A215" t="s">
        <v>6695</v>
      </c>
      <c r="B215" s="336" t="s">
        <v>8686</v>
      </c>
      <c r="C215" s="337" t="s">
        <v>4646</v>
      </c>
      <c r="D215" s="481" t="s">
        <v>4674</v>
      </c>
      <c r="E215" s="337" t="s">
        <v>4648</v>
      </c>
      <c r="F215" s="337" t="s">
        <v>209</v>
      </c>
      <c r="G215">
        <f>IF(getRGB1($C215)="FFFFFF",0,1)+IF(getRGB1($D215)="FFFFFF",0,2)+IF(getRGB1($E215)="FFFFFF",0,3)+IF(getRGB1($F215)="FFFFFF",0,4)</f>
        <v>2</v>
      </c>
    </row>
    <row r="216" spans="1:7" ht="45">
      <c r="A216" t="s">
        <v>6695</v>
      </c>
      <c r="B216" s="336" t="s">
        <v>8687</v>
      </c>
      <c r="C216" s="337" t="s">
        <v>4646</v>
      </c>
      <c r="D216" s="481" t="s">
        <v>4674</v>
      </c>
      <c r="E216" s="337" t="s">
        <v>4648</v>
      </c>
      <c r="F216" s="337" t="s">
        <v>209</v>
      </c>
      <c r="G216">
        <f>IF(getRGB1($C216)="FFFFFF",0,1)+IF(getRGB1($D216)="FFFFFF",0,2)+IF(getRGB1($E216)="FFFFFF",0,3)+IF(getRGB1($F216)="FFFFFF",0,4)</f>
        <v>2</v>
      </c>
    </row>
    <row r="217" spans="1:7" ht="60">
      <c r="A217" t="s">
        <v>6695</v>
      </c>
      <c r="B217" s="336" t="s">
        <v>8688</v>
      </c>
      <c r="C217" s="337" t="s">
        <v>4646</v>
      </c>
      <c r="D217" s="481" t="s">
        <v>4674</v>
      </c>
      <c r="E217" s="337" t="s">
        <v>4648</v>
      </c>
      <c r="F217" s="337" t="s">
        <v>209</v>
      </c>
      <c r="G217">
        <f>IF(getRGB1($C217)="FFFFFF",0,1)+IF(getRGB1($D217)="FFFFFF",0,2)+IF(getRGB1($E217)="FFFFFF",0,3)+IF(getRGB1($F217)="FFFFFF",0,4)</f>
        <v>2</v>
      </c>
    </row>
    <row r="218" spans="1:7" ht="45">
      <c r="A218" t="s">
        <v>6695</v>
      </c>
      <c r="B218" s="336" t="s">
        <v>4652</v>
      </c>
      <c r="C218" s="337">
        <v>2</v>
      </c>
      <c r="D218" s="481">
        <v>3</v>
      </c>
      <c r="E218" s="337">
        <v>4</v>
      </c>
      <c r="F218" s="337">
        <v>5</v>
      </c>
      <c r="G218">
        <f>IF(getRGB1($C218)="FFFFFF",0,1)+IF(getRGB1($D218)="FFFFFF",0,2)+IF(getRGB1($E218)="FFFFFF",0,3)+IF(getRGB1($F218)="FFFFFF",0,4)</f>
        <v>2</v>
      </c>
    </row>
    <row r="219" spans="1:7" ht="60">
      <c r="A219" t="s">
        <v>6695</v>
      </c>
      <c r="B219" s="336" t="s">
        <v>4800</v>
      </c>
      <c r="C219" s="337">
        <v>62</v>
      </c>
      <c r="D219" s="481">
        <v>63</v>
      </c>
      <c r="E219" s="337">
        <v>66</v>
      </c>
      <c r="F219" s="337" t="s">
        <v>1437</v>
      </c>
      <c r="G219">
        <f>IF(getRGB1($C219)="FFFFFF",0,1)+IF(getRGB1($D219)="FFFFFF",0,2)+IF(getRGB1($E219)="FFFFFF",0,3)+IF(getRGB1($F219)="FFFFFF",0,4)</f>
        <v>2</v>
      </c>
    </row>
    <row r="220" spans="1:7" ht="30">
      <c r="A220" t="s">
        <v>6695</v>
      </c>
      <c r="B220" s="336" t="s">
        <v>4801</v>
      </c>
      <c r="C220" s="337">
        <v>2</v>
      </c>
      <c r="D220" s="337">
        <v>3</v>
      </c>
      <c r="E220" s="481">
        <v>4</v>
      </c>
      <c r="F220" s="337">
        <v>5</v>
      </c>
      <c r="G220">
        <f>IF(getRGB1($C220)="FFFFFF",0,1)+IF(getRGB1($D220)="FFFFFF",0,2)+IF(getRGB1($E220)="FFFFFF",0,3)+IF(getRGB1($F220)="FFFFFF",0,4)</f>
        <v>3</v>
      </c>
    </row>
    <row r="221" spans="1:7" ht="30">
      <c r="A221" t="s">
        <v>6695</v>
      </c>
      <c r="B221" s="336" t="s">
        <v>8689</v>
      </c>
      <c r="C221" s="337">
        <v>5</v>
      </c>
      <c r="D221" s="481">
        <v>2</v>
      </c>
      <c r="E221" s="337">
        <v>3</v>
      </c>
      <c r="F221" s="337">
        <v>4</v>
      </c>
      <c r="G221">
        <f>IF(getRGB1($C221)="FFFFFF",0,1)+IF(getRGB1($D221)="FFFFFF",0,2)+IF(getRGB1($E221)="FFFFFF",0,3)+IF(getRGB1($F221)="FFFFFF",0,4)</f>
        <v>2</v>
      </c>
    </row>
    <row r="222" spans="1:7">
      <c r="A222" t="s">
        <v>6695</v>
      </c>
      <c r="B222" s="336" t="s">
        <v>4803</v>
      </c>
      <c r="C222" s="337" t="s">
        <v>4804</v>
      </c>
      <c r="D222" s="481" t="s">
        <v>4805</v>
      </c>
      <c r="E222" s="337" t="s">
        <v>4806</v>
      </c>
      <c r="F222" s="337" t="s">
        <v>4807</v>
      </c>
      <c r="G222">
        <f>IF(getRGB1($C222)="FFFFFF",0,1)+IF(getRGB1($D222)="FFFFFF",0,2)+IF(getRGB1($E222)="FFFFFF",0,3)+IF(getRGB1($F222)="FFFFFF",0,4)</f>
        <v>2</v>
      </c>
    </row>
    <row r="223" spans="1:7" ht="30">
      <c r="A223" t="s">
        <v>6695</v>
      </c>
      <c r="B223" s="336" t="s">
        <v>4808</v>
      </c>
      <c r="C223" s="337" t="s">
        <v>4809</v>
      </c>
      <c r="D223" s="481" t="s">
        <v>4810</v>
      </c>
      <c r="E223" s="337" t="s">
        <v>4811</v>
      </c>
      <c r="F223" s="337" t="s">
        <v>209</v>
      </c>
      <c r="G223">
        <f>IF(getRGB1($C223)="FFFFFF",0,1)+IF(getRGB1($D223)="FFFFFF",0,2)+IF(getRGB1($E223)="FFFFFF",0,3)+IF(getRGB1($F223)="FFFFFF",0,4)</f>
        <v>2</v>
      </c>
    </row>
    <row r="224" spans="1:7" ht="30">
      <c r="A224" t="s">
        <v>6695</v>
      </c>
      <c r="B224" s="336" t="s">
        <v>4812</v>
      </c>
      <c r="C224" s="337" t="s">
        <v>179</v>
      </c>
      <c r="D224" s="337" t="s">
        <v>557</v>
      </c>
      <c r="E224" s="481" t="s">
        <v>76</v>
      </c>
      <c r="F224" s="337" t="s">
        <v>4813</v>
      </c>
      <c r="G224">
        <f>IF(getRGB1($C224)="FFFFFF",0,1)+IF(getRGB1($D224)="FFFFFF",0,2)+IF(getRGB1($E224)="FFFFFF",0,3)+IF(getRGB1($F224)="FFFFFF",0,4)</f>
        <v>3</v>
      </c>
    </row>
    <row r="225" spans="1:7" ht="30">
      <c r="A225" t="s">
        <v>6695</v>
      </c>
      <c r="B225" s="336" t="s">
        <v>4814</v>
      </c>
      <c r="C225" s="337" t="s">
        <v>179</v>
      </c>
      <c r="D225" s="337" t="s">
        <v>557</v>
      </c>
      <c r="E225" s="481" t="s">
        <v>76</v>
      </c>
      <c r="F225" s="337" t="s">
        <v>4813</v>
      </c>
      <c r="G225">
        <f>IF(getRGB1($C225)="FFFFFF",0,1)+IF(getRGB1($D225)="FFFFFF",0,2)+IF(getRGB1($E225)="FFFFFF",0,3)+IF(getRGB1($F225)="FFFFFF",0,4)</f>
        <v>3</v>
      </c>
    </row>
    <row r="226" spans="1:7" ht="45">
      <c r="A226" t="s">
        <v>6695</v>
      </c>
      <c r="B226" s="336" t="s">
        <v>4815</v>
      </c>
      <c r="C226" s="337" t="s">
        <v>179</v>
      </c>
      <c r="D226" s="337" t="s">
        <v>557</v>
      </c>
      <c r="E226" s="481" t="s">
        <v>76</v>
      </c>
      <c r="F226" s="337" t="s">
        <v>4813</v>
      </c>
      <c r="G226">
        <f>IF(getRGB1($C226)="FFFFFF",0,1)+IF(getRGB1($D226)="FFFFFF",0,2)+IF(getRGB1($E226)="FFFFFF",0,3)+IF(getRGB1($F226)="FFFFFF",0,4)</f>
        <v>3</v>
      </c>
    </row>
    <row r="227" spans="1:7" ht="30">
      <c r="A227" t="s">
        <v>6695</v>
      </c>
      <c r="B227" s="336" t="s">
        <v>4816</v>
      </c>
      <c r="C227" s="481" t="s">
        <v>179</v>
      </c>
      <c r="D227" s="337" t="s">
        <v>557</v>
      </c>
      <c r="E227" s="337" t="s">
        <v>76</v>
      </c>
      <c r="F227" s="337" t="s">
        <v>4813</v>
      </c>
      <c r="G227">
        <f>IF(getRGB1($C227)="FFFFFF",0,1)+IF(getRGB1($D227)="FFFFFF",0,2)+IF(getRGB1($E227)="FFFFFF",0,3)+IF(getRGB1($F227)="FFFFFF",0,4)</f>
        <v>1</v>
      </c>
    </row>
    <row r="228" spans="1:7" ht="30">
      <c r="A228" t="s">
        <v>6695</v>
      </c>
      <c r="B228" s="336" t="s">
        <v>4817</v>
      </c>
      <c r="C228" s="337" t="s">
        <v>179</v>
      </c>
      <c r="D228" s="481" t="s">
        <v>557</v>
      </c>
      <c r="E228" s="337" t="s">
        <v>76</v>
      </c>
      <c r="F228" s="337" t="s">
        <v>4813</v>
      </c>
      <c r="G228">
        <f>IF(getRGB1($C228)="FFFFFF",0,1)+IF(getRGB1($D228)="FFFFFF",0,2)+IF(getRGB1($E228)="FFFFFF",0,3)+IF(getRGB1($F228)="FFFFFF",0,4)</f>
        <v>2</v>
      </c>
    </row>
    <row r="229" spans="1:7" ht="30">
      <c r="A229" t="s">
        <v>6695</v>
      </c>
      <c r="B229" s="336" t="s">
        <v>4818</v>
      </c>
      <c r="C229" s="481" t="s">
        <v>179</v>
      </c>
      <c r="D229" s="337" t="s">
        <v>557</v>
      </c>
      <c r="E229" s="668" t="s">
        <v>76</v>
      </c>
      <c r="F229" s="337" t="s">
        <v>4813</v>
      </c>
      <c r="G229">
        <f>IF(getRGB1($C229)="FFFFFF",0,1)+IF(getRGB1($D229)="FFFFFF",0,2)+IF(getRGB1($E229)="FFFFFF",0,3)+IF(getRGB1($F229)="FFFFFF",0,4)</f>
        <v>1</v>
      </c>
    </row>
    <row r="230" spans="1:7" ht="30">
      <c r="A230" t="s">
        <v>6695</v>
      </c>
      <c r="B230" s="336" t="s">
        <v>4819</v>
      </c>
      <c r="C230" s="668" t="s">
        <v>179</v>
      </c>
      <c r="D230" s="481" t="s">
        <v>557</v>
      </c>
      <c r="E230" s="337" t="s">
        <v>76</v>
      </c>
      <c r="F230" s="337" t="s">
        <v>4813</v>
      </c>
      <c r="G230">
        <f>IF(getRGB1($C230)="FFFFFF",0,1)+IF(getRGB1($D230)="FFFFFF",0,2)+IF(getRGB1($E230)="FFFFFF",0,3)+IF(getRGB1($F230)="FFFFFF",0,4)</f>
        <v>2</v>
      </c>
    </row>
    <row r="231" spans="1:7" ht="30">
      <c r="A231" t="s">
        <v>6695</v>
      </c>
      <c r="B231" s="336" t="s">
        <v>4820</v>
      </c>
      <c r="C231" s="337" t="s">
        <v>179</v>
      </c>
      <c r="D231" s="481" t="s">
        <v>557</v>
      </c>
      <c r="E231" s="337" t="s">
        <v>76</v>
      </c>
      <c r="F231" s="337" t="s">
        <v>4813</v>
      </c>
      <c r="G231">
        <f>IF(getRGB1($C231)="FFFFFF",0,1)+IF(getRGB1($D231)="FFFFFF",0,2)+IF(getRGB1($E231)="FFFFFF",0,3)+IF(getRGB1($F231)="FFFFFF",0,4)</f>
        <v>2</v>
      </c>
    </row>
    <row r="232" spans="1:7" ht="75">
      <c r="A232" t="s">
        <v>6695</v>
      </c>
      <c r="B232" s="336" t="s">
        <v>4821</v>
      </c>
      <c r="C232" s="481" t="s">
        <v>73</v>
      </c>
      <c r="D232" s="668" t="s">
        <v>74</v>
      </c>
      <c r="E232" s="337" t="s">
        <v>76</v>
      </c>
      <c r="F232" s="337" t="s">
        <v>270</v>
      </c>
      <c r="G232">
        <f>IF(getRGB1($C232)="FFFFFF",0,1)+IF(getRGB1($D232)="FFFFFF",0,2)+IF(getRGB1($E232)="FFFFFF",0,3)+IF(getRGB1($F232)="FFFFFF",0,4)</f>
        <v>1</v>
      </c>
    </row>
    <row r="233" spans="1:7" ht="45">
      <c r="A233" t="s">
        <v>6695</v>
      </c>
      <c r="B233" s="336" t="s">
        <v>4822</v>
      </c>
      <c r="C233" s="337" t="s">
        <v>73</v>
      </c>
      <c r="D233" s="337" t="s">
        <v>177</v>
      </c>
      <c r="E233" s="668" t="s">
        <v>4758</v>
      </c>
      <c r="F233" s="481" t="s">
        <v>3313</v>
      </c>
      <c r="G233">
        <f>IF(getRGB1($C233)="FFFFFF",0,1)+IF(getRGB1($D233)="FFFFFF",0,2)+IF(getRGB1($E233)="FFFFFF",0,3)+IF(getRGB1($F233)="FFFFFF",0,4)</f>
        <v>4</v>
      </c>
    </row>
    <row r="234" spans="1:7" ht="45">
      <c r="A234" t="s">
        <v>6695</v>
      </c>
      <c r="B234" s="336" t="s">
        <v>4654</v>
      </c>
      <c r="C234" s="481" t="s">
        <v>74</v>
      </c>
      <c r="D234" s="337" t="s">
        <v>73</v>
      </c>
      <c r="E234" s="337" t="s">
        <v>3231</v>
      </c>
      <c r="F234" s="337" t="s">
        <v>184</v>
      </c>
      <c r="G234">
        <f>IF(getRGB1($C234)="FFFFFF",0,1)+IF(getRGB1($D234)="FFFFFF",0,2)+IF(getRGB1($E234)="FFFFFF",0,3)+IF(getRGB1($F234)="FFFFFF",0,4)</f>
        <v>1</v>
      </c>
    </row>
    <row r="235" spans="1:7" ht="45">
      <c r="A235" t="s">
        <v>6695</v>
      </c>
      <c r="B235" s="336" t="s">
        <v>4823</v>
      </c>
      <c r="C235" s="481" t="s">
        <v>74</v>
      </c>
      <c r="D235" s="668" t="s">
        <v>73</v>
      </c>
      <c r="E235" s="337" t="s">
        <v>3231</v>
      </c>
      <c r="F235" s="337" t="s">
        <v>184</v>
      </c>
      <c r="G235">
        <f>IF(getRGB1($C235)="FFFFFF",0,1)+IF(getRGB1($D235)="FFFFFF",0,2)+IF(getRGB1($E235)="FFFFFF",0,3)+IF(getRGB1($F235)="FFFFFF",0,4)</f>
        <v>1</v>
      </c>
    </row>
    <row r="236" spans="1:7" ht="60">
      <c r="A236" t="s">
        <v>6695</v>
      </c>
      <c r="B236" s="336" t="s">
        <v>8690</v>
      </c>
      <c r="C236" s="337" t="s">
        <v>4646</v>
      </c>
      <c r="D236" s="337" t="s">
        <v>4674</v>
      </c>
      <c r="E236" s="481" t="s">
        <v>6707</v>
      </c>
      <c r="F236" s="337" t="s">
        <v>3633</v>
      </c>
      <c r="G236">
        <f>IF(getRGB1($C236)="FFFFFF",0,1)+IF(getRGB1($D236)="FFFFFF",0,2)+IF(getRGB1($E236)="FFFFFF",0,3)+IF(getRGB1($F236)="FFFFFF",0,4)</f>
        <v>3</v>
      </c>
    </row>
    <row r="237" spans="1:7">
      <c r="A237" t="s">
        <v>6695</v>
      </c>
      <c r="B237" s="336" t="s">
        <v>4824</v>
      </c>
      <c r="C237" s="481" t="s">
        <v>74</v>
      </c>
      <c r="D237" s="337" t="s">
        <v>73</v>
      </c>
      <c r="E237" s="337" t="s">
        <v>3231</v>
      </c>
      <c r="F237" s="337" t="s">
        <v>76</v>
      </c>
      <c r="G237">
        <f>IF(getRGB1($C237)="FFFFFF",0,1)+IF(getRGB1($D237)="FFFFFF",0,2)+IF(getRGB1($E237)="FFFFFF",0,3)+IF(getRGB1($F237)="FFFFFF",0,4)</f>
        <v>1</v>
      </c>
    </row>
    <row r="238" spans="1:7" ht="30">
      <c r="A238" t="s">
        <v>6695</v>
      </c>
      <c r="B238" s="336" t="s">
        <v>4825</v>
      </c>
      <c r="C238" s="337" t="s">
        <v>4826</v>
      </c>
      <c r="D238" s="337" t="s">
        <v>4827</v>
      </c>
      <c r="E238" s="337" t="s">
        <v>4828</v>
      </c>
      <c r="F238" s="481" t="s">
        <v>3313</v>
      </c>
      <c r="G238">
        <f>IF(getRGB1($C238)="FFFFFF",0,1)+IF(getRGB1($D238)="FFFFFF",0,2)+IF(getRGB1($E238)="FFFFFF",0,3)+IF(getRGB1($F238)="FFFFFF",0,4)</f>
        <v>4</v>
      </c>
    </row>
    <row r="239" spans="1:7" ht="30">
      <c r="A239" t="s">
        <v>6695</v>
      </c>
      <c r="B239" s="336" t="s">
        <v>4829</v>
      </c>
      <c r="C239" s="481" t="s">
        <v>73</v>
      </c>
      <c r="D239" s="337" t="s">
        <v>4830</v>
      </c>
      <c r="E239" s="337" t="s">
        <v>4831</v>
      </c>
      <c r="F239" s="337" t="s">
        <v>557</v>
      </c>
      <c r="G239">
        <f>IF(getRGB1($C239)="FFFFFF",0,1)+IF(getRGB1($D239)="FFFFFF",0,2)+IF(getRGB1($E239)="FFFFFF",0,3)+IF(getRGB1($F239)="FFFFFF",0,4)</f>
        <v>1</v>
      </c>
    </row>
    <row r="240" spans="1:7" ht="45">
      <c r="A240" t="s">
        <v>6695</v>
      </c>
      <c r="B240" s="336" t="s">
        <v>4832</v>
      </c>
      <c r="C240" s="337" t="s">
        <v>4833</v>
      </c>
      <c r="D240" s="337" t="s">
        <v>4834</v>
      </c>
      <c r="E240" s="337" t="s">
        <v>4835</v>
      </c>
      <c r="F240" s="481" t="s">
        <v>3313</v>
      </c>
      <c r="G240">
        <f>IF(getRGB1($C240)="FFFFFF",0,1)+IF(getRGB1($D240)="FFFFFF",0,2)+IF(getRGB1($E240)="FFFFFF",0,3)+IF(getRGB1($F240)="FFFFFF",0,4)</f>
        <v>4</v>
      </c>
    </row>
    <row r="241" spans="1:7" ht="30">
      <c r="A241" t="s">
        <v>6695</v>
      </c>
      <c r="B241" s="336" t="s">
        <v>4836</v>
      </c>
      <c r="C241" s="337" t="s">
        <v>74</v>
      </c>
      <c r="D241" s="481" t="s">
        <v>137</v>
      </c>
      <c r="E241" s="337" t="s">
        <v>73</v>
      </c>
      <c r="F241" s="337" t="s">
        <v>270</v>
      </c>
      <c r="G241">
        <f>IF(getRGB1($C241)="FFFFFF",0,1)+IF(getRGB1($D241)="FFFFFF",0,2)+IF(getRGB1($E241)="FFFFFF",0,3)+IF(getRGB1($F241)="FFFFFF",0,4)</f>
        <v>2</v>
      </c>
    </row>
    <row r="242" spans="1:7" ht="45">
      <c r="A242" t="s">
        <v>6695</v>
      </c>
      <c r="B242" s="336" t="s">
        <v>4837</v>
      </c>
      <c r="C242" s="337" t="s">
        <v>4838</v>
      </c>
      <c r="D242" s="337" t="s">
        <v>4839</v>
      </c>
      <c r="E242" s="481" t="s">
        <v>4648</v>
      </c>
      <c r="F242" s="337" t="s">
        <v>209</v>
      </c>
      <c r="G242">
        <f>IF(getRGB1($C242)="FFFFFF",0,1)+IF(getRGB1($D242)="FFFFFF",0,2)+IF(getRGB1($E242)="FFFFFF",0,3)+IF(getRGB1($F242)="FFFFFF",0,4)</f>
        <v>3</v>
      </c>
    </row>
    <row r="243" spans="1:7" ht="45">
      <c r="A243" t="s">
        <v>6695</v>
      </c>
      <c r="B243" s="336" t="s">
        <v>4840</v>
      </c>
      <c r="C243" s="337" t="s">
        <v>4841</v>
      </c>
      <c r="D243" s="481" t="s">
        <v>3231</v>
      </c>
      <c r="E243" s="337" t="s">
        <v>185</v>
      </c>
      <c r="F243" s="337" t="s">
        <v>184</v>
      </c>
      <c r="G243">
        <f>IF(getRGB1($C243)="FFFFFF",0,1)+IF(getRGB1($D243)="FFFFFF",0,2)+IF(getRGB1($E243)="FFFFFF",0,3)+IF(getRGB1($F243)="FFFFFF",0,4)</f>
        <v>2</v>
      </c>
    </row>
    <row r="244" spans="1:7" ht="30">
      <c r="A244" t="s">
        <v>6695</v>
      </c>
      <c r="B244" s="336" t="s">
        <v>4842</v>
      </c>
      <c r="C244" s="337" t="s">
        <v>4843</v>
      </c>
      <c r="D244" s="668" t="s">
        <v>4844</v>
      </c>
      <c r="E244" s="481" t="s">
        <v>4845</v>
      </c>
      <c r="F244" s="337" t="s">
        <v>209</v>
      </c>
      <c r="G244">
        <f>IF(getRGB1($C244)="FFFFFF",0,1)+IF(getRGB1($D244)="FFFFFF",0,2)+IF(getRGB1($E244)="FFFFFF",0,3)+IF(getRGB1($F244)="FFFFFF",0,4)</f>
        <v>3</v>
      </c>
    </row>
    <row r="245" spans="1:7" ht="30">
      <c r="A245" t="s">
        <v>6695</v>
      </c>
      <c r="B245" s="336" t="s">
        <v>4846</v>
      </c>
      <c r="C245" s="337" t="s">
        <v>4847</v>
      </c>
      <c r="D245" s="337" t="s">
        <v>4848</v>
      </c>
      <c r="E245" s="481" t="s">
        <v>4849</v>
      </c>
      <c r="F245" s="337" t="s">
        <v>4850</v>
      </c>
      <c r="G245">
        <f>IF(getRGB1($C245)="FFFFFF",0,1)+IF(getRGB1($D245)="FFFFFF",0,2)+IF(getRGB1($E245)="FFFFFF",0,3)+IF(getRGB1($F245)="FFFFFF",0,4)</f>
        <v>3</v>
      </c>
    </row>
    <row r="246" spans="1:7">
      <c r="A246" t="s">
        <v>6695</v>
      </c>
      <c r="B246" s="336" t="s">
        <v>4851</v>
      </c>
      <c r="C246" s="481" t="s">
        <v>74</v>
      </c>
      <c r="D246" s="337" t="s">
        <v>137</v>
      </c>
      <c r="E246" s="337" t="s">
        <v>73</v>
      </c>
      <c r="F246" s="337" t="s">
        <v>270</v>
      </c>
      <c r="G246">
        <f>IF(getRGB1($C246)="FFFFFF",0,1)+IF(getRGB1($D246)="FFFFFF",0,2)+IF(getRGB1($E246)="FFFFFF",0,3)+IF(getRGB1($F246)="FFFFFF",0,4)</f>
        <v>1</v>
      </c>
    </row>
    <row r="247" spans="1:7" ht="45">
      <c r="A247" t="s">
        <v>6695</v>
      </c>
      <c r="B247" s="336" t="s">
        <v>4852</v>
      </c>
      <c r="C247" s="337" t="s">
        <v>4725</v>
      </c>
      <c r="D247" s="337" t="s">
        <v>174</v>
      </c>
      <c r="E247" s="481" t="s">
        <v>74</v>
      </c>
      <c r="F247" s="337" t="s">
        <v>73</v>
      </c>
      <c r="G247">
        <f>IF(getRGB1($C247)="FFFFFF",0,1)+IF(getRGB1($D247)="FFFFFF",0,2)+IF(getRGB1($E247)="FFFFFF",0,3)+IF(getRGB1($F247)="FFFFFF",0,4)</f>
        <v>3</v>
      </c>
    </row>
    <row r="248" spans="1:7" ht="60">
      <c r="A248" t="s">
        <v>6695</v>
      </c>
      <c r="B248" s="336" t="s">
        <v>4853</v>
      </c>
      <c r="C248" s="337" t="s">
        <v>4854</v>
      </c>
      <c r="D248" s="337" t="s">
        <v>4855</v>
      </c>
      <c r="E248" s="337" t="s">
        <v>4856</v>
      </c>
      <c r="F248" s="481" t="s">
        <v>3313</v>
      </c>
      <c r="G248">
        <f>IF(getRGB1($C248)="FFFFFF",0,1)+IF(getRGB1($D248)="FFFFFF",0,2)+IF(getRGB1($E248)="FFFFFF",0,3)+IF(getRGB1($F248)="FFFFFF",0,4)</f>
        <v>4</v>
      </c>
    </row>
    <row r="249" spans="1:7" ht="30">
      <c r="A249" t="s">
        <v>6695</v>
      </c>
      <c r="B249" s="336" t="s">
        <v>4857</v>
      </c>
      <c r="C249" s="337" t="s">
        <v>4858</v>
      </c>
      <c r="D249" s="337" t="s">
        <v>4859</v>
      </c>
      <c r="E249" s="337" t="s">
        <v>4860</v>
      </c>
      <c r="F249" s="481" t="s">
        <v>4861</v>
      </c>
      <c r="G249">
        <f>IF(getRGB1($C249)="FFFFFF",0,1)+IF(getRGB1($D249)="FFFFFF",0,2)+IF(getRGB1($E249)="FFFFFF",0,3)+IF(getRGB1($F249)="FFFFFF",0,4)</f>
        <v>4</v>
      </c>
    </row>
    <row r="250" spans="1:7" ht="45">
      <c r="A250" t="s">
        <v>6695</v>
      </c>
      <c r="B250" s="336" t="s">
        <v>4862</v>
      </c>
      <c r="C250" s="337" t="s">
        <v>4863</v>
      </c>
      <c r="D250" s="337" t="s">
        <v>4864</v>
      </c>
      <c r="E250" s="481" t="s">
        <v>4865</v>
      </c>
      <c r="F250" s="337" t="s">
        <v>4866</v>
      </c>
      <c r="G250">
        <f>IF(getRGB1($C250)="FFFFFF",0,1)+IF(getRGB1($D250)="FFFFFF",0,2)+IF(getRGB1($E250)="FFFFFF",0,3)+IF(getRGB1($F250)="FFFFFF",0,4)</f>
        <v>3</v>
      </c>
    </row>
    <row r="251" spans="1:7" ht="45">
      <c r="A251" t="s">
        <v>6695</v>
      </c>
      <c r="B251" s="336" t="s">
        <v>4867</v>
      </c>
      <c r="C251" s="481" t="s">
        <v>4868</v>
      </c>
      <c r="D251" s="337" t="s">
        <v>4869</v>
      </c>
      <c r="E251" s="337" t="s">
        <v>4870</v>
      </c>
      <c r="F251" s="337" t="s">
        <v>4871</v>
      </c>
      <c r="G251">
        <f>IF(getRGB1($C251)="FFFFFF",0,1)+IF(getRGB1($D251)="FFFFFF",0,2)+IF(getRGB1($E251)="FFFFFF",0,3)+IF(getRGB1($F251)="FFFFFF",0,4)</f>
        <v>1</v>
      </c>
    </row>
    <row r="252" spans="1:7" ht="45">
      <c r="A252" t="s">
        <v>6695</v>
      </c>
      <c r="B252" s="336" t="s">
        <v>4872</v>
      </c>
      <c r="C252" s="337" t="s">
        <v>4873</v>
      </c>
      <c r="D252" s="481" t="s">
        <v>4874</v>
      </c>
      <c r="E252" s="337" t="s">
        <v>4875</v>
      </c>
      <c r="F252" s="337" t="s">
        <v>4876</v>
      </c>
      <c r="G252">
        <f>IF(getRGB1($C252)="FFFFFF",0,1)+IF(getRGB1($D252)="FFFFFF",0,2)+IF(getRGB1($E252)="FFFFFF",0,3)+IF(getRGB1($F252)="FFFFFF",0,4)</f>
        <v>2</v>
      </c>
    </row>
    <row r="253" spans="1:7" ht="45">
      <c r="A253" t="s">
        <v>6695</v>
      </c>
      <c r="B253" s="336" t="s">
        <v>4877</v>
      </c>
      <c r="C253" s="337" t="s">
        <v>4878</v>
      </c>
      <c r="D253" s="337" t="s">
        <v>4879</v>
      </c>
      <c r="E253" s="481" t="s">
        <v>4880</v>
      </c>
      <c r="F253" s="337" t="s">
        <v>4881</v>
      </c>
      <c r="G253">
        <f>IF(getRGB1($C253)="FFFFFF",0,1)+IF(getRGB1($D253)="FFFFFF",0,2)+IF(getRGB1($E253)="FFFFFF",0,3)+IF(getRGB1($F253)="FFFFFF",0,4)</f>
        <v>3</v>
      </c>
    </row>
    <row r="254" spans="1:7" ht="30">
      <c r="A254" t="s">
        <v>6695</v>
      </c>
      <c r="B254" s="336" t="s">
        <v>4882</v>
      </c>
      <c r="C254" s="337" t="s">
        <v>1370</v>
      </c>
      <c r="D254" s="337" t="s">
        <v>4883</v>
      </c>
      <c r="E254" s="337" t="s">
        <v>1372</v>
      </c>
      <c r="F254" s="481" t="s">
        <v>1117</v>
      </c>
      <c r="G254">
        <f>IF(getRGB1($C254)="FFFFFF",0,1)+IF(getRGB1($D254)="FFFFFF",0,2)+IF(getRGB1($E254)="FFFFFF",0,3)+IF(getRGB1($F254)="FFFFFF",0,4)</f>
        <v>4</v>
      </c>
    </row>
    <row r="255" spans="1:7" ht="45">
      <c r="A255" t="s">
        <v>6695</v>
      </c>
      <c r="B255" s="336" t="s">
        <v>4884</v>
      </c>
      <c r="C255" s="337" t="s">
        <v>4885</v>
      </c>
      <c r="D255" s="337" t="s">
        <v>4886</v>
      </c>
      <c r="E255" s="337" t="s">
        <v>4887</v>
      </c>
      <c r="F255" s="481" t="s">
        <v>4755</v>
      </c>
      <c r="G255">
        <f>IF(getRGB1($C255)="FFFFFF",0,1)+IF(getRGB1($D255)="FFFFFF",0,2)+IF(getRGB1($E255)="FFFFFF",0,3)+IF(getRGB1($F255)="FFFFFF",0,4)</f>
        <v>4</v>
      </c>
    </row>
    <row r="256" spans="1:7" ht="30">
      <c r="A256" t="s">
        <v>6695</v>
      </c>
      <c r="B256" s="336" t="s">
        <v>4888</v>
      </c>
      <c r="C256" s="481" t="s">
        <v>4656</v>
      </c>
      <c r="D256" s="337" t="s">
        <v>4889</v>
      </c>
      <c r="E256" s="337" t="s">
        <v>4890</v>
      </c>
      <c r="F256" s="337" t="s">
        <v>4658</v>
      </c>
      <c r="G256">
        <f>IF(getRGB1($C256)="FFFFFF",0,1)+IF(getRGB1($D256)="FFFFFF",0,2)+IF(getRGB1($E256)="FFFFFF",0,3)+IF(getRGB1($F256)="FFFFFF",0,4)</f>
        <v>1</v>
      </c>
    </row>
    <row r="257" spans="1:7" ht="30">
      <c r="A257" t="s">
        <v>6695</v>
      </c>
      <c r="B257" s="336" t="s">
        <v>4891</v>
      </c>
      <c r="C257" s="337" t="s">
        <v>4892</v>
      </c>
      <c r="D257" s="481" t="s">
        <v>4893</v>
      </c>
      <c r="E257" s="337" t="s">
        <v>4894</v>
      </c>
      <c r="F257" s="337" t="s">
        <v>4755</v>
      </c>
      <c r="G257">
        <f>IF(getRGB1($C257)="FFFFFF",0,1)+IF(getRGB1($D257)="FFFFFF",0,2)+IF(getRGB1($E257)="FFFFFF",0,3)+IF(getRGB1($F257)="FFFFFF",0,4)</f>
        <v>2</v>
      </c>
    </row>
    <row r="258" spans="1:7" ht="45">
      <c r="A258" t="s">
        <v>6695</v>
      </c>
      <c r="B258" s="336" t="s">
        <v>4895</v>
      </c>
      <c r="C258" s="337" t="s">
        <v>4896</v>
      </c>
      <c r="D258" s="337" t="s">
        <v>4897</v>
      </c>
      <c r="E258" s="481" t="s">
        <v>4898</v>
      </c>
      <c r="F258" s="337" t="s">
        <v>4899</v>
      </c>
      <c r="G258">
        <f>IF(getRGB1($C258)="FFFFFF",0,1)+IF(getRGB1($D258)="FFFFFF",0,2)+IF(getRGB1($E258)="FFFFFF",0,3)+IF(getRGB1($F258)="FFFFFF",0,4)</f>
        <v>3</v>
      </c>
    </row>
    <row r="259" spans="1:7" ht="30">
      <c r="A259" t="s">
        <v>6695</v>
      </c>
      <c r="B259" s="336" t="s">
        <v>4900</v>
      </c>
      <c r="C259" s="337" t="s">
        <v>4901</v>
      </c>
      <c r="D259" s="337" t="s">
        <v>4902</v>
      </c>
      <c r="E259" s="337" t="s">
        <v>4903</v>
      </c>
      <c r="F259" s="481" t="s">
        <v>4904</v>
      </c>
      <c r="G259">
        <f>IF(getRGB1($C259)="FFFFFF",0,1)+IF(getRGB1($D259)="FFFFFF",0,2)+IF(getRGB1($E259)="FFFFFF",0,3)+IF(getRGB1($F259)="FFFFFF",0,4)</f>
        <v>4</v>
      </c>
    </row>
    <row r="260" spans="1:7" ht="30">
      <c r="A260" t="s">
        <v>6695</v>
      </c>
      <c r="B260" s="336" t="s">
        <v>4905</v>
      </c>
      <c r="C260" s="481" t="s">
        <v>4901</v>
      </c>
      <c r="D260" s="337" t="s">
        <v>4902</v>
      </c>
      <c r="E260" s="337" t="s">
        <v>4903</v>
      </c>
      <c r="F260" s="337" t="s">
        <v>4904</v>
      </c>
      <c r="G260">
        <f>IF(getRGB1($C260)="FFFFFF",0,1)+IF(getRGB1($D260)="FFFFFF",0,2)+IF(getRGB1($E260)="FFFFFF",0,3)+IF(getRGB1($F260)="FFFFFF",0,4)</f>
        <v>1</v>
      </c>
    </row>
    <row r="261" spans="1:7" ht="30">
      <c r="A261" t="s">
        <v>6695</v>
      </c>
      <c r="B261" s="336" t="s">
        <v>4906</v>
      </c>
      <c r="C261" s="337" t="s">
        <v>4907</v>
      </c>
      <c r="D261" s="481" t="s">
        <v>4908</v>
      </c>
      <c r="E261" s="337" t="s">
        <v>4909</v>
      </c>
      <c r="F261" s="337" t="s">
        <v>4910</v>
      </c>
      <c r="G261">
        <f>IF(getRGB1($C261)="FFFFFF",0,1)+IF(getRGB1($D261)="FFFFFF",0,2)+IF(getRGB1($E261)="FFFFFF",0,3)+IF(getRGB1($F261)="FFFFFF",0,4)</f>
        <v>2</v>
      </c>
    </row>
    <row r="262" spans="1:7" ht="45">
      <c r="A262" t="s">
        <v>6695</v>
      </c>
      <c r="B262" s="336" t="s">
        <v>4759</v>
      </c>
      <c r="C262" s="481" t="s">
        <v>74</v>
      </c>
      <c r="D262" s="668" t="s">
        <v>73</v>
      </c>
      <c r="E262" s="337" t="s">
        <v>177</v>
      </c>
      <c r="F262" s="337" t="s">
        <v>4760</v>
      </c>
      <c r="G262">
        <f>IF(getRGB1($C262)="FFFFFF",0,1)+IF(getRGB1($D262)="FFFFFF",0,2)+IF(getRGB1($E262)="FFFFFF",0,3)+IF(getRGB1($F262)="FFFFFF",0,4)</f>
        <v>1</v>
      </c>
    </row>
    <row r="263" spans="1:7" ht="60">
      <c r="A263" t="s">
        <v>6695</v>
      </c>
      <c r="B263" s="336" t="s">
        <v>4761</v>
      </c>
      <c r="C263" s="668" t="s">
        <v>74</v>
      </c>
      <c r="D263" s="481" t="s">
        <v>73</v>
      </c>
      <c r="E263" s="337" t="s">
        <v>177</v>
      </c>
      <c r="F263" s="337" t="s">
        <v>4658</v>
      </c>
      <c r="G263">
        <f>IF(getRGB1($C263)="FFFFFF",0,1)+IF(getRGB1($D263)="FFFFFF",0,2)+IF(getRGB1($E263)="FFFFFF",0,3)+IF(getRGB1($F263)="FFFFFF",0,4)</f>
        <v>2</v>
      </c>
    </row>
    <row r="264" spans="1:7" ht="30">
      <c r="A264" t="s">
        <v>6695</v>
      </c>
      <c r="B264" s="488" t="s">
        <v>4914</v>
      </c>
      <c r="C264" s="337" t="s">
        <v>4915</v>
      </c>
      <c r="D264" s="337" t="s">
        <v>4916</v>
      </c>
      <c r="E264" s="337" t="s">
        <v>4917</v>
      </c>
      <c r="F264" s="481" t="s">
        <v>4918</v>
      </c>
      <c r="G264">
        <f>IF(getRGB1($C264)="FFFFFF",0,1)+IF(getRGB1($D264)="FFFFFF",0,2)+IF(getRGB1($E264)="FFFFFF",0,3)+IF(getRGB1($F264)="FFFFFF",0,4)</f>
        <v>4</v>
      </c>
    </row>
    <row r="265" spans="1:7" ht="45">
      <c r="A265" t="s">
        <v>6695</v>
      </c>
      <c r="B265" s="488" t="s">
        <v>4919</v>
      </c>
      <c r="C265" s="337" t="s">
        <v>4920</v>
      </c>
      <c r="D265" s="481" t="s">
        <v>4921</v>
      </c>
      <c r="E265" s="337" t="s">
        <v>4922</v>
      </c>
      <c r="F265" s="337" t="s">
        <v>4923</v>
      </c>
      <c r="G265">
        <f>IF(getRGB1($C265)="FFFFFF",0,1)+IF(getRGB1($D265)="FFFFFF",0,2)+IF(getRGB1($E265)="FFFFFF",0,3)+IF(getRGB1($F265)="FFFFFF",0,4)</f>
        <v>2</v>
      </c>
    </row>
    <row r="266" spans="1:7" ht="45">
      <c r="A266" t="s">
        <v>6695</v>
      </c>
      <c r="B266" s="488" t="s">
        <v>4924</v>
      </c>
      <c r="C266" s="337" t="s">
        <v>4925</v>
      </c>
      <c r="D266" s="481" t="b">
        <v>0</v>
      </c>
      <c r="E266" s="489" t="s">
        <v>4113</v>
      </c>
      <c r="F266" s="489" t="s">
        <v>4113</v>
      </c>
      <c r="G266">
        <f>IF(getRGB1($C266)="FFFFFF",0,1)+IF(getRGB1($D266)="FFFFFF",0,2)+IF(getRGB1($E266)="FFFFFF",0,3)+IF(getRGB1($F266)="FFFFFF",0,4)</f>
        <v>2</v>
      </c>
    </row>
    <row r="267" spans="1:7" ht="30">
      <c r="A267" t="s">
        <v>6695</v>
      </c>
      <c r="B267" s="488" t="s">
        <v>4926</v>
      </c>
      <c r="C267" s="337" t="s">
        <v>4925</v>
      </c>
      <c r="D267" s="481" t="b">
        <v>0</v>
      </c>
      <c r="E267" s="489" t="s">
        <v>4113</v>
      </c>
      <c r="F267" s="489" t="s">
        <v>4113</v>
      </c>
      <c r="G267">
        <f>IF(getRGB1($C267)="FFFFFF",0,1)+IF(getRGB1($D267)="FFFFFF",0,2)+IF(getRGB1($E267)="FFFFFF",0,3)+IF(getRGB1($F267)="FFFFFF",0,4)</f>
        <v>2</v>
      </c>
    </row>
    <row r="268" spans="1:7" ht="45">
      <c r="A268" t="s">
        <v>6695</v>
      </c>
      <c r="B268" s="488" t="s">
        <v>4929</v>
      </c>
      <c r="C268" s="481" t="s">
        <v>4930</v>
      </c>
      <c r="D268" s="337" t="s">
        <v>4931</v>
      </c>
      <c r="E268" s="337" t="s">
        <v>4932</v>
      </c>
      <c r="F268" s="337" t="s">
        <v>4933</v>
      </c>
      <c r="G268">
        <f>IF(getRGB1($C268)="FFFFFF",0,1)+IF(getRGB1($D268)="FFFFFF",0,2)+IF(getRGB1($E268)="FFFFFF",0,3)+IF(getRGB1($F268)="FFFFFF",0,4)</f>
        <v>1</v>
      </c>
    </row>
    <row r="269" spans="1:7" ht="45">
      <c r="A269" t="s">
        <v>6708</v>
      </c>
      <c r="B269" s="336" t="s">
        <v>5263</v>
      </c>
      <c r="C269" s="337" t="s">
        <v>5264</v>
      </c>
      <c r="D269" s="337" t="s">
        <v>5265</v>
      </c>
      <c r="E269" s="337" t="s">
        <v>5266</v>
      </c>
      <c r="F269" s="481" t="s">
        <v>3313</v>
      </c>
      <c r="G269">
        <f>IF(getRGB1($C269)="FFFFFF",0,1)+IF(getRGB1($D269)="FFFFFF",0,2)+IF(getRGB1($E269)="FFFFFF",0,3)+IF(getRGB1($F269)="FFFFFF",0,4)</f>
        <v>4</v>
      </c>
    </row>
    <row r="270" spans="1:7" ht="60">
      <c r="A270" t="s">
        <v>6708</v>
      </c>
      <c r="B270" s="336" t="s">
        <v>5267</v>
      </c>
      <c r="C270" s="337" t="s">
        <v>5268</v>
      </c>
      <c r="D270" s="337" t="s">
        <v>5269</v>
      </c>
      <c r="E270" s="337" t="s">
        <v>5270</v>
      </c>
      <c r="F270" s="481" t="s">
        <v>5271</v>
      </c>
      <c r="G270">
        <f>IF(getRGB1($C270)="FFFFFF",0,1)+IF(getRGB1($D270)="FFFFFF",0,2)+IF(getRGB1($E270)="FFFFFF",0,3)+IF(getRGB1($F270)="FFFFFF",0,4)</f>
        <v>4</v>
      </c>
    </row>
    <row r="271" spans="1:7" ht="30">
      <c r="A271" t="s">
        <v>6708</v>
      </c>
      <c r="B271" s="336" t="s">
        <v>5302</v>
      </c>
      <c r="C271" s="337" t="s">
        <v>5303</v>
      </c>
      <c r="D271" s="481" t="s">
        <v>5304</v>
      </c>
      <c r="E271" s="337" t="s">
        <v>5305</v>
      </c>
      <c r="F271" s="337" t="s">
        <v>209</v>
      </c>
      <c r="G271">
        <f>IF(getRGB1($C271)="FFFFFF",0,1)+IF(getRGB1($D271)="FFFFFF",0,2)+IF(getRGB1($E271)="FFFFFF",0,3)+IF(getRGB1($F271)="FFFFFF",0,4)</f>
        <v>2</v>
      </c>
    </row>
    <row r="272" spans="1:7" ht="60">
      <c r="A272" t="s">
        <v>6708</v>
      </c>
      <c r="B272" s="336" t="s">
        <v>5272</v>
      </c>
      <c r="C272" s="481" t="s">
        <v>5273</v>
      </c>
      <c r="D272" s="337" t="s">
        <v>5274</v>
      </c>
      <c r="E272" s="337" t="s">
        <v>5275</v>
      </c>
      <c r="F272" s="337" t="s">
        <v>5276</v>
      </c>
      <c r="G272">
        <f>IF(getRGB1($C272)="FFFFFF",0,1)+IF(getRGB1($D272)="FFFFFF",0,2)+IF(getRGB1($E272)="FFFFFF",0,3)+IF(getRGB1($F272)="FFFFFF",0,4)</f>
        <v>1</v>
      </c>
    </row>
    <row r="273" spans="1:7" ht="60">
      <c r="A273" t="s">
        <v>6708</v>
      </c>
      <c r="B273" s="336" t="s">
        <v>5277</v>
      </c>
      <c r="C273" s="481" t="s">
        <v>1073</v>
      </c>
      <c r="D273" s="337" t="s">
        <v>252</v>
      </c>
      <c r="E273" s="337" t="s">
        <v>1072</v>
      </c>
      <c r="F273" s="337" t="s">
        <v>235</v>
      </c>
      <c r="G273">
        <f>IF(getRGB1($C273)="FFFFFF",0,1)+IF(getRGB1($D273)="FFFFFF",0,2)+IF(getRGB1($E273)="FFFFFF",0,3)+IF(getRGB1($F273)="FFFFFF",0,4)</f>
        <v>1</v>
      </c>
    </row>
    <row r="274" spans="1:7" ht="60">
      <c r="A274" t="s">
        <v>6708</v>
      </c>
      <c r="B274" s="336" t="s">
        <v>5278</v>
      </c>
      <c r="C274" s="481" t="s">
        <v>1073</v>
      </c>
      <c r="D274" s="337" t="s">
        <v>252</v>
      </c>
      <c r="E274" s="337" t="s">
        <v>1072</v>
      </c>
      <c r="F274" s="337" t="s">
        <v>235</v>
      </c>
      <c r="G274">
        <f>IF(getRGB1($C274)="FFFFFF",0,1)+IF(getRGB1($D274)="FFFFFF",0,2)+IF(getRGB1($E274)="FFFFFF",0,3)+IF(getRGB1($F274)="FFFFFF",0,4)</f>
        <v>1</v>
      </c>
    </row>
    <row r="275" spans="1:7" ht="30">
      <c r="A275" t="s">
        <v>6708</v>
      </c>
      <c r="B275" s="336" t="s">
        <v>5306</v>
      </c>
      <c r="C275" s="337" t="s">
        <v>5307</v>
      </c>
      <c r="D275" s="337" t="s">
        <v>74</v>
      </c>
      <c r="E275" s="337" t="s">
        <v>73</v>
      </c>
      <c r="F275" s="481" t="s">
        <v>174</v>
      </c>
      <c r="G275">
        <f>IF(getRGB1($C275)="FFFFFF",0,1)+IF(getRGB1($D275)="FFFFFF",0,2)+IF(getRGB1($E275)="FFFFFF",0,3)+IF(getRGB1($F275)="FFFFFF",0,4)</f>
        <v>4</v>
      </c>
    </row>
    <row r="276" spans="1:7" ht="30">
      <c r="A276" t="s">
        <v>6708</v>
      </c>
      <c r="B276" s="336" t="s">
        <v>5308</v>
      </c>
      <c r="C276" s="337" t="s">
        <v>5309</v>
      </c>
      <c r="D276" s="337" t="s">
        <v>74</v>
      </c>
      <c r="E276" s="337" t="s">
        <v>177</v>
      </c>
      <c r="F276" s="481" t="s">
        <v>173</v>
      </c>
      <c r="G276">
        <f>IF(getRGB1($C276)="FFFFFF",0,1)+IF(getRGB1($D276)="FFFFFF",0,2)+IF(getRGB1($E276)="FFFFFF",0,3)+IF(getRGB1($F276)="FFFFFF",0,4)</f>
        <v>4</v>
      </c>
    </row>
    <row r="277" spans="1:7" ht="75">
      <c r="A277" t="s">
        <v>6708</v>
      </c>
      <c r="B277" s="336" t="s">
        <v>6709</v>
      </c>
      <c r="C277" s="337">
        <v>1</v>
      </c>
      <c r="D277" s="337">
        <v>2</v>
      </c>
      <c r="E277" s="337">
        <v>3</v>
      </c>
      <c r="F277" s="481">
        <v>4</v>
      </c>
      <c r="G277">
        <f>IF(getRGB1($C277)="FFFFFF",0,1)+IF(getRGB1($D277)="FFFFFF",0,2)+IF(getRGB1($E277)="FFFFFF",0,3)+IF(getRGB1($F277)="FFFFFF",0,4)</f>
        <v>4</v>
      </c>
    </row>
    <row r="278" spans="1:7" ht="120">
      <c r="A278" t="s">
        <v>6708</v>
      </c>
      <c r="B278" s="336" t="s">
        <v>6710</v>
      </c>
      <c r="C278" s="337" t="s">
        <v>252</v>
      </c>
      <c r="D278" s="337" t="s">
        <v>4793</v>
      </c>
      <c r="E278" s="481" t="s">
        <v>6711</v>
      </c>
      <c r="F278" s="337" t="s">
        <v>6712</v>
      </c>
      <c r="G278">
        <f>IF(getRGB1($C278)="FFFFFF",0,1)+IF(getRGB1($D278)="FFFFFF",0,2)+IF(getRGB1($E278)="FFFFFF",0,3)+IF(getRGB1($F278)="FFFFFF",0,4)</f>
        <v>3</v>
      </c>
    </row>
    <row r="279" spans="1:7" ht="105">
      <c r="A279" t="s">
        <v>6708</v>
      </c>
      <c r="B279" s="336" t="s">
        <v>6713</v>
      </c>
      <c r="C279" s="337" t="s">
        <v>252</v>
      </c>
      <c r="D279" s="337" t="s">
        <v>4793</v>
      </c>
      <c r="E279" s="337" t="s">
        <v>6711</v>
      </c>
      <c r="F279" s="481" t="s">
        <v>6712</v>
      </c>
      <c r="G279">
        <f>IF(getRGB1($C279)="FFFFFF",0,1)+IF(getRGB1($D279)="FFFFFF",0,2)+IF(getRGB1($E279)="FFFFFF",0,3)+IF(getRGB1($F279)="FFFFFF",0,4)</f>
        <v>4</v>
      </c>
    </row>
    <row r="280" spans="1:7" ht="90">
      <c r="A280" t="s">
        <v>6708</v>
      </c>
      <c r="B280" s="336" t="s">
        <v>6714</v>
      </c>
      <c r="C280" s="337" t="s">
        <v>252</v>
      </c>
      <c r="D280" s="337" t="s">
        <v>4793</v>
      </c>
      <c r="E280" s="481" t="s">
        <v>6711</v>
      </c>
      <c r="F280" s="337" t="s">
        <v>6712</v>
      </c>
      <c r="G280">
        <f>IF(getRGB1($C280)="FFFFFF",0,1)+IF(getRGB1($D280)="FFFFFF",0,2)+IF(getRGB1($E280)="FFFFFF",0,3)+IF(getRGB1($F280)="FFFFFF",0,4)</f>
        <v>3</v>
      </c>
    </row>
    <row r="281" spans="1:7" ht="75">
      <c r="A281" t="s">
        <v>6708</v>
      </c>
      <c r="B281" s="336" t="s">
        <v>6715</v>
      </c>
      <c r="C281" s="337" t="s">
        <v>6716</v>
      </c>
      <c r="D281" s="337" t="s">
        <v>6717</v>
      </c>
      <c r="E281" s="337" t="s">
        <v>6718</v>
      </c>
      <c r="F281" s="481" t="s">
        <v>6719</v>
      </c>
      <c r="G281">
        <f>IF(getRGB1($C281)="FFFFFF",0,1)+IF(getRGB1($D281)="FFFFFF",0,2)+IF(getRGB1($E281)="FFFFFF",0,3)+IF(getRGB1($F281)="FFFFFF",0,4)</f>
        <v>4</v>
      </c>
    </row>
    <row r="282" spans="1:7" ht="45">
      <c r="A282" t="s">
        <v>6708</v>
      </c>
      <c r="B282" s="336" t="s">
        <v>5311</v>
      </c>
      <c r="C282" s="337" t="s">
        <v>5312</v>
      </c>
      <c r="D282" s="337" t="s">
        <v>5313</v>
      </c>
      <c r="E282" s="337" t="s">
        <v>5314</v>
      </c>
      <c r="F282" s="481" t="s">
        <v>3313</v>
      </c>
      <c r="G282">
        <f>IF(getRGB1($C282)="FFFFFF",0,1)+IF(getRGB1($D282)="FFFFFF",0,2)+IF(getRGB1($E282)="FFFFFF",0,3)+IF(getRGB1($F282)="FFFFFF",0,4)</f>
        <v>4</v>
      </c>
    </row>
    <row r="283" spans="1:7" ht="45">
      <c r="A283" t="s">
        <v>6708</v>
      </c>
      <c r="B283" s="336" t="s">
        <v>5315</v>
      </c>
      <c r="C283" s="481">
        <v>1</v>
      </c>
      <c r="D283" s="337">
        <v>2</v>
      </c>
      <c r="E283" s="337" t="s">
        <v>1073</v>
      </c>
      <c r="F283" s="337" t="s">
        <v>252</v>
      </c>
      <c r="G283">
        <f>IF(getRGB1($C283)="FFFFFF",0,1)+IF(getRGB1($D283)="FFFFFF",0,2)+IF(getRGB1($E283)="FFFFFF",0,3)+IF(getRGB1($F283)="FFFFFF",0,4)</f>
        <v>1</v>
      </c>
    </row>
    <row r="284" spans="1:7" ht="45">
      <c r="A284" t="s">
        <v>6708</v>
      </c>
      <c r="B284" s="336" t="s">
        <v>5316</v>
      </c>
      <c r="C284" s="337">
        <v>2</v>
      </c>
      <c r="D284" s="337">
        <v>3</v>
      </c>
      <c r="E284" s="337">
        <v>4</v>
      </c>
      <c r="F284" s="481">
        <v>5</v>
      </c>
      <c r="G284">
        <f>IF(getRGB1($C284)="FFFFFF",0,1)+IF(getRGB1($D284)="FFFFFF",0,2)+IF(getRGB1($E284)="FFFFFF",0,3)+IF(getRGB1($F284)="FFFFFF",0,4)</f>
        <v>4</v>
      </c>
    </row>
    <row r="285" spans="1:7" ht="60">
      <c r="A285" t="s">
        <v>6708</v>
      </c>
      <c r="B285" s="336" t="s">
        <v>5317</v>
      </c>
      <c r="C285" s="337" t="s">
        <v>5318</v>
      </c>
      <c r="D285" s="481" t="s">
        <v>5319</v>
      </c>
      <c r="E285" s="337" t="s">
        <v>5320</v>
      </c>
      <c r="F285" s="337" t="s">
        <v>5321</v>
      </c>
      <c r="G285">
        <f>IF(getRGB1($C285)="FFFFFF",0,1)+IF(getRGB1($D285)="FFFFFF",0,2)+IF(getRGB1($E285)="FFFFFF",0,3)+IF(getRGB1($F285)="FFFFFF",0,4)</f>
        <v>2</v>
      </c>
    </row>
    <row r="286" spans="1:7" ht="45">
      <c r="A286" t="s">
        <v>6708</v>
      </c>
      <c r="B286" s="336" t="s">
        <v>5322</v>
      </c>
      <c r="C286" s="481">
        <v>1</v>
      </c>
      <c r="D286" s="337">
        <v>5</v>
      </c>
      <c r="E286" s="337">
        <v>10</v>
      </c>
      <c r="F286" s="337">
        <v>15</v>
      </c>
      <c r="G286">
        <f>IF(getRGB1($C286)="FFFFFF",0,1)+IF(getRGB1($D286)="FFFFFF",0,2)+IF(getRGB1($E286)="FFFFFF",0,3)+IF(getRGB1($F286)="FFFFFF",0,4)</f>
        <v>1</v>
      </c>
    </row>
    <row r="287" spans="1:7" ht="30">
      <c r="A287" t="s">
        <v>6708</v>
      </c>
      <c r="B287" s="336" t="s">
        <v>5323</v>
      </c>
      <c r="C287" s="481">
        <v>1</v>
      </c>
      <c r="D287" s="337">
        <v>5</v>
      </c>
      <c r="E287" s="337">
        <v>10</v>
      </c>
      <c r="F287" s="337">
        <v>15</v>
      </c>
      <c r="G287">
        <f>IF(getRGB1($C287)="FFFFFF",0,1)+IF(getRGB1($D287)="FFFFFF",0,2)+IF(getRGB1($E287)="FFFFFF",0,3)+IF(getRGB1($F287)="FFFFFF",0,4)</f>
        <v>1</v>
      </c>
    </row>
    <row r="288" spans="1:7" ht="30">
      <c r="A288" t="s">
        <v>6708</v>
      </c>
      <c r="B288" s="336" t="s">
        <v>5324</v>
      </c>
      <c r="C288" s="337" t="s">
        <v>174</v>
      </c>
      <c r="D288" s="337" t="s">
        <v>74</v>
      </c>
      <c r="E288" s="481" t="s">
        <v>76</v>
      </c>
      <c r="F288" s="337" t="s">
        <v>5325</v>
      </c>
      <c r="G288">
        <f>IF(getRGB1($C288)="FFFFFF",0,1)+IF(getRGB1($D288)="FFFFFF",0,2)+IF(getRGB1($E288)="FFFFFF",0,3)+IF(getRGB1($F288)="FFFFFF",0,4)</f>
        <v>3</v>
      </c>
    </row>
    <row r="289" spans="1:7" ht="30">
      <c r="A289" t="s">
        <v>6708</v>
      </c>
      <c r="B289" s="336" t="s">
        <v>5326</v>
      </c>
      <c r="C289" s="337" t="s">
        <v>2070</v>
      </c>
      <c r="D289" s="337" t="s">
        <v>270</v>
      </c>
      <c r="E289" s="337" t="s">
        <v>76</v>
      </c>
      <c r="F289" s="481" t="s">
        <v>5327</v>
      </c>
      <c r="G289">
        <f>IF(getRGB1($C289)="FFFFFF",0,1)+IF(getRGB1($D289)="FFFFFF",0,2)+IF(getRGB1($E289)="FFFFFF",0,3)+IF(getRGB1($F289)="FFFFFF",0,4)</f>
        <v>4</v>
      </c>
    </row>
    <row r="290" spans="1:7" ht="30">
      <c r="A290" t="s">
        <v>6708</v>
      </c>
      <c r="B290" s="336" t="s">
        <v>5328</v>
      </c>
      <c r="C290" s="337" t="s">
        <v>2070</v>
      </c>
      <c r="D290" s="337" t="s">
        <v>270</v>
      </c>
      <c r="E290" s="481" t="s">
        <v>76</v>
      </c>
      <c r="F290" s="337" t="s">
        <v>74</v>
      </c>
      <c r="G290">
        <f>IF(getRGB1($C290)="FFFFFF",0,1)+IF(getRGB1($D290)="FFFFFF",0,2)+IF(getRGB1($E290)="FFFFFF",0,3)+IF(getRGB1($F290)="FFFFFF",0,4)</f>
        <v>3</v>
      </c>
    </row>
    <row r="291" spans="1:7" ht="45">
      <c r="A291" t="s">
        <v>6708</v>
      </c>
      <c r="B291" s="336" t="s">
        <v>5329</v>
      </c>
      <c r="C291" s="337" t="s">
        <v>5280</v>
      </c>
      <c r="D291" s="481" t="s">
        <v>5330</v>
      </c>
      <c r="E291" s="337" t="s">
        <v>5282</v>
      </c>
      <c r="F291" s="337" t="s">
        <v>5283</v>
      </c>
      <c r="G291">
        <f>IF(getRGB1($C291)="FFFFFF",0,1)+IF(getRGB1($D291)="FFFFFF",0,2)+IF(getRGB1($E291)="FFFFFF",0,3)+IF(getRGB1($F291)="FFFFFF",0,4)</f>
        <v>2</v>
      </c>
    </row>
    <row r="292" spans="1:7" ht="30">
      <c r="A292" t="s">
        <v>6708</v>
      </c>
      <c r="B292" s="336" t="s">
        <v>5331</v>
      </c>
      <c r="C292" s="337" t="s">
        <v>5332</v>
      </c>
      <c r="D292" s="481" t="s">
        <v>5333</v>
      </c>
      <c r="E292" s="337" t="s">
        <v>5334</v>
      </c>
      <c r="F292" s="337" t="s">
        <v>209</v>
      </c>
      <c r="G292">
        <f>IF(getRGB1($C292)="FFFFFF",0,1)+IF(getRGB1($D292)="FFFFFF",0,2)+IF(getRGB1($E292)="FFFFFF",0,3)+IF(getRGB1($F292)="FFFFFF",0,4)</f>
        <v>2</v>
      </c>
    </row>
    <row r="293" spans="1:7" ht="30">
      <c r="A293" t="s">
        <v>6708</v>
      </c>
      <c r="B293" s="490" t="s">
        <v>5335</v>
      </c>
      <c r="C293" s="491" t="s">
        <v>2222</v>
      </c>
      <c r="D293" s="491" t="s">
        <v>2204</v>
      </c>
      <c r="E293" s="491" t="s">
        <v>5336</v>
      </c>
      <c r="F293" s="492" t="s">
        <v>5337</v>
      </c>
      <c r="G293">
        <f>IF(getRGB1($C293)="FFFFFF",0,1)+IF(getRGB1($D293)="FFFFFF",0,2)+IF(getRGB1($E293)="FFFFFF",0,3)+IF(getRGB1($F293)="FFFFFF",0,4)</f>
        <v>4</v>
      </c>
    </row>
    <row r="294" spans="1:7" ht="30">
      <c r="A294" t="s">
        <v>6708</v>
      </c>
      <c r="B294" s="336" t="s">
        <v>5338</v>
      </c>
      <c r="C294" s="337" t="s">
        <v>1370</v>
      </c>
      <c r="D294" s="337" t="s">
        <v>5339</v>
      </c>
      <c r="E294" s="481" t="s">
        <v>4648</v>
      </c>
      <c r="F294" s="337" t="s">
        <v>209</v>
      </c>
      <c r="G294">
        <f>IF(getRGB1($C294)="FFFFFF",0,1)+IF(getRGB1($D294)="FFFFFF",0,2)+IF(getRGB1($E294)="FFFFFF",0,3)+IF(getRGB1($F294)="FFFFFF",0,4)</f>
        <v>3</v>
      </c>
    </row>
    <row r="295" spans="1:7" ht="30">
      <c r="A295" t="s">
        <v>6708</v>
      </c>
      <c r="B295" s="336" t="s">
        <v>5340</v>
      </c>
      <c r="C295" s="337" t="s">
        <v>1370</v>
      </c>
      <c r="D295" s="337" t="s">
        <v>5339</v>
      </c>
      <c r="E295" s="337" t="s">
        <v>5341</v>
      </c>
      <c r="F295" s="481" t="s">
        <v>3313</v>
      </c>
      <c r="G295">
        <f>IF(getRGB1($C295)="FFFFFF",0,1)+IF(getRGB1($D295)="FFFFFF",0,2)+IF(getRGB1($E295)="FFFFFF",0,3)+IF(getRGB1($F295)="FFFFFF",0,4)</f>
        <v>4</v>
      </c>
    </row>
    <row r="296" spans="1:7" ht="45">
      <c r="A296" t="s">
        <v>6708</v>
      </c>
      <c r="B296" s="336" t="s">
        <v>5279</v>
      </c>
      <c r="C296" s="337" t="s">
        <v>5280</v>
      </c>
      <c r="D296" s="481" t="s">
        <v>5281</v>
      </c>
      <c r="E296" s="337" t="s">
        <v>5282</v>
      </c>
      <c r="F296" s="337" t="s">
        <v>5283</v>
      </c>
      <c r="G296">
        <f>IF(getRGB1($C296)="FFFFFF",0,1)+IF(getRGB1($D296)="FFFFFF",0,2)+IF(getRGB1($E296)="FFFFFF",0,3)+IF(getRGB1($F296)="FFFFFF",0,4)</f>
        <v>2</v>
      </c>
    </row>
    <row r="297" spans="1:7" ht="45">
      <c r="A297" t="s">
        <v>6708</v>
      </c>
      <c r="B297" s="493" t="s">
        <v>5342</v>
      </c>
      <c r="C297" s="481" t="s">
        <v>188</v>
      </c>
      <c r="D297" s="337" t="s">
        <v>5343</v>
      </c>
      <c r="E297" s="337" t="s">
        <v>5344</v>
      </c>
      <c r="F297" s="337" t="s">
        <v>209</v>
      </c>
      <c r="G297">
        <f>IF(getRGB1($C297)="FFFFFF",0,1)+IF(getRGB1($D297)="FFFFFF",0,2)+IF(getRGB1($E297)="FFFFFF",0,3)+IF(getRGB1($F297)="FFFFFF",0,4)</f>
        <v>1</v>
      </c>
    </row>
    <row r="298" spans="1:7" ht="60">
      <c r="A298" t="s">
        <v>6708</v>
      </c>
      <c r="B298" s="336" t="s">
        <v>5345</v>
      </c>
      <c r="C298" s="337" t="s">
        <v>1073</v>
      </c>
      <c r="D298" s="337" t="s">
        <v>1072</v>
      </c>
      <c r="E298" s="337" t="s">
        <v>5346</v>
      </c>
      <c r="F298" s="481" t="s">
        <v>3313</v>
      </c>
      <c r="G298">
        <f>IF(getRGB1($C298)="FFFFFF",0,1)+IF(getRGB1($D298)="FFFFFF",0,2)+IF(getRGB1($E298)="FFFFFF",0,3)+IF(getRGB1($F298)="FFFFFF",0,4)</f>
        <v>4</v>
      </c>
    </row>
    <row r="299" spans="1:7" ht="60">
      <c r="A299" t="s">
        <v>6708</v>
      </c>
      <c r="B299" s="336" t="s">
        <v>5347</v>
      </c>
      <c r="C299" s="337" t="s">
        <v>1073</v>
      </c>
      <c r="D299" s="337" t="s">
        <v>1072</v>
      </c>
      <c r="E299" s="337" t="s">
        <v>5346</v>
      </c>
      <c r="F299" s="481" t="s">
        <v>3313</v>
      </c>
      <c r="G299">
        <f>IF(getRGB1($C299)="FFFFFF",0,1)+IF(getRGB1($D299)="FFFFFF",0,2)+IF(getRGB1($E299)="FFFFFF",0,3)+IF(getRGB1($F299)="FFFFFF",0,4)</f>
        <v>4</v>
      </c>
    </row>
    <row r="300" spans="1:7" ht="60">
      <c r="A300" t="s">
        <v>6708</v>
      </c>
      <c r="B300" s="336" t="s">
        <v>5348</v>
      </c>
      <c r="C300" s="337" t="s">
        <v>1073</v>
      </c>
      <c r="D300" s="337" t="s">
        <v>1072</v>
      </c>
      <c r="E300" s="337" t="s">
        <v>5346</v>
      </c>
      <c r="F300" s="481" t="s">
        <v>3313</v>
      </c>
      <c r="G300">
        <f>IF(getRGB1($C300)="FFFFFF",0,1)+IF(getRGB1($D300)="FFFFFF",0,2)+IF(getRGB1($E300)="FFFFFF",0,3)+IF(getRGB1($F300)="FFFFFF",0,4)</f>
        <v>4</v>
      </c>
    </row>
    <row r="301" spans="1:7" ht="45">
      <c r="A301" t="s">
        <v>6708</v>
      </c>
      <c r="B301" s="336" t="s">
        <v>5349</v>
      </c>
      <c r="C301" s="337" t="s">
        <v>5350</v>
      </c>
      <c r="D301" s="337" t="s">
        <v>5351</v>
      </c>
      <c r="E301" s="337" t="s">
        <v>5352</v>
      </c>
      <c r="F301" s="494" t="s">
        <v>3313</v>
      </c>
      <c r="G301">
        <f>IF(getRGB1($C301)="FFFFFF",0,1)+IF(getRGB1($D301)="FFFFFF",0,2)+IF(getRGB1($E301)="FFFFFF",0,3)+IF(getRGB1($F301)="FFFFFF",0,4)</f>
        <v>4</v>
      </c>
    </row>
    <row r="302" spans="1:7" ht="60">
      <c r="A302" t="s">
        <v>6708</v>
      </c>
      <c r="B302" s="336" t="s">
        <v>5272</v>
      </c>
      <c r="C302" s="481" t="s">
        <v>5273</v>
      </c>
      <c r="D302" s="337" t="s">
        <v>5285</v>
      </c>
      <c r="E302" s="337" t="s">
        <v>5286</v>
      </c>
      <c r="F302" s="337" t="s">
        <v>5287</v>
      </c>
      <c r="G302">
        <f>IF(getRGB1($C302)="FFFFFF",0,1)+IF(getRGB1($D302)="FFFFFF",0,2)+IF(getRGB1($E302)="FFFFFF",0,3)+IF(getRGB1($F302)="FFFFFF",0,4)</f>
        <v>1</v>
      </c>
    </row>
    <row r="303" spans="1:7" ht="60">
      <c r="A303" t="s">
        <v>6708</v>
      </c>
      <c r="B303" s="336" t="s">
        <v>6720</v>
      </c>
      <c r="C303" s="337" t="s">
        <v>5273</v>
      </c>
      <c r="D303" s="481" t="s">
        <v>5285</v>
      </c>
      <c r="E303" s="337" t="s">
        <v>5286</v>
      </c>
      <c r="F303" s="337" t="s">
        <v>5287</v>
      </c>
      <c r="G303">
        <f>IF(getRGB1($C303)="FFFFFF",0,1)+IF(getRGB1($D303)="FFFFFF",0,2)+IF(getRGB1($E303)="FFFFFF",0,3)+IF(getRGB1($F303)="FFFFFF",0,4)</f>
        <v>2</v>
      </c>
    </row>
    <row r="304" spans="1:7" ht="60">
      <c r="A304" t="s">
        <v>6708</v>
      </c>
      <c r="B304" s="336" t="s">
        <v>6721</v>
      </c>
      <c r="C304" s="337" t="s">
        <v>5273</v>
      </c>
      <c r="D304" s="337" t="s">
        <v>5285</v>
      </c>
      <c r="E304" s="481" t="s">
        <v>5286</v>
      </c>
      <c r="F304" s="337" t="s">
        <v>5287</v>
      </c>
      <c r="G304">
        <f>IF(getRGB1($C304)="FFFFFF",0,1)+IF(getRGB1($D304)="FFFFFF",0,2)+IF(getRGB1($E304)="FFFFFF",0,3)+IF(getRGB1($F304)="FFFFFF",0,4)</f>
        <v>3</v>
      </c>
    </row>
    <row r="305" spans="1:7" ht="60">
      <c r="A305" t="s">
        <v>6708</v>
      </c>
      <c r="B305" s="336" t="s">
        <v>6722</v>
      </c>
      <c r="C305" s="337" t="s">
        <v>5273</v>
      </c>
      <c r="D305" s="337" t="s">
        <v>5285</v>
      </c>
      <c r="E305" s="337" t="s">
        <v>5286</v>
      </c>
      <c r="F305" s="481" t="s">
        <v>5287</v>
      </c>
      <c r="G305">
        <f>IF(getRGB1($C305)="FFFFFF",0,1)+IF(getRGB1($D305)="FFFFFF",0,2)+IF(getRGB1($E305)="FFFFFF",0,3)+IF(getRGB1($F305)="FFFFFF",0,4)</f>
        <v>4</v>
      </c>
    </row>
    <row r="306" spans="1:7" ht="30">
      <c r="A306" t="s">
        <v>6708</v>
      </c>
      <c r="B306" s="336" t="s">
        <v>4914</v>
      </c>
      <c r="C306" s="337" t="s">
        <v>4915</v>
      </c>
      <c r="D306" s="337" t="s">
        <v>4916</v>
      </c>
      <c r="E306" s="337" t="s">
        <v>4917</v>
      </c>
      <c r="F306" s="481" t="s">
        <v>5353</v>
      </c>
      <c r="G306">
        <f>IF(getRGB1($C306)="FFFFFF",0,1)+IF(getRGB1($D306)="FFFFFF",0,2)+IF(getRGB1($E306)="FFFFFF",0,3)+IF(getRGB1($F306)="FFFFFF",0,4)</f>
        <v>4</v>
      </c>
    </row>
    <row r="307" spans="1:7" ht="30">
      <c r="A307" t="s">
        <v>6708</v>
      </c>
      <c r="B307" s="336" t="s">
        <v>5354</v>
      </c>
      <c r="C307" s="337" t="s">
        <v>4915</v>
      </c>
      <c r="D307" s="337" t="s">
        <v>4916</v>
      </c>
      <c r="E307" s="337" t="s">
        <v>4917</v>
      </c>
      <c r="F307" s="481" t="s">
        <v>5355</v>
      </c>
      <c r="G307">
        <f>IF(getRGB1($C307)="FFFFFF",0,1)+IF(getRGB1($D307)="FFFFFF",0,2)+IF(getRGB1($E307)="FFFFFF",0,3)+IF(getRGB1($F307)="FFFFFF",0,4)</f>
        <v>4</v>
      </c>
    </row>
    <row r="308" spans="1:7" ht="45">
      <c r="A308" t="s">
        <v>6708</v>
      </c>
      <c r="B308" s="336" t="s">
        <v>5356</v>
      </c>
      <c r="C308" s="481" t="s">
        <v>5357</v>
      </c>
      <c r="D308" s="337" t="s">
        <v>5358</v>
      </c>
      <c r="E308" s="337" t="s">
        <v>184</v>
      </c>
      <c r="F308" s="668" t="s">
        <v>4933</v>
      </c>
      <c r="G308">
        <f>IF(getRGB1($C308)="FFFFFF",0,1)+IF(getRGB1($D308)="FFFFFF",0,2)+IF(getRGB1($E308)="FFFFFF",0,3)+IF(getRGB1($F308)="FFFFFF",0,4)</f>
        <v>1</v>
      </c>
    </row>
    <row r="309" spans="1:7" ht="45">
      <c r="A309" t="s">
        <v>6708</v>
      </c>
      <c r="B309" s="336" t="s">
        <v>5359</v>
      </c>
      <c r="C309" s="481" t="s">
        <v>5357</v>
      </c>
      <c r="D309" s="337" t="s">
        <v>5358</v>
      </c>
      <c r="E309" s="668" t="s">
        <v>184</v>
      </c>
      <c r="F309" s="337" t="s">
        <v>4933</v>
      </c>
      <c r="G309">
        <f>IF(getRGB1($C309)="FFFFFF",0,1)+IF(getRGB1($D309)="FFFFFF",0,2)+IF(getRGB1($E309)="FFFFFF",0,3)+IF(getRGB1($F309)="FFFFFF",0,4)</f>
        <v>1</v>
      </c>
    </row>
    <row r="310" spans="1:7" ht="45">
      <c r="A310" t="s">
        <v>6708</v>
      </c>
      <c r="B310" s="336" t="s">
        <v>5360</v>
      </c>
      <c r="C310" s="481" t="s">
        <v>5361</v>
      </c>
      <c r="D310" s="337" t="s">
        <v>5358</v>
      </c>
      <c r="E310" s="337" t="s">
        <v>184</v>
      </c>
      <c r="F310" s="337" t="s">
        <v>4933</v>
      </c>
      <c r="G310">
        <f>IF(getRGB1($C310)="FFFFFF",0,1)+IF(getRGB1($D310)="FFFFFF",0,2)+IF(getRGB1($E310)="FFFFFF",0,3)+IF(getRGB1($F310)="FFFFFF",0,4)</f>
        <v>1</v>
      </c>
    </row>
    <row r="311" spans="1:7" ht="60">
      <c r="A311" t="s">
        <v>6708</v>
      </c>
      <c r="B311" s="490" t="s">
        <v>5290</v>
      </c>
      <c r="C311" s="491" t="s">
        <v>4716</v>
      </c>
      <c r="D311" s="669" t="s">
        <v>5291</v>
      </c>
      <c r="E311" s="492" t="s">
        <v>4798</v>
      </c>
      <c r="F311" s="669" t="s">
        <v>209</v>
      </c>
      <c r="G311">
        <f>IF(getRGB1($C311)="FFFFFF",0,1)+IF(getRGB1($D311)="FFFFFF",0,2)+IF(getRGB1($E311)="FFFFFF",0,3)+IF(getRGB1($F311)="FFFFFF",0,4)</f>
        <v>3</v>
      </c>
    </row>
    <row r="312" spans="1:7" ht="60">
      <c r="A312" t="s">
        <v>6708</v>
      </c>
      <c r="B312" s="490" t="s">
        <v>8691</v>
      </c>
      <c r="C312" s="491" t="s">
        <v>4716</v>
      </c>
      <c r="D312" s="491" t="s">
        <v>5293</v>
      </c>
      <c r="E312" s="492" t="s">
        <v>4798</v>
      </c>
      <c r="F312" s="491" t="s">
        <v>209</v>
      </c>
      <c r="G312">
        <f>IF(getRGB1($C312)="FFFFFF",0,1)+IF(getRGB1($D312)="FFFFFF",0,2)+IF(getRGB1($E312)="FFFFFF",0,3)+IF(getRGB1($F312)="FFFFFF",0,4)</f>
        <v>3</v>
      </c>
    </row>
    <row r="313" spans="1:7" ht="30">
      <c r="A313" t="s">
        <v>6708</v>
      </c>
      <c r="B313" s="336" t="s">
        <v>5294</v>
      </c>
      <c r="C313" s="337">
        <v>1910</v>
      </c>
      <c r="D313" s="337">
        <v>1948</v>
      </c>
      <c r="E313" s="481">
        <v>1965</v>
      </c>
      <c r="F313" s="337">
        <v>2000</v>
      </c>
      <c r="G313">
        <f>IF(getRGB1($C313)="FFFFFF",0,1)+IF(getRGB1($D313)="FFFFFF",0,2)+IF(getRGB1($E313)="FFFFFF",0,3)+IF(getRGB1($F313)="FFFFFF",0,4)</f>
        <v>3</v>
      </c>
    </row>
    <row r="314" spans="1:7" ht="45">
      <c r="A314" t="s">
        <v>6708</v>
      </c>
      <c r="B314" s="336" t="s">
        <v>5295</v>
      </c>
      <c r="C314" s="668" t="s">
        <v>74</v>
      </c>
      <c r="D314" s="337" t="s">
        <v>73</v>
      </c>
      <c r="E314" s="494" t="s">
        <v>76</v>
      </c>
      <c r="F314" s="337" t="s">
        <v>174</v>
      </c>
      <c r="G314">
        <f>IF(getRGB1($C314)="FFFFFF",0,1)+IF(getRGB1($D314)="FFFFFF",0,2)+IF(getRGB1($E314)="FFFFFF",0,3)+IF(getRGB1($F314)="FFFFFF",0,4)</f>
        <v>3</v>
      </c>
    </row>
    <row r="315" spans="1:7" ht="30">
      <c r="A315" t="s">
        <v>6708</v>
      </c>
      <c r="B315" s="336" t="s">
        <v>5362</v>
      </c>
      <c r="C315" s="337" t="s">
        <v>74</v>
      </c>
      <c r="D315" s="337" t="s">
        <v>73</v>
      </c>
      <c r="E315" s="337" t="s">
        <v>76</v>
      </c>
      <c r="F315" s="481" t="s">
        <v>5363</v>
      </c>
      <c r="G315">
        <f>IF(getRGB1($C315)="FFFFFF",0,1)+IF(getRGB1($D315)="FFFFFF",0,2)+IF(getRGB1($E315)="FFFFFF",0,3)+IF(getRGB1($F315)="FFFFFF",0,4)</f>
        <v>4</v>
      </c>
    </row>
    <row r="316" spans="1:7" ht="30">
      <c r="A316" t="s">
        <v>6708</v>
      </c>
      <c r="B316" s="490" t="s">
        <v>5364</v>
      </c>
      <c r="C316" s="492" t="s">
        <v>1021</v>
      </c>
      <c r="D316" s="491" t="s">
        <v>5365</v>
      </c>
      <c r="E316" s="491" t="s">
        <v>6723</v>
      </c>
      <c r="F316" s="491" t="s">
        <v>209</v>
      </c>
      <c r="G316">
        <f>IF(getRGB1($C316)="FFFFFF",0,1)+IF(getRGB1($D316)="FFFFFF",0,2)+IF(getRGB1($E316)="FFFFFF",0,3)+IF(getRGB1($F316)="FFFFFF",0,4)</f>
        <v>1</v>
      </c>
    </row>
    <row r="317" spans="1:7" ht="30">
      <c r="A317" t="s">
        <v>6708</v>
      </c>
      <c r="B317" s="336" t="s">
        <v>5367</v>
      </c>
      <c r="C317" s="337" t="s">
        <v>1025</v>
      </c>
      <c r="D317" s="337" t="s">
        <v>1026</v>
      </c>
      <c r="E317" s="337" t="s">
        <v>1027</v>
      </c>
      <c r="F317" s="481" t="s">
        <v>3313</v>
      </c>
      <c r="G317">
        <f>IF(getRGB1($C317)="FFFFFF",0,1)+IF(getRGB1($D317)="FFFFFF",0,2)+IF(getRGB1($E317)="FFFFFF",0,3)+IF(getRGB1($F317)="FFFFFF",0,4)</f>
        <v>4</v>
      </c>
    </row>
    <row r="318" spans="1:7" ht="30">
      <c r="A318" t="s">
        <v>6708</v>
      </c>
      <c r="B318" s="336" t="s">
        <v>5368</v>
      </c>
      <c r="C318" s="337" t="s">
        <v>1029</v>
      </c>
      <c r="D318" s="337" t="s">
        <v>1030</v>
      </c>
      <c r="E318" s="337" t="s">
        <v>1031</v>
      </c>
      <c r="F318" s="481" t="s">
        <v>3313</v>
      </c>
      <c r="G318">
        <f>IF(getRGB1($C318)="FFFFFF",0,1)+IF(getRGB1($D318)="FFFFFF",0,2)+IF(getRGB1($E318)="FFFFFF",0,3)+IF(getRGB1($F318)="FFFFFF",0,4)</f>
        <v>4</v>
      </c>
    </row>
    <row r="319" spans="1:7" ht="45">
      <c r="A319" t="s">
        <v>6708</v>
      </c>
      <c r="B319" s="336" t="s">
        <v>5369</v>
      </c>
      <c r="C319" s="337" t="s">
        <v>252</v>
      </c>
      <c r="D319" s="337" t="s">
        <v>1071</v>
      </c>
      <c r="E319" s="337" t="s">
        <v>1072</v>
      </c>
      <c r="F319" s="481" t="s">
        <v>1073</v>
      </c>
      <c r="G319">
        <f>IF(getRGB1($C319)="FFFFFF",0,1)+IF(getRGB1($D319)="FFFFFF",0,2)+IF(getRGB1($E319)="FFFFFF",0,3)+IF(getRGB1($F319)="FFFFFF",0,4)</f>
        <v>4</v>
      </c>
    </row>
    <row r="320" spans="1:7">
      <c r="A320" t="s">
        <v>6708</v>
      </c>
      <c r="B320" s="336" t="s">
        <v>5370</v>
      </c>
      <c r="C320" s="337" t="s">
        <v>1021</v>
      </c>
      <c r="D320" s="337" t="s">
        <v>1075</v>
      </c>
      <c r="E320" s="481" t="s">
        <v>1076</v>
      </c>
      <c r="F320" s="337" t="s">
        <v>209</v>
      </c>
      <c r="G320">
        <f>IF(getRGB1($C320)="FFFFFF",0,1)+IF(getRGB1($D320)="FFFFFF",0,2)+IF(getRGB1($E320)="FFFFFF",0,3)+IF(getRGB1($F320)="FFFFFF",0,4)</f>
        <v>3</v>
      </c>
    </row>
    <row r="321" spans="1:7" ht="30">
      <c r="A321" t="s">
        <v>6708</v>
      </c>
      <c r="B321" s="336" t="s">
        <v>5371</v>
      </c>
      <c r="C321" s="337" t="s">
        <v>1078</v>
      </c>
      <c r="D321" s="337" t="s">
        <v>1079</v>
      </c>
      <c r="E321" s="481" t="s">
        <v>702</v>
      </c>
      <c r="F321" s="337" t="s">
        <v>1081</v>
      </c>
      <c r="G321">
        <f>IF(getRGB1($C321)="FFFFFF",0,1)+IF(getRGB1($D321)="FFFFFF",0,2)+IF(getRGB1($E321)="FFFFFF",0,3)+IF(getRGB1($F321)="FFFFFF",0,4)</f>
        <v>3</v>
      </c>
    </row>
    <row r="322" spans="1:7" ht="45">
      <c r="A322" t="s">
        <v>6708</v>
      </c>
      <c r="B322" s="490" t="s">
        <v>5372</v>
      </c>
      <c r="C322" s="491" t="s">
        <v>1029</v>
      </c>
      <c r="D322" s="491" t="s">
        <v>1030</v>
      </c>
      <c r="E322" s="491" t="s">
        <v>1031</v>
      </c>
      <c r="F322" s="491" t="s">
        <v>1075</v>
      </c>
      <c r="G322">
        <f>IF(getRGB1($C322)="FFFFFF",0,1)+IF(getRGB1($D322)="FFFFFF",0,2)+IF(getRGB1($E322)="FFFFFF",0,3)+IF(getRGB1($F322)="FFFFFF",0,4)</f>
        <v>0</v>
      </c>
    </row>
    <row r="323" spans="1:7" ht="60">
      <c r="A323" t="s">
        <v>6708</v>
      </c>
      <c r="B323" s="336" t="s">
        <v>8735</v>
      </c>
      <c r="C323" s="495" t="s">
        <v>1084</v>
      </c>
      <c r="D323" s="495" t="s">
        <v>1085</v>
      </c>
      <c r="E323" s="495" t="s">
        <v>1086</v>
      </c>
      <c r="F323" s="496" t="s">
        <v>1087</v>
      </c>
      <c r="G323">
        <f>IF(getRGB1($C323)="FFFFFF",0,1)+IF(getRGB1($D323)="FFFFFF",0,2)+IF(getRGB1($E323)="FFFFFF",0,3)+IF(getRGB1($F323)="FFFFFF",0,4)</f>
        <v>4</v>
      </c>
    </row>
    <row r="324" spans="1:7" ht="60">
      <c r="A324" t="s">
        <v>6708</v>
      </c>
      <c r="B324" s="336" t="s">
        <v>8736</v>
      </c>
      <c r="C324" s="485">
        <v>0.4</v>
      </c>
      <c r="D324" s="485">
        <v>0.3</v>
      </c>
      <c r="E324" s="486">
        <v>0.45</v>
      </c>
      <c r="F324" s="485">
        <v>0.35</v>
      </c>
      <c r="G324">
        <f>IF(getRGB1($C324)="FFFFFF",0,1)+IF(getRGB1($D324)="FFFFFF",0,2)+IF(getRGB1($E324)="FFFFFF",0,3)+IF(getRGB1($F324)="FFFFFF",0,4)</f>
        <v>3</v>
      </c>
    </row>
    <row r="325" spans="1:7" ht="45">
      <c r="A325" t="s">
        <v>6708</v>
      </c>
      <c r="B325" s="336" t="s">
        <v>8737</v>
      </c>
      <c r="C325" s="485">
        <v>0.2</v>
      </c>
      <c r="D325" s="485">
        <v>0.3</v>
      </c>
      <c r="E325" s="485">
        <v>0.05</v>
      </c>
      <c r="F325" s="486">
        <v>0.1</v>
      </c>
      <c r="G325">
        <f>IF(getRGB1($C325)="FFFFFF",0,1)+IF(getRGB1($D325)="FFFFFF",0,2)+IF(getRGB1($E325)="FFFFFF",0,3)+IF(getRGB1($F325)="FFFFFF",0,4)</f>
        <v>4</v>
      </c>
    </row>
    <row r="326" spans="1:7" ht="60">
      <c r="A326" t="s">
        <v>6708</v>
      </c>
      <c r="B326" s="336" t="s">
        <v>8727</v>
      </c>
      <c r="C326" s="337" t="s">
        <v>1121</v>
      </c>
      <c r="D326" s="337" t="s">
        <v>1122</v>
      </c>
      <c r="E326" s="337" t="s">
        <v>1123</v>
      </c>
      <c r="F326" s="481" t="s">
        <v>5376</v>
      </c>
      <c r="G326">
        <f>IF(getRGB1($C326)="FFFFFF",0,1)+IF(getRGB1($D326)="FFFFFF",0,2)+IF(getRGB1($E326)="FFFFFF",0,3)+IF(getRGB1($F326)="FFFFFF",0,4)</f>
        <v>4</v>
      </c>
    </row>
    <row r="327" spans="1:7" ht="30">
      <c r="A327" t="s">
        <v>6708</v>
      </c>
      <c r="B327" s="336" t="s">
        <v>5296</v>
      </c>
      <c r="C327" s="337" t="s">
        <v>1371</v>
      </c>
      <c r="D327" s="337" t="s">
        <v>1370</v>
      </c>
      <c r="E327" s="337" t="s">
        <v>5297</v>
      </c>
      <c r="F327" s="481" t="s">
        <v>3313</v>
      </c>
      <c r="G327">
        <f>IF(getRGB1($C327)="FFFFFF",0,1)+IF(getRGB1($D327)="FFFFFF",0,2)+IF(getRGB1($E327)="FFFFFF",0,3)+IF(getRGB1($F327)="FFFFFF",0,4)</f>
        <v>4</v>
      </c>
    </row>
    <row r="328" spans="1:7" ht="30">
      <c r="A328" t="s">
        <v>6708</v>
      </c>
      <c r="B328" s="336" t="s">
        <v>5298</v>
      </c>
      <c r="C328" s="494" t="s">
        <v>5299</v>
      </c>
      <c r="D328" s="337" t="s">
        <v>5300</v>
      </c>
      <c r="E328" s="337" t="s">
        <v>5301</v>
      </c>
      <c r="F328" s="668" t="s">
        <v>209</v>
      </c>
      <c r="G328">
        <f>IF(getRGB1($C328)="FFFFFF",0,1)+IF(getRGB1($D328)="FFFFFF",0,2)+IF(getRGB1($E328)="FFFFFF",0,3)+IF(getRGB1($F328)="FFFFFF",0,4)</f>
        <v>1</v>
      </c>
    </row>
    <row r="329" spans="1:7" ht="45">
      <c r="A329" t="s">
        <v>6708</v>
      </c>
      <c r="B329" s="336" t="s">
        <v>5377</v>
      </c>
      <c r="C329" s="337" t="s">
        <v>5378</v>
      </c>
      <c r="D329" s="494" t="s">
        <v>5379</v>
      </c>
      <c r="E329" s="337" t="s">
        <v>5380</v>
      </c>
      <c r="F329" s="668" t="s">
        <v>3313</v>
      </c>
      <c r="G329">
        <f>IF(getRGB1($C329)="FFFFFF",0,1)+IF(getRGB1($D329)="FFFFFF",0,2)+IF(getRGB1($E329)="FFFFFF",0,3)+IF(getRGB1($F329)="FFFFFF",0,4)</f>
        <v>2</v>
      </c>
    </row>
    <row r="330" spans="1:7" ht="60">
      <c r="A330" t="s">
        <v>6708</v>
      </c>
      <c r="B330" s="336" t="s">
        <v>5381</v>
      </c>
      <c r="C330" s="337" t="s">
        <v>5382</v>
      </c>
      <c r="D330" s="337" t="s">
        <v>5383</v>
      </c>
      <c r="E330" s="337" t="s">
        <v>5384</v>
      </c>
      <c r="F330" s="337" t="s">
        <v>3313</v>
      </c>
      <c r="G330">
        <f>IF(getRGB1($C330)="FFFFFF",0,1)+IF(getRGB1($D330)="FFFFFF",0,2)+IF(getRGB1($E330)="FFFFFF",0,3)+IF(getRGB1($F330)="FFFFFF",0,4)</f>
        <v>0</v>
      </c>
    </row>
    <row r="331" spans="1:7">
      <c r="A331" t="s">
        <v>6708</v>
      </c>
      <c r="B331" s="336" t="s">
        <v>5385</v>
      </c>
      <c r="C331" s="337" t="s">
        <v>5386</v>
      </c>
      <c r="D331" s="337" t="s">
        <v>5387</v>
      </c>
      <c r="E331" s="337" t="s">
        <v>702</v>
      </c>
      <c r="F331" s="337" t="s">
        <v>209</v>
      </c>
      <c r="G331">
        <f>IF(getRGB1($C331)="FFFFFF",0,1)+IF(getRGB1($D331)="FFFFFF",0,2)+IF(getRGB1($E331)="FFFFFF",0,3)+IF(getRGB1($F331)="FFFFFF",0,4)</f>
        <v>0</v>
      </c>
    </row>
    <row r="332" spans="1:7" ht="30">
      <c r="A332" t="s">
        <v>6708</v>
      </c>
      <c r="B332" s="336" t="s">
        <v>5388</v>
      </c>
      <c r="C332" s="337" t="s">
        <v>5386</v>
      </c>
      <c r="D332" s="337" t="s">
        <v>5387</v>
      </c>
      <c r="E332" s="337" t="s">
        <v>702</v>
      </c>
      <c r="F332" s="337" t="s">
        <v>209</v>
      </c>
      <c r="G332">
        <f>IF(getRGB1($C332)="FFFFFF",0,1)+IF(getRGB1($D332)="FFFFFF",0,2)+IF(getRGB1($E332)="FFFFFF",0,3)+IF(getRGB1($F332)="FFFFFF",0,4)</f>
        <v>0</v>
      </c>
    </row>
    <row r="333" spans="1:7">
      <c r="A333" t="s">
        <v>6708</v>
      </c>
      <c r="B333" s="336" t="s">
        <v>5389</v>
      </c>
      <c r="C333" s="337" t="s">
        <v>5386</v>
      </c>
      <c r="D333" s="337" t="s">
        <v>5387</v>
      </c>
      <c r="E333" s="337" t="s">
        <v>702</v>
      </c>
      <c r="F333" s="337" t="s">
        <v>209</v>
      </c>
      <c r="G333">
        <f>IF(getRGB1($C333)="FFFFFF",0,1)+IF(getRGB1($D333)="FFFFFF",0,2)+IF(getRGB1($E333)="FFFFFF",0,3)+IF(getRGB1($F333)="FFFFFF",0,4)</f>
        <v>0</v>
      </c>
    </row>
    <row r="334" spans="1:7">
      <c r="A334" t="s">
        <v>6708</v>
      </c>
      <c r="B334" s="670" t="s">
        <v>5390</v>
      </c>
      <c r="C334" s="668" t="s">
        <v>1370</v>
      </c>
      <c r="D334" s="668" t="s">
        <v>5339</v>
      </c>
      <c r="E334" s="668" t="s">
        <v>1372</v>
      </c>
      <c r="F334" s="668" t="s">
        <v>1078</v>
      </c>
      <c r="G334">
        <f>IF(getRGB1($C334)="FFFFFF",0,1)+IF(getRGB1($D334)="FFFFFF",0,2)+IF(getRGB1($E334)="FFFFFF",0,3)+IF(getRGB1($F334)="FFFFFF",0,4)</f>
        <v>0</v>
      </c>
    </row>
    <row r="335" spans="1:7" ht="30">
      <c r="A335" t="s">
        <v>6708</v>
      </c>
      <c r="B335" s="336" t="s">
        <v>5391</v>
      </c>
      <c r="C335" s="337" t="s">
        <v>73</v>
      </c>
      <c r="D335" s="337" t="s">
        <v>5343</v>
      </c>
      <c r="E335" s="337" t="s">
        <v>1370</v>
      </c>
      <c r="F335" s="337" t="s">
        <v>177</v>
      </c>
      <c r="G335">
        <f>IF(getRGB1($C335)="FFFFFF",0,1)+IF(getRGB1($D335)="FFFFFF",0,2)+IF(getRGB1($E335)="FFFFFF",0,3)+IF(getRGB1($F335)="FFFFFF",0,4)</f>
        <v>0</v>
      </c>
    </row>
    <row r="336" spans="1:7" ht="30">
      <c r="A336" t="s">
        <v>6724</v>
      </c>
      <c r="B336" s="671" t="s">
        <v>4934</v>
      </c>
      <c r="C336" s="672" t="s">
        <v>4935</v>
      </c>
      <c r="D336" s="498" t="s">
        <v>4936</v>
      </c>
      <c r="E336" s="672" t="s">
        <v>4937</v>
      </c>
      <c r="F336" s="673" t="s">
        <v>2141</v>
      </c>
      <c r="G336">
        <f>IF(getRGB1($C336)="FFFFFF",0,1)+IF(getRGB1($D336)="FFFFFF",0,2)+IF(getRGB1($E336)="FFFFFF",0,3)+IF(getRGB1($F336)="FFFFFF",0,4)</f>
        <v>4</v>
      </c>
    </row>
    <row r="337" spans="1:7" ht="30">
      <c r="A337" t="s">
        <v>6724</v>
      </c>
      <c r="B337" s="671" t="s">
        <v>4938</v>
      </c>
      <c r="C337" s="672" t="s">
        <v>4939</v>
      </c>
      <c r="D337" s="673" t="s">
        <v>4940</v>
      </c>
      <c r="E337" s="672" t="s">
        <v>4113</v>
      </c>
      <c r="F337" s="672" t="s">
        <v>4113</v>
      </c>
      <c r="G337">
        <f>IF(getRGB1($C337)="FFFFFF",0,1)+IF(getRGB1($D337)="FFFFFF",0,2)+IF(getRGB1($E337)="FFFFFF",0,3)+IF(getRGB1($F337)="FFFFFF",0,4)</f>
        <v>2</v>
      </c>
    </row>
    <row r="338" spans="1:7" ht="45">
      <c r="A338" t="s">
        <v>6724</v>
      </c>
      <c r="B338" s="497" t="s">
        <v>4941</v>
      </c>
      <c r="C338" s="673" t="s">
        <v>4942</v>
      </c>
      <c r="D338" s="498" t="s">
        <v>4943</v>
      </c>
      <c r="E338" s="672" t="s">
        <v>4944</v>
      </c>
      <c r="F338" s="672" t="s">
        <v>209</v>
      </c>
      <c r="G338">
        <f>IF(getRGB1($C338)="FFFFFF",0,1)+IF(getRGB1($D338)="FFFFFF",0,2)+IF(getRGB1($E338)="FFFFFF",0,3)+IF(getRGB1($F338)="FFFFFF",0,4)</f>
        <v>1</v>
      </c>
    </row>
    <row r="339" spans="1:7" ht="45">
      <c r="A339" t="s">
        <v>6724</v>
      </c>
      <c r="B339" s="497" t="s">
        <v>4945</v>
      </c>
      <c r="C339" s="672" t="s">
        <v>4946</v>
      </c>
      <c r="D339" s="672" t="s">
        <v>4947</v>
      </c>
      <c r="E339" s="498" t="s">
        <v>4948</v>
      </c>
      <c r="F339" s="673" t="s">
        <v>4658</v>
      </c>
      <c r="G339">
        <f>IF(getRGB1($C339)="FFFFFF",0,1)+IF(getRGB1($D339)="FFFFFF",0,2)+IF(getRGB1($E339)="FFFFFF",0,3)+IF(getRGB1($F339)="FFFFFF",0,4)</f>
        <v>4</v>
      </c>
    </row>
    <row r="340" spans="1:7" ht="30">
      <c r="A340" t="s">
        <v>6724</v>
      </c>
      <c r="B340" s="671" t="s">
        <v>4949</v>
      </c>
      <c r="C340" s="672" t="s">
        <v>4925</v>
      </c>
      <c r="D340" s="673" t="b">
        <v>0</v>
      </c>
      <c r="E340" s="672" t="s">
        <v>4113</v>
      </c>
      <c r="F340" s="672" t="s">
        <v>4113</v>
      </c>
      <c r="G340">
        <f>IF(getRGB1($C340)="FFFFFF",0,1)+IF(getRGB1($D340)="FFFFFF",0,2)+IF(getRGB1($E340)="FFFFFF",0,3)+IF(getRGB1($F340)="FFFFFF",0,4)</f>
        <v>2</v>
      </c>
    </row>
    <row r="341" spans="1:7" ht="30">
      <c r="A341" t="s">
        <v>6724</v>
      </c>
      <c r="B341" s="671" t="s">
        <v>4950</v>
      </c>
      <c r="C341" s="672" t="s">
        <v>4951</v>
      </c>
      <c r="D341" s="672" t="s">
        <v>4952</v>
      </c>
      <c r="E341" s="673" t="s">
        <v>4953</v>
      </c>
      <c r="F341" s="672" t="s">
        <v>4658</v>
      </c>
      <c r="G341">
        <f>IF(getRGB1($C341)="FFFFFF",0,1)+IF(getRGB1($D341)="FFFFFF",0,2)+IF(getRGB1($E341)="FFFFFF",0,3)+IF(getRGB1($F341)="FFFFFF",0,4)</f>
        <v>3</v>
      </c>
    </row>
    <row r="342" spans="1:7" ht="30">
      <c r="A342" t="s">
        <v>6724</v>
      </c>
      <c r="B342" s="671" t="s">
        <v>4954</v>
      </c>
      <c r="C342" s="673" t="s">
        <v>4955</v>
      </c>
      <c r="D342" s="672" t="s">
        <v>4956</v>
      </c>
      <c r="E342" s="672" t="s">
        <v>4957</v>
      </c>
      <c r="F342" s="672" t="s">
        <v>4658</v>
      </c>
      <c r="G342">
        <f>IF(getRGB1($C342)="FFFFFF",0,1)+IF(getRGB1($D342)="FFFFFF",0,2)+IF(getRGB1($E342)="FFFFFF",0,3)+IF(getRGB1($F342)="FFFFFF",0,4)</f>
        <v>1</v>
      </c>
    </row>
    <row r="343" spans="1:7" ht="30">
      <c r="A343" t="s">
        <v>6724</v>
      </c>
      <c r="B343" s="671" t="s">
        <v>4958</v>
      </c>
      <c r="C343" s="673" t="s">
        <v>4959</v>
      </c>
      <c r="D343" s="672" t="s">
        <v>4960</v>
      </c>
      <c r="E343" s="672" t="s">
        <v>4961</v>
      </c>
      <c r="F343" s="672" t="s">
        <v>4962</v>
      </c>
      <c r="G343">
        <f>IF(getRGB1($C343)="FFFFFF",0,1)+IF(getRGB1($D343)="FFFFFF",0,2)+IF(getRGB1($E343)="FFFFFF",0,3)+IF(getRGB1($F343)="FFFFFF",0,4)</f>
        <v>1</v>
      </c>
    </row>
    <row r="344" spans="1:7">
      <c r="A344" t="s">
        <v>6724</v>
      </c>
      <c r="B344" s="497" t="s">
        <v>4963</v>
      </c>
      <c r="C344" s="673" t="s">
        <v>4964</v>
      </c>
      <c r="D344" s="672" t="s">
        <v>4965</v>
      </c>
      <c r="E344" s="672" t="s">
        <v>4966</v>
      </c>
      <c r="F344" s="672" t="s">
        <v>4967</v>
      </c>
      <c r="G344">
        <f>IF(getRGB1($C344)="FFFFFF",0,1)+IF(getRGB1($D344)="FFFFFF",0,2)+IF(getRGB1($E344)="FFFFFF",0,3)+IF(getRGB1($F344)="FFFFFF",0,4)</f>
        <v>1</v>
      </c>
    </row>
    <row r="345" spans="1:7" ht="30">
      <c r="A345" t="s">
        <v>6724</v>
      </c>
      <c r="B345" s="497" t="s">
        <v>4968</v>
      </c>
      <c r="C345" s="672" t="s">
        <v>4969</v>
      </c>
      <c r="D345" s="672" t="s">
        <v>4970</v>
      </c>
      <c r="E345" s="672" t="s">
        <v>4971</v>
      </c>
      <c r="F345" s="673" t="s">
        <v>4972</v>
      </c>
      <c r="G345">
        <f>IF(getRGB1($C345)="FFFFFF",0,1)+IF(getRGB1($D345)="FFFFFF",0,2)+IF(getRGB1($E345)="FFFFFF",0,3)+IF(getRGB1($F345)="FFFFFF",0,4)</f>
        <v>4</v>
      </c>
    </row>
    <row r="346" spans="1:7" ht="75">
      <c r="A346" t="s">
        <v>6724</v>
      </c>
      <c r="B346" s="497" t="s">
        <v>4973</v>
      </c>
      <c r="C346" s="672" t="s">
        <v>4974</v>
      </c>
      <c r="D346" s="673" t="s">
        <v>4975</v>
      </c>
      <c r="E346" s="672" t="s">
        <v>2515</v>
      </c>
      <c r="F346" s="672" t="s">
        <v>4976</v>
      </c>
      <c r="G346">
        <f>IF(getRGB1($C346)="FFFFFF",0,1)+IF(getRGB1($D346)="FFFFFF",0,2)+IF(getRGB1($E346)="FFFFFF",0,3)+IF(getRGB1($F346)="FFFFFF",0,4)</f>
        <v>2</v>
      </c>
    </row>
    <row r="347" spans="1:7" ht="45">
      <c r="A347" t="s">
        <v>6724</v>
      </c>
      <c r="B347" s="497" t="s">
        <v>4977</v>
      </c>
      <c r="C347" s="673" t="s">
        <v>5441</v>
      </c>
      <c r="D347" s="672" t="s">
        <v>4979</v>
      </c>
      <c r="E347" s="672" t="s">
        <v>2554</v>
      </c>
      <c r="F347" s="672" t="s">
        <v>4980</v>
      </c>
      <c r="G347">
        <f>IF(getRGB1($C347)="FFFFFF",0,1)+IF(getRGB1($D347)="FFFFFF",0,2)+IF(getRGB1($E347)="FFFFFF",0,3)+IF(getRGB1($F347)="FFFFFF",0,4)</f>
        <v>1</v>
      </c>
    </row>
    <row r="348" spans="1:7" ht="30">
      <c r="A348" t="s">
        <v>6724</v>
      </c>
      <c r="B348" s="497" t="s">
        <v>4981</v>
      </c>
      <c r="C348" s="673" t="s">
        <v>4982</v>
      </c>
      <c r="D348" s="672" t="s">
        <v>4983</v>
      </c>
      <c r="E348" s="672" t="s">
        <v>4984</v>
      </c>
      <c r="F348" s="672" t="s">
        <v>4985</v>
      </c>
      <c r="G348">
        <f>IF(getRGB1($C348)="FFFFFF",0,1)+IF(getRGB1($D348)="FFFFFF",0,2)+IF(getRGB1($E348)="FFFFFF",0,3)+IF(getRGB1($F348)="FFFFFF",0,4)</f>
        <v>1</v>
      </c>
    </row>
    <row r="349" spans="1:7" ht="30">
      <c r="A349" t="s">
        <v>6724</v>
      </c>
      <c r="B349" s="497" t="s">
        <v>4986</v>
      </c>
      <c r="C349" s="672" t="s">
        <v>4987</v>
      </c>
      <c r="D349" s="673" t="s">
        <v>4988</v>
      </c>
      <c r="E349" s="672" t="s">
        <v>4989</v>
      </c>
      <c r="F349" s="672" t="s">
        <v>4658</v>
      </c>
      <c r="G349">
        <f>IF(getRGB1($C349)="FFFFFF",0,1)+IF(getRGB1($D349)="FFFFFF",0,2)+IF(getRGB1($E349)="FFFFFF",0,3)+IF(getRGB1($F349)="FFFFFF",0,4)</f>
        <v>2</v>
      </c>
    </row>
    <row r="350" spans="1:7" ht="30">
      <c r="A350" t="s">
        <v>6724</v>
      </c>
      <c r="B350" s="497" t="s">
        <v>4990</v>
      </c>
      <c r="C350" s="672" t="s">
        <v>4991</v>
      </c>
      <c r="D350" s="672" t="s">
        <v>4992</v>
      </c>
      <c r="E350" s="672" t="s">
        <v>4341</v>
      </c>
      <c r="F350" s="673" t="s">
        <v>4993</v>
      </c>
      <c r="G350">
        <f>IF(getRGB1($C350)="FFFFFF",0,1)+IF(getRGB1($D350)="FFFFFF",0,2)+IF(getRGB1($E350)="FFFFFF",0,3)+IF(getRGB1($F350)="FFFFFF",0,4)</f>
        <v>4</v>
      </c>
    </row>
    <row r="351" spans="1:7" ht="30">
      <c r="A351" t="s">
        <v>6724</v>
      </c>
      <c r="B351" s="497" t="s">
        <v>4994</v>
      </c>
      <c r="C351" s="672" t="s">
        <v>4995</v>
      </c>
      <c r="D351" s="672" t="s">
        <v>825</v>
      </c>
      <c r="E351" s="672" t="s">
        <v>4996</v>
      </c>
      <c r="F351" s="673" t="s">
        <v>2515</v>
      </c>
      <c r="G351">
        <f>IF(getRGB1($C351)="FFFFFF",0,1)+IF(getRGB1($D351)="FFFFFF",0,2)+IF(getRGB1($E351)="FFFFFF",0,3)+IF(getRGB1($F351)="FFFFFF",0,4)</f>
        <v>4</v>
      </c>
    </row>
    <row r="352" spans="1:7" ht="30">
      <c r="A352" t="s">
        <v>6724</v>
      </c>
      <c r="B352" s="497" t="s">
        <v>4997</v>
      </c>
      <c r="C352" s="672" t="s">
        <v>4998</v>
      </c>
      <c r="D352" s="672" t="s">
        <v>4999</v>
      </c>
      <c r="E352" s="673" t="s">
        <v>5000</v>
      </c>
      <c r="F352" s="672" t="s">
        <v>5001</v>
      </c>
      <c r="G352">
        <f>IF(getRGB1($C352)="FFFFFF",0,1)+IF(getRGB1($D352)="FFFFFF",0,2)+IF(getRGB1($E352)="FFFFFF",0,3)+IF(getRGB1($F352)="FFFFFF",0,4)</f>
        <v>3</v>
      </c>
    </row>
    <row r="353" spans="1:7" ht="45">
      <c r="A353" t="s">
        <v>6724</v>
      </c>
      <c r="B353" s="497" t="s">
        <v>5002</v>
      </c>
      <c r="C353" s="672" t="s">
        <v>5003</v>
      </c>
      <c r="D353" s="673" t="s">
        <v>5004</v>
      </c>
      <c r="E353" s="672" t="s">
        <v>4952</v>
      </c>
      <c r="F353" s="672" t="s">
        <v>5005</v>
      </c>
      <c r="G353">
        <f>IF(getRGB1($C353)="FFFFFF",0,1)+IF(getRGB1($D353)="FFFFFF",0,2)+IF(getRGB1($E353)="FFFFFF",0,3)+IF(getRGB1($F353)="FFFFFF",0,4)</f>
        <v>2</v>
      </c>
    </row>
    <row r="354" spans="1:7" ht="30">
      <c r="A354" t="s">
        <v>6724</v>
      </c>
      <c r="B354" s="497" t="s">
        <v>5006</v>
      </c>
      <c r="C354" s="672" t="s">
        <v>5007</v>
      </c>
      <c r="D354" s="672" t="s">
        <v>5008</v>
      </c>
      <c r="E354" s="672" t="s">
        <v>5009</v>
      </c>
      <c r="F354" s="673" t="s">
        <v>5010</v>
      </c>
      <c r="G354">
        <f>IF(getRGB1($C354)="FFFFFF",0,1)+IF(getRGB1($D354)="FFFFFF",0,2)+IF(getRGB1($E354)="FFFFFF",0,3)+IF(getRGB1($F354)="FFFFFF",0,4)</f>
        <v>4</v>
      </c>
    </row>
    <row r="355" spans="1:7" ht="30">
      <c r="A355" t="s">
        <v>6724</v>
      </c>
      <c r="B355" s="497" t="s">
        <v>5011</v>
      </c>
      <c r="C355" s="672" t="s">
        <v>5012</v>
      </c>
      <c r="D355" s="672" t="s">
        <v>1136</v>
      </c>
      <c r="E355" s="673" t="s">
        <v>1137</v>
      </c>
      <c r="F355" s="672" t="s">
        <v>1490</v>
      </c>
      <c r="G355">
        <f>IF(getRGB1($C355)="FFFFFF",0,1)+IF(getRGB1($D355)="FFFFFF",0,2)+IF(getRGB1($E355)="FFFFFF",0,3)+IF(getRGB1($F355)="FFFFFF",0,4)</f>
        <v>3</v>
      </c>
    </row>
    <row r="356" spans="1:7" ht="60">
      <c r="A356" t="s">
        <v>6724</v>
      </c>
      <c r="B356" s="497" t="s">
        <v>5013</v>
      </c>
      <c r="C356" s="672" t="s">
        <v>5014</v>
      </c>
      <c r="D356" s="672" t="s">
        <v>5015</v>
      </c>
      <c r="E356" s="672" t="s">
        <v>5016</v>
      </c>
      <c r="F356" s="673" t="s">
        <v>5017</v>
      </c>
      <c r="G356">
        <f>IF(getRGB1($C356)="FFFFFF",0,1)+IF(getRGB1($D356)="FFFFFF",0,2)+IF(getRGB1($E356)="FFFFFF",0,3)+IF(getRGB1($F356)="FFFFFF",0,4)</f>
        <v>4</v>
      </c>
    </row>
    <row r="357" spans="1:7" ht="45">
      <c r="A357" t="s">
        <v>6724</v>
      </c>
      <c r="B357" s="497" t="s">
        <v>5018</v>
      </c>
      <c r="C357" s="672">
        <v>108</v>
      </c>
      <c r="D357" s="672">
        <v>110</v>
      </c>
      <c r="E357" s="673">
        <v>178</v>
      </c>
      <c r="F357" s="672">
        <v>184</v>
      </c>
      <c r="G357">
        <f>IF(getRGB1($C357)="FFFFFF",0,1)+IF(getRGB1($D357)="FFFFFF",0,2)+IF(getRGB1($E357)="FFFFFF",0,3)+IF(getRGB1($F357)="FFFFFF",0,4)</f>
        <v>3</v>
      </c>
    </row>
    <row r="358" spans="1:7" ht="30">
      <c r="A358" t="s">
        <v>6724</v>
      </c>
      <c r="B358" s="497" t="s">
        <v>5019</v>
      </c>
      <c r="C358" s="672" t="s">
        <v>5020</v>
      </c>
      <c r="D358" s="673" t="s">
        <v>5021</v>
      </c>
      <c r="E358" s="672" t="s">
        <v>5022</v>
      </c>
      <c r="F358" s="672" t="s">
        <v>4658</v>
      </c>
      <c r="G358">
        <f>IF(getRGB1($C358)="FFFFFF",0,1)+IF(getRGB1($D358)="FFFFFF",0,2)+IF(getRGB1($E358)="FFFFFF",0,3)+IF(getRGB1($F358)="FFFFFF",0,4)</f>
        <v>2</v>
      </c>
    </row>
    <row r="359" spans="1:7" ht="135">
      <c r="A359" t="s">
        <v>6724</v>
      </c>
      <c r="B359" s="497" t="s">
        <v>5023</v>
      </c>
      <c r="C359" s="672" t="s">
        <v>5024</v>
      </c>
      <c r="D359" s="672" t="s">
        <v>5025</v>
      </c>
      <c r="E359" s="673" t="s">
        <v>5026</v>
      </c>
      <c r="F359" s="672" t="s">
        <v>4658</v>
      </c>
      <c r="G359">
        <f>IF(getRGB1($C359)="FFFFFF",0,1)+IF(getRGB1($D359)="FFFFFF",0,2)+IF(getRGB1($E359)="FFFFFF",0,3)+IF(getRGB1($F359)="FFFFFF",0,4)</f>
        <v>3</v>
      </c>
    </row>
    <row r="360" spans="1:7" ht="135">
      <c r="A360" t="s">
        <v>6724</v>
      </c>
      <c r="B360" s="497" t="s">
        <v>5027</v>
      </c>
      <c r="C360" s="672" t="s">
        <v>5028</v>
      </c>
      <c r="D360" s="672" t="s">
        <v>5029</v>
      </c>
      <c r="E360" s="673" t="s">
        <v>5026</v>
      </c>
      <c r="F360" s="672" t="s">
        <v>4658</v>
      </c>
      <c r="G360">
        <f>IF(getRGB1($C360)="FFFFFF",0,1)+IF(getRGB1($D360)="FFFFFF",0,2)+IF(getRGB1($E360)="FFFFFF",0,3)+IF(getRGB1($F360)="FFFFFF",0,4)</f>
        <v>3</v>
      </c>
    </row>
    <row r="361" spans="1:7" ht="45">
      <c r="A361" t="s">
        <v>6724</v>
      </c>
      <c r="B361" s="497" t="s">
        <v>5030</v>
      </c>
      <c r="C361" s="672" t="s">
        <v>4975</v>
      </c>
      <c r="D361" s="672" t="s">
        <v>5031</v>
      </c>
      <c r="E361" s="673" t="s">
        <v>4985</v>
      </c>
      <c r="F361" s="672" t="s">
        <v>5032</v>
      </c>
      <c r="G361">
        <f>IF(getRGB1($C361)="FFFFFF",0,1)+IF(getRGB1($D361)="FFFFFF",0,2)+IF(getRGB1($E361)="FFFFFF",0,3)+IF(getRGB1($F361)="FFFFFF",0,4)</f>
        <v>3</v>
      </c>
    </row>
    <row r="362" spans="1:7" ht="30">
      <c r="A362" t="s">
        <v>6724</v>
      </c>
      <c r="B362" s="497" t="s">
        <v>4888</v>
      </c>
      <c r="C362" s="673" t="s">
        <v>4656</v>
      </c>
      <c r="D362" s="672" t="s">
        <v>4889</v>
      </c>
      <c r="E362" s="672" t="s">
        <v>4890</v>
      </c>
      <c r="F362" s="672" t="s">
        <v>4658</v>
      </c>
      <c r="G362">
        <f>IF(getRGB1($C362)="FFFFFF",0,1)+IF(getRGB1($D362)="FFFFFF",0,2)+IF(getRGB1($E362)="FFFFFF",0,3)+IF(getRGB1($F362)="FFFFFF",0,4)</f>
        <v>1</v>
      </c>
    </row>
    <row r="363" spans="1:7" ht="30">
      <c r="A363" t="s">
        <v>6724</v>
      </c>
      <c r="B363" s="497" t="s">
        <v>5033</v>
      </c>
      <c r="C363" s="673" t="s">
        <v>5034</v>
      </c>
      <c r="D363" s="672" t="s">
        <v>5035</v>
      </c>
      <c r="E363" s="672" t="s">
        <v>5036</v>
      </c>
      <c r="F363" s="672" t="s">
        <v>5037</v>
      </c>
      <c r="G363">
        <f>IF(getRGB1($C363)="FFFFFF",0,1)+IF(getRGB1($D363)="FFFFFF",0,2)+IF(getRGB1($E363)="FFFFFF",0,3)+IF(getRGB1($F363)="FFFFFF",0,4)</f>
        <v>1</v>
      </c>
    </row>
    <row r="364" spans="1:7" ht="45">
      <c r="A364" t="s">
        <v>6724</v>
      </c>
      <c r="B364" s="497" t="s">
        <v>5038</v>
      </c>
      <c r="C364" s="672" t="s">
        <v>5039</v>
      </c>
      <c r="D364" s="673" t="s">
        <v>5040</v>
      </c>
      <c r="E364" s="672" t="s">
        <v>5041</v>
      </c>
      <c r="F364" s="672" t="s">
        <v>5042</v>
      </c>
      <c r="G364">
        <f>IF(getRGB1($C364)="FFFFFF",0,1)+IF(getRGB1($D364)="FFFFFF",0,2)+IF(getRGB1($E364)="FFFFFF",0,3)+IF(getRGB1($F364)="FFFFFF",0,4)</f>
        <v>2</v>
      </c>
    </row>
    <row r="365" spans="1:7" ht="30">
      <c r="A365" t="s">
        <v>6724</v>
      </c>
      <c r="B365" s="497" t="s">
        <v>5043</v>
      </c>
      <c r="C365" s="672" t="s">
        <v>4885</v>
      </c>
      <c r="D365" s="672" t="s">
        <v>4886</v>
      </c>
      <c r="E365" s="672" t="s">
        <v>4887</v>
      </c>
      <c r="F365" s="673" t="s">
        <v>4755</v>
      </c>
      <c r="G365">
        <f>IF(getRGB1($C365)="FFFFFF",0,1)+IF(getRGB1($D365)="FFFFFF",0,2)+IF(getRGB1($E365)="FFFFFF",0,3)+IF(getRGB1($F365)="FFFFFF",0,4)</f>
        <v>4</v>
      </c>
    </row>
    <row r="366" spans="1:7" ht="30">
      <c r="A366" t="s">
        <v>6724</v>
      </c>
      <c r="B366" s="671" t="s">
        <v>4882</v>
      </c>
      <c r="C366" s="672" t="s">
        <v>1370</v>
      </c>
      <c r="D366" s="672" t="s">
        <v>4883</v>
      </c>
      <c r="E366" s="672" t="s">
        <v>1372</v>
      </c>
      <c r="F366" s="673" t="s">
        <v>1117</v>
      </c>
      <c r="G366">
        <f>IF(getRGB1($C366)="FFFFFF",0,1)+IF(getRGB1($D366)="FFFFFF",0,2)+IF(getRGB1($E366)="FFFFFF",0,3)+IF(getRGB1($F366)="FFFFFF",0,4)</f>
        <v>4</v>
      </c>
    </row>
    <row r="367" spans="1:7" ht="45">
      <c r="A367" t="s">
        <v>6724</v>
      </c>
      <c r="B367" s="671" t="s">
        <v>5044</v>
      </c>
      <c r="C367" s="672" t="s">
        <v>5045</v>
      </c>
      <c r="D367" s="672" t="s">
        <v>2514</v>
      </c>
      <c r="E367" s="673" t="s">
        <v>5046</v>
      </c>
      <c r="F367" s="672" t="s">
        <v>1272</v>
      </c>
      <c r="G367">
        <f>IF(getRGB1($C367)="FFFFFF",0,1)+IF(getRGB1($D367)="FFFFFF",0,2)+IF(getRGB1($E367)="FFFFFF",0,3)+IF(getRGB1($F367)="FFFFFF",0,4)</f>
        <v>3</v>
      </c>
    </row>
    <row r="368" spans="1:7" ht="30">
      <c r="A368" t="s">
        <v>6724</v>
      </c>
      <c r="B368" s="497" t="s">
        <v>5047</v>
      </c>
      <c r="C368" s="673" t="s">
        <v>1272</v>
      </c>
      <c r="D368" s="672" t="s">
        <v>5048</v>
      </c>
      <c r="E368" s="672" t="s">
        <v>5049</v>
      </c>
      <c r="F368" s="498" t="s">
        <v>5050</v>
      </c>
      <c r="G368">
        <f>IF(getRGB1($C368)="FFFFFF",0,1)+IF(getRGB1($D368)="FFFFFF",0,2)+IF(getRGB1($E368)="FFFFFF",0,3)+IF(getRGB1($F368)="FFFFFF",0,4)</f>
        <v>1</v>
      </c>
    </row>
    <row r="369" spans="1:7" ht="30">
      <c r="A369" t="s">
        <v>6724</v>
      </c>
      <c r="B369" s="497" t="s">
        <v>4891</v>
      </c>
      <c r="C369" s="672" t="s">
        <v>4892</v>
      </c>
      <c r="D369" s="673" t="s">
        <v>4893</v>
      </c>
      <c r="E369" s="672" t="s">
        <v>4894</v>
      </c>
      <c r="F369" s="672" t="s">
        <v>4755</v>
      </c>
      <c r="G369">
        <f>IF(getRGB1($C369)="FFFFFF",0,1)+IF(getRGB1($D369)="FFFFFF",0,2)+IF(getRGB1($E369)="FFFFFF",0,3)+IF(getRGB1($F369)="FFFFFF",0,4)</f>
        <v>2</v>
      </c>
    </row>
    <row r="370" spans="1:7" ht="30">
      <c r="A370" t="s">
        <v>6724</v>
      </c>
      <c r="B370" s="671" t="s">
        <v>5051</v>
      </c>
      <c r="C370" s="672" t="s">
        <v>5052</v>
      </c>
      <c r="D370" s="672" t="s">
        <v>3139</v>
      </c>
      <c r="E370" s="673" t="s">
        <v>5053</v>
      </c>
      <c r="F370" s="672" t="s">
        <v>5054</v>
      </c>
      <c r="G370">
        <f>IF(getRGB1($C370)="FFFFFF",0,1)+IF(getRGB1($D370)="FFFFFF",0,2)+IF(getRGB1($E370)="FFFFFF",0,3)+IF(getRGB1($F370)="FFFFFF",0,4)</f>
        <v>3</v>
      </c>
    </row>
    <row r="371" spans="1:7" ht="30">
      <c r="A371" t="s">
        <v>6724</v>
      </c>
      <c r="B371" s="497" t="s">
        <v>4895</v>
      </c>
      <c r="C371" s="672" t="s">
        <v>4896</v>
      </c>
      <c r="D371" s="672" t="s">
        <v>4897</v>
      </c>
      <c r="E371" s="673" t="s">
        <v>4898</v>
      </c>
      <c r="F371" s="672" t="s">
        <v>4899</v>
      </c>
      <c r="G371">
        <f>IF(getRGB1($C371)="FFFFFF",0,1)+IF(getRGB1($D371)="FFFFFF",0,2)+IF(getRGB1($E371)="FFFFFF",0,3)+IF(getRGB1($F371)="FFFFFF",0,4)</f>
        <v>3</v>
      </c>
    </row>
    <row r="372" spans="1:7">
      <c r="A372" t="s">
        <v>6724</v>
      </c>
      <c r="B372" s="671" t="s">
        <v>5055</v>
      </c>
      <c r="C372" s="498" t="s">
        <v>5056</v>
      </c>
      <c r="D372" s="498" t="s">
        <v>5057</v>
      </c>
      <c r="E372" s="673" t="s">
        <v>5058</v>
      </c>
      <c r="F372" s="498" t="s">
        <v>5059</v>
      </c>
      <c r="G372">
        <f>IF(getRGB1($C372)="FFFFFF",0,1)+IF(getRGB1($D372)="FFFFFF",0,2)+IF(getRGB1($E372)="FFFFFF",0,3)+IF(getRGB1($F372)="FFFFFF",0,4)</f>
        <v>3</v>
      </c>
    </row>
    <row r="373" spans="1:7">
      <c r="A373" t="s">
        <v>6724</v>
      </c>
      <c r="B373" s="497" t="s">
        <v>5060</v>
      </c>
      <c r="C373" s="498" t="s">
        <v>174</v>
      </c>
      <c r="D373" s="498" t="s">
        <v>173</v>
      </c>
      <c r="E373" s="499" t="s">
        <v>5061</v>
      </c>
      <c r="F373" s="498" t="s">
        <v>5062</v>
      </c>
      <c r="G373">
        <f>IF(getRGB1($C373)="FFFFFF",0,1)+IF(getRGB1($D373)="FFFFFF",0,2)+IF(getRGB1($E373)="FFFFFF",0,3)+IF(getRGB1($F373)="FFFFFF",0,4)</f>
        <v>3</v>
      </c>
    </row>
    <row r="374" spans="1:7" ht="30">
      <c r="A374" t="s">
        <v>6724</v>
      </c>
      <c r="B374" s="497" t="s">
        <v>5063</v>
      </c>
      <c r="C374" s="672" t="b">
        <v>1</v>
      </c>
      <c r="D374" s="673" t="s">
        <v>5064</v>
      </c>
      <c r="E374" s="672" t="s">
        <v>4113</v>
      </c>
      <c r="F374" s="674" t="s">
        <v>4113</v>
      </c>
      <c r="G374">
        <f>IF(getRGB1($C374)="FFFFFF",0,1)+IF(getRGB1($D374)="FFFFFF",0,2)+IF(getRGB1($E374)="FFFFFF",0,3)+IF(getRGB1($F374)="FFFFFF",0,4)</f>
        <v>2</v>
      </c>
    </row>
    <row r="375" spans="1:7">
      <c r="A375" t="s">
        <v>6724</v>
      </c>
      <c r="B375" s="497" t="s">
        <v>5065</v>
      </c>
      <c r="C375" s="672" t="s">
        <v>5062</v>
      </c>
      <c r="D375" s="672" t="s">
        <v>173</v>
      </c>
      <c r="E375" s="672" t="s">
        <v>174</v>
      </c>
      <c r="F375" s="675" t="s">
        <v>74</v>
      </c>
      <c r="G375">
        <f>IF(getRGB1($C375)="FFFFFF",0,1)+IF(getRGB1($D375)="FFFFFF",0,2)+IF(getRGB1($E375)="FFFFFF",0,3)+IF(getRGB1($F375)="FFFFFF",0,4)</f>
        <v>4</v>
      </c>
    </row>
    <row r="376" spans="1:7">
      <c r="A376" t="s">
        <v>6724</v>
      </c>
      <c r="B376" s="497" t="s">
        <v>4112</v>
      </c>
      <c r="C376" s="672">
        <v>40269</v>
      </c>
      <c r="D376" s="672">
        <v>40271</v>
      </c>
      <c r="E376" s="672">
        <v>40301</v>
      </c>
      <c r="F376" s="674">
        <v>40330</v>
      </c>
      <c r="G376">
        <f>IF(getRGB1($C376)="FFFFFF",0,1)+IF(getRGB1($D376)="FFFFFF",0,2)+IF(getRGB1($E376)="FFFFFF",0,3)+IF(getRGB1($F376)="FFFFFF",0,4)</f>
        <v>0</v>
      </c>
    </row>
    <row r="377" spans="1:7" ht="45">
      <c r="A377" t="s">
        <v>6724</v>
      </c>
      <c r="B377" s="497" t="s">
        <v>3634</v>
      </c>
      <c r="C377" s="498" t="s">
        <v>3635</v>
      </c>
      <c r="D377" s="499" t="s">
        <v>3636</v>
      </c>
      <c r="E377" s="502" t="s">
        <v>3637</v>
      </c>
      <c r="F377" s="498" t="s">
        <v>4113</v>
      </c>
      <c r="G377">
        <f>IF(getRGB1($C377)="FFFFFF",0,1)+IF(getRGB1($D377)="FFFFFF",0,2)+IF(getRGB1($E377)="FFFFFF",0,3)+IF(getRGB1($F377)="FFFFFF",0,4)</f>
        <v>2</v>
      </c>
    </row>
    <row r="378" spans="1:7" ht="30">
      <c r="A378" t="s">
        <v>6724</v>
      </c>
      <c r="B378" s="502" t="s">
        <v>4114</v>
      </c>
      <c r="C378" s="502" t="s">
        <v>3679</v>
      </c>
      <c r="D378" s="503" t="s">
        <v>3680</v>
      </c>
      <c r="E378" s="502" t="s">
        <v>3681</v>
      </c>
      <c r="F378" s="502" t="s">
        <v>3682</v>
      </c>
      <c r="G378">
        <f>IF(getRGB1($C378)="FFFFFF",0,1)+IF(getRGB1($D378)="FFFFFF",0,2)+IF(getRGB1($E378)="FFFFFF",0,3)+IF(getRGB1($F378)="FFFFFF",0,4)</f>
        <v>2</v>
      </c>
    </row>
    <row r="379" spans="1:7" ht="30">
      <c r="A379" t="s">
        <v>6724</v>
      </c>
      <c r="B379" s="676" t="s">
        <v>4115</v>
      </c>
      <c r="C379" s="677" t="s">
        <v>3684</v>
      </c>
      <c r="D379" s="678" t="s">
        <v>3685</v>
      </c>
      <c r="E379" s="678" t="s">
        <v>4116</v>
      </c>
      <c r="F379" s="674" t="s">
        <v>4113</v>
      </c>
      <c r="G379">
        <f>IF(getRGB1($C379)="FFFFFF",0,1)+IF(getRGB1($D379)="FFFFFF",0,2)+IF(getRGB1($E379)="FFFFFF",0,3)+IF(getRGB1($F379)="FFFFFF",0,4)</f>
        <v>1</v>
      </c>
    </row>
    <row r="380" spans="1:7">
      <c r="A380" t="s">
        <v>6724</v>
      </c>
      <c r="B380" s="671" t="s">
        <v>4117</v>
      </c>
      <c r="C380" s="678" t="s">
        <v>4118</v>
      </c>
      <c r="D380" s="678" t="s">
        <v>4119</v>
      </c>
      <c r="E380" s="678" t="s">
        <v>4120</v>
      </c>
      <c r="F380" s="678" t="s">
        <v>4121</v>
      </c>
      <c r="G380">
        <f>IF(getRGB1($C380)="FFFFFF",0,1)+IF(getRGB1($D380)="FFFFFF",0,2)+IF(getRGB1($E380)="FFFFFF",0,3)+IF(getRGB1($F380)="FFFFFF",0,4)</f>
        <v>0</v>
      </c>
    </row>
    <row r="381" spans="1:7">
      <c r="A381" t="s">
        <v>6724</v>
      </c>
      <c r="B381" s="497" t="s">
        <v>3688</v>
      </c>
      <c r="C381" s="674" t="s">
        <v>3689</v>
      </c>
      <c r="D381" s="674" t="s">
        <v>4122</v>
      </c>
      <c r="E381" s="674" t="s">
        <v>3691</v>
      </c>
      <c r="F381" s="674" t="s">
        <v>3692</v>
      </c>
      <c r="G381">
        <f>IF(getRGB1($C381)="FFFFFF",0,1)+IF(getRGB1($D381)="FFFFFF",0,2)+IF(getRGB1($E381)="FFFFFF",0,3)+IF(getRGB1($F381)="FFFFFF",0,4)</f>
        <v>0</v>
      </c>
    </row>
    <row r="382" spans="1:7">
      <c r="A382" t="s">
        <v>6724</v>
      </c>
      <c r="B382" s="502" t="s">
        <v>4123</v>
      </c>
      <c r="C382" s="679" t="s">
        <v>3694</v>
      </c>
      <c r="D382" s="674" t="s">
        <v>3695</v>
      </c>
      <c r="E382" s="674" t="s">
        <v>6725</v>
      </c>
      <c r="F382" s="501" t="s">
        <v>3697</v>
      </c>
      <c r="G382">
        <f>IF(getRGB1($C382)="FFFFFF",0,1)+IF(getRGB1($D382)="FFFFFF",0,2)+IF(getRGB1($E382)="FFFFFF",0,3)+IF(getRGB1($F382)="FFFFFF",0,4)</f>
        <v>4</v>
      </c>
    </row>
    <row r="383" spans="1:7" ht="30">
      <c r="A383" t="s">
        <v>6724</v>
      </c>
      <c r="B383" s="676" t="s">
        <v>4125</v>
      </c>
      <c r="C383" s="502" t="s">
        <v>4126</v>
      </c>
      <c r="D383" s="503" t="s">
        <v>4127</v>
      </c>
      <c r="E383" s="502" t="s">
        <v>4128</v>
      </c>
      <c r="F383" s="674" t="s">
        <v>468</v>
      </c>
      <c r="G383">
        <f>IF(getRGB1($C383)="FFFFFF",0,1)+IF(getRGB1($D383)="FFFFFF",0,2)+IF(getRGB1($E383)="FFFFFF",0,3)+IF(getRGB1($F383)="FFFFFF",0,4)</f>
        <v>2</v>
      </c>
    </row>
    <row r="384" spans="1:7" ht="45">
      <c r="A384" t="s">
        <v>6724</v>
      </c>
      <c r="B384" s="676" t="s">
        <v>5442</v>
      </c>
      <c r="C384" s="502" t="s">
        <v>4130</v>
      </c>
      <c r="D384" s="502" t="s">
        <v>4131</v>
      </c>
      <c r="E384" s="503" t="s">
        <v>4132</v>
      </c>
      <c r="F384" s="674" t="s">
        <v>4133</v>
      </c>
      <c r="G384">
        <f>IF(getRGB1($C384)="FFFFFF",0,1)+IF(getRGB1($D384)="FFFFFF",0,2)+IF(getRGB1($E384)="FFFFFF",0,3)+IF(getRGB1($F384)="FFFFFF",0,4)</f>
        <v>3</v>
      </c>
    </row>
    <row r="385" spans="1:7" ht="75">
      <c r="A385" t="s">
        <v>6724</v>
      </c>
      <c r="B385" s="676" t="s">
        <v>4196</v>
      </c>
      <c r="C385" s="502" t="s">
        <v>5443</v>
      </c>
      <c r="D385" s="503" t="s">
        <v>4136</v>
      </c>
      <c r="E385" s="502" t="s">
        <v>4137</v>
      </c>
      <c r="F385" s="674" t="s">
        <v>4138</v>
      </c>
      <c r="G385">
        <f>IF(getRGB1($C385)="FFFFFF",0,1)+IF(getRGB1($D385)="FFFFFF",0,2)+IF(getRGB1($E385)="FFFFFF",0,3)+IF(getRGB1($F385)="FFFFFF",0,4)</f>
        <v>2</v>
      </c>
    </row>
    <row r="386" spans="1:7" ht="45">
      <c r="A386" t="s">
        <v>6724</v>
      </c>
      <c r="B386" s="676" t="s">
        <v>6726</v>
      </c>
      <c r="C386" s="502">
        <v>0.1</v>
      </c>
      <c r="D386" s="503">
        <v>0.12</v>
      </c>
      <c r="E386" s="502">
        <v>0.08</v>
      </c>
      <c r="F386" s="674">
        <v>0.15</v>
      </c>
      <c r="G386">
        <f>IF(getRGB1($C386)="FFFFFF",0,1)+IF(getRGB1($D386)="FFFFFF",0,2)+IF(getRGB1($E386)="FFFFFF",0,3)+IF(getRGB1($F386)="FFFFFF",0,4)</f>
        <v>2</v>
      </c>
    </row>
    <row r="387" spans="1:7" ht="75">
      <c r="A387" t="s">
        <v>6724</v>
      </c>
      <c r="B387" s="676" t="s">
        <v>4139</v>
      </c>
      <c r="C387" s="502" t="s">
        <v>4140</v>
      </c>
      <c r="D387" s="503" t="s">
        <v>4141</v>
      </c>
      <c r="E387" s="502" t="s">
        <v>4142</v>
      </c>
      <c r="F387" s="674" t="s">
        <v>4143</v>
      </c>
      <c r="G387">
        <f>IF(getRGB1($C387)="FFFFFF",0,1)+IF(getRGB1($D387)="FFFFFF",0,2)+IF(getRGB1($E387)="FFFFFF",0,3)+IF(getRGB1($F387)="FFFFFF",0,4)</f>
        <v>2</v>
      </c>
    </row>
    <row r="388" spans="1:7" ht="30">
      <c r="A388" t="s">
        <v>6724</v>
      </c>
      <c r="B388" s="676" t="s">
        <v>4144</v>
      </c>
      <c r="C388" s="502" t="s">
        <v>4140</v>
      </c>
      <c r="D388" s="503" t="s">
        <v>4141</v>
      </c>
      <c r="E388" s="502" t="s">
        <v>4142</v>
      </c>
      <c r="F388" s="674" t="s">
        <v>4143</v>
      </c>
      <c r="G388">
        <f>IF(getRGB1($C388)="FFFFFF",0,1)+IF(getRGB1($D388)="FFFFFF",0,2)+IF(getRGB1($E388)="FFFFFF",0,3)+IF(getRGB1($F388)="FFFFFF",0,4)</f>
        <v>2</v>
      </c>
    </row>
    <row r="389" spans="1:7" ht="45">
      <c r="A389" t="s">
        <v>6724</v>
      </c>
      <c r="B389" s="676" t="s">
        <v>4145</v>
      </c>
      <c r="C389" s="502" t="s">
        <v>4146</v>
      </c>
      <c r="D389" s="502" t="s">
        <v>4147</v>
      </c>
      <c r="E389" s="503" t="s">
        <v>4148</v>
      </c>
      <c r="F389" s="674" t="s">
        <v>4149</v>
      </c>
      <c r="G389">
        <f>IF(getRGB1($C389)="FFFFFF",0,1)+IF(getRGB1($D389)="FFFFFF",0,2)+IF(getRGB1($E389)="FFFFFF",0,3)+IF(getRGB1($F389)="FFFFFF",0,4)</f>
        <v>3</v>
      </c>
    </row>
    <row r="390" spans="1:7" ht="75">
      <c r="A390" t="s">
        <v>6724</v>
      </c>
      <c r="B390" s="676" t="s">
        <v>4150</v>
      </c>
      <c r="C390" s="502" t="s">
        <v>76</v>
      </c>
      <c r="D390" s="502" t="s">
        <v>137</v>
      </c>
      <c r="E390" s="503" t="s">
        <v>179</v>
      </c>
      <c r="F390" s="674" t="s">
        <v>3708</v>
      </c>
      <c r="G390">
        <f>IF(getRGB1($C390)="FFFFFF",0,1)+IF(getRGB1($D390)="FFFFFF",0,2)+IF(getRGB1($E390)="FFFFFF",0,3)+IF(getRGB1($F390)="FFFFFF",0,4)</f>
        <v>3</v>
      </c>
    </row>
    <row r="391" spans="1:7" ht="60">
      <c r="A391" t="s">
        <v>6724</v>
      </c>
      <c r="B391" s="676" t="s">
        <v>4151</v>
      </c>
      <c r="C391" s="502" t="s">
        <v>4152</v>
      </c>
      <c r="D391" s="503" t="s">
        <v>4153</v>
      </c>
      <c r="E391" s="502" t="s">
        <v>4154</v>
      </c>
      <c r="F391" s="674" t="s">
        <v>4155</v>
      </c>
      <c r="G391">
        <f>IF(getRGB1($C391)="FFFFFF",0,1)+IF(getRGB1($D391)="FFFFFF",0,2)+IF(getRGB1($E391)="FFFFFF",0,3)+IF(getRGB1($F391)="FFFFFF",0,4)</f>
        <v>2</v>
      </c>
    </row>
    <row r="392" spans="1:7" ht="45">
      <c r="A392" t="s">
        <v>6724</v>
      </c>
      <c r="B392" s="676" t="s">
        <v>4156</v>
      </c>
      <c r="C392" s="502" t="s">
        <v>3710</v>
      </c>
      <c r="D392" s="503" t="s">
        <v>8</v>
      </c>
      <c r="E392" s="502" t="s">
        <v>1599</v>
      </c>
      <c r="F392" s="674" t="s">
        <v>1289</v>
      </c>
      <c r="G392">
        <f>IF(getRGB1($C392)="FFFFFF",0,1)+IF(getRGB1($D392)="FFFFFF",0,2)+IF(getRGB1($E392)="FFFFFF",0,3)+IF(getRGB1($F392)="FFFFFF",0,4)</f>
        <v>2</v>
      </c>
    </row>
    <row r="393" spans="1:7" ht="75">
      <c r="A393" t="s">
        <v>6724</v>
      </c>
      <c r="B393" s="676" t="s">
        <v>4157</v>
      </c>
      <c r="C393" s="502" t="s">
        <v>3712</v>
      </c>
      <c r="D393" s="503" t="s">
        <v>3713</v>
      </c>
      <c r="E393" s="502" t="s">
        <v>3714</v>
      </c>
      <c r="F393" s="674" t="s">
        <v>3715</v>
      </c>
      <c r="G393">
        <f>IF(getRGB1($C393)="FFFFFF",0,1)+IF(getRGB1($D393)="FFFFFF",0,2)+IF(getRGB1($E393)="FFFFFF",0,3)+IF(getRGB1($F393)="FFFFFF",0,4)</f>
        <v>2</v>
      </c>
    </row>
    <row r="394" spans="1:7" ht="45">
      <c r="A394" t="s">
        <v>6724</v>
      </c>
      <c r="B394" s="676" t="s">
        <v>4158</v>
      </c>
      <c r="C394" s="503" t="s">
        <v>4159</v>
      </c>
      <c r="D394" s="502" t="s">
        <v>4160</v>
      </c>
      <c r="E394" s="502" t="s">
        <v>4161</v>
      </c>
      <c r="F394" s="674" t="s">
        <v>4162</v>
      </c>
      <c r="G394">
        <f>IF(getRGB1($C394)="FFFFFF",0,1)+IF(getRGB1($D394)="FFFFFF",0,2)+IF(getRGB1($E394)="FFFFFF",0,3)+IF(getRGB1($F394)="FFFFFF",0,4)</f>
        <v>1</v>
      </c>
    </row>
    <row r="395" spans="1:7" ht="60">
      <c r="A395" t="s">
        <v>6724</v>
      </c>
      <c r="B395" s="676" t="s">
        <v>4163</v>
      </c>
      <c r="C395" s="502" t="s">
        <v>4164</v>
      </c>
      <c r="D395" s="502" t="s">
        <v>6727</v>
      </c>
      <c r="E395" s="502" t="s">
        <v>6728</v>
      </c>
      <c r="F395" s="675" t="s">
        <v>4167</v>
      </c>
      <c r="G395">
        <f>IF(getRGB1($C395)="FFFFFF",0,1)+IF(getRGB1($D395)="FFFFFF",0,2)+IF(getRGB1($E395)="FFFFFF",0,3)+IF(getRGB1($F395)="FFFFFF",0,4)</f>
        <v>4</v>
      </c>
    </row>
    <row r="396" spans="1:7" ht="45">
      <c r="A396" t="s">
        <v>6724</v>
      </c>
      <c r="B396" s="676" t="s">
        <v>4168</v>
      </c>
      <c r="C396" s="503" t="s">
        <v>4169</v>
      </c>
      <c r="D396" s="502" t="s">
        <v>4170</v>
      </c>
      <c r="E396" s="502" t="s">
        <v>4171</v>
      </c>
      <c r="F396" s="674" t="s">
        <v>6729</v>
      </c>
      <c r="G396">
        <f>IF(getRGB1($C396)="FFFFFF",0,1)+IF(getRGB1($D396)="FFFFFF",0,2)+IF(getRGB1($E396)="FFFFFF",0,3)+IF(getRGB1($F396)="FFFFFF",0,4)</f>
        <v>1</v>
      </c>
    </row>
    <row r="397" spans="1:7" ht="90">
      <c r="A397" t="s">
        <v>6724</v>
      </c>
      <c r="B397" s="676" t="s">
        <v>4173</v>
      </c>
      <c r="C397" s="502" t="s">
        <v>4174</v>
      </c>
      <c r="D397" s="502" t="s">
        <v>4175</v>
      </c>
      <c r="E397" s="502" t="s">
        <v>4176</v>
      </c>
      <c r="F397" s="680" t="s">
        <v>4177</v>
      </c>
      <c r="G397">
        <f>IF(getRGB1($C397)="FFFFFF",0,1)+IF(getRGB1($D397)="FFFFFF",0,2)+IF(getRGB1($E397)="FFFFFF",0,3)+IF(getRGB1($F397)="FFFFFF",0,4)</f>
        <v>4</v>
      </c>
    </row>
    <row r="398" spans="1:7" ht="105">
      <c r="A398" t="s">
        <v>6724</v>
      </c>
      <c r="B398" s="676" t="s">
        <v>4178</v>
      </c>
      <c r="C398" s="502" t="s">
        <v>4179</v>
      </c>
      <c r="D398" s="503" t="s">
        <v>4180</v>
      </c>
      <c r="E398" s="502" t="s">
        <v>4181</v>
      </c>
      <c r="F398" s="674" t="s">
        <v>4182</v>
      </c>
      <c r="G398">
        <f>IF(getRGB1($C398)="FFFFFF",0,1)+IF(getRGB1($D398)="FFFFFF",0,2)+IF(getRGB1($E398)="FFFFFF",0,3)+IF(getRGB1($F398)="FFFFFF",0,4)</f>
        <v>2</v>
      </c>
    </row>
    <row r="399" spans="1:7" ht="30">
      <c r="A399" t="s">
        <v>6724</v>
      </c>
      <c r="B399" s="676" t="s">
        <v>6730</v>
      </c>
      <c r="C399" s="502" t="s">
        <v>6731</v>
      </c>
      <c r="D399" s="503" t="s">
        <v>6732</v>
      </c>
      <c r="E399" s="502" t="s">
        <v>6733</v>
      </c>
      <c r="F399" s="674" t="s">
        <v>6734</v>
      </c>
      <c r="G399">
        <f>IF(getRGB1($C399)="FFFFFF",0,1)+IF(getRGB1($D399)="FFFFFF",0,2)+IF(getRGB1($E399)="FFFFFF",0,3)+IF(getRGB1($F399)="FFFFFF",0,4)</f>
        <v>2</v>
      </c>
    </row>
    <row r="400" spans="1:7" ht="30">
      <c r="A400" t="s">
        <v>6724</v>
      </c>
      <c r="B400" s="676" t="s">
        <v>6735</v>
      </c>
      <c r="C400" s="502" t="s">
        <v>6736</v>
      </c>
      <c r="D400" s="502" t="s">
        <v>6737</v>
      </c>
      <c r="E400" s="503" t="s">
        <v>6738</v>
      </c>
      <c r="F400" s="674" t="s">
        <v>6739</v>
      </c>
      <c r="G400">
        <f>IF(getRGB1($C400)="FFFFFF",0,1)+IF(getRGB1($D400)="FFFFFF",0,2)+IF(getRGB1($E400)="FFFFFF",0,3)+IF(getRGB1($F400)="FFFFFF",0,4)</f>
        <v>3</v>
      </c>
    </row>
    <row r="401" spans="1:7" ht="30">
      <c r="A401" t="s">
        <v>6724</v>
      </c>
      <c r="B401" s="676" t="s">
        <v>6740</v>
      </c>
      <c r="C401" s="502" t="s">
        <v>6741</v>
      </c>
      <c r="D401" s="502" t="s">
        <v>6742</v>
      </c>
      <c r="E401" s="503" t="s">
        <v>6743</v>
      </c>
      <c r="F401" s="674" t="s">
        <v>6744</v>
      </c>
      <c r="G401">
        <f>IF(getRGB1($C401)="FFFFFF",0,1)+IF(getRGB1($D401)="FFFFFF",0,2)+IF(getRGB1($E401)="FFFFFF",0,3)+IF(getRGB1($F401)="FFFFFF",0,4)</f>
        <v>3</v>
      </c>
    </row>
    <row r="402" spans="1:7" ht="30">
      <c r="A402" t="s">
        <v>6724</v>
      </c>
      <c r="B402" s="676" t="s">
        <v>6745</v>
      </c>
      <c r="C402" s="502" t="s">
        <v>6746</v>
      </c>
      <c r="D402" s="502" t="s">
        <v>6747</v>
      </c>
      <c r="E402" s="503" t="s">
        <v>6748</v>
      </c>
      <c r="F402" s="674" t="s">
        <v>6749</v>
      </c>
      <c r="G402">
        <f>IF(getRGB1($C402)="FFFFFF",0,1)+IF(getRGB1($D402)="FFFFFF",0,2)+IF(getRGB1($E402)="FFFFFF",0,3)+IF(getRGB1($F402)="FFFFFF",0,4)</f>
        <v>3</v>
      </c>
    </row>
    <row r="403" spans="1:7" ht="45">
      <c r="A403" t="s">
        <v>6724</v>
      </c>
      <c r="B403" s="676" t="s">
        <v>6750</v>
      </c>
      <c r="C403" s="502" t="s">
        <v>6751</v>
      </c>
      <c r="D403" s="502" t="s">
        <v>6752</v>
      </c>
      <c r="E403" s="503" t="s">
        <v>6753</v>
      </c>
      <c r="F403" s="674" t="s">
        <v>6754</v>
      </c>
      <c r="G403">
        <f>IF(getRGB1($C403)="FFFFFF",0,1)+IF(getRGB1($D403)="FFFFFF",0,2)+IF(getRGB1($E403)="FFFFFF",0,3)+IF(getRGB1($F403)="FFFFFF",0,4)</f>
        <v>3</v>
      </c>
    </row>
    <row r="404" spans="1:7" ht="30">
      <c r="A404" t="s">
        <v>6724</v>
      </c>
      <c r="B404" s="676" t="s">
        <v>6755</v>
      </c>
      <c r="C404" s="502" t="s">
        <v>6756</v>
      </c>
      <c r="D404" s="502" t="s">
        <v>6757</v>
      </c>
      <c r="E404" s="502" t="s">
        <v>6758</v>
      </c>
      <c r="F404" s="681" t="s">
        <v>6759</v>
      </c>
      <c r="G404">
        <f>IF(getRGB1($C404)="FFFFFF",0,1)+IF(getRGB1($D404)="FFFFFF",0,2)+IF(getRGB1($E404)="FFFFFF",0,3)+IF(getRGB1($F404)="FFFFFF",0,4)</f>
        <v>4</v>
      </c>
    </row>
    <row r="405" spans="1:7" ht="45">
      <c r="A405" t="s">
        <v>6724</v>
      </c>
      <c r="B405" s="676" t="s">
        <v>6760</v>
      </c>
      <c r="C405" s="502" t="s">
        <v>6761</v>
      </c>
      <c r="D405" s="503" t="s">
        <v>6762</v>
      </c>
      <c r="E405" s="502" t="s">
        <v>6763</v>
      </c>
      <c r="F405" s="674" t="s">
        <v>6764</v>
      </c>
      <c r="G405">
        <f>IF(getRGB1($C405)="FFFFFF",0,1)+IF(getRGB1($D405)="FFFFFF",0,2)+IF(getRGB1($E405)="FFFFFF",0,3)+IF(getRGB1($F405)="FFFFFF",0,4)</f>
        <v>2</v>
      </c>
    </row>
    <row r="406" spans="1:7" ht="45">
      <c r="A406" t="s">
        <v>6724</v>
      </c>
      <c r="B406" s="676" t="s">
        <v>6765</v>
      </c>
      <c r="C406" s="502" t="s">
        <v>6766</v>
      </c>
      <c r="D406" s="502" t="s">
        <v>6767</v>
      </c>
      <c r="E406" s="503" t="s">
        <v>6768</v>
      </c>
      <c r="F406" s="674" t="s">
        <v>6764</v>
      </c>
      <c r="G406">
        <f>IF(getRGB1($C406)="FFFFFF",0,1)+IF(getRGB1($D406)="FFFFFF",0,2)+IF(getRGB1($E406)="FFFFFF",0,3)+IF(getRGB1($F406)="FFFFFF",0,4)</f>
        <v>3</v>
      </c>
    </row>
    <row r="407" spans="1:7" ht="45">
      <c r="A407" t="s">
        <v>6724</v>
      </c>
      <c r="B407" s="676" t="s">
        <v>6769</v>
      </c>
      <c r="C407" s="503" t="s">
        <v>6770</v>
      </c>
      <c r="D407" s="502" t="s">
        <v>6771</v>
      </c>
      <c r="E407" s="502" t="s">
        <v>6772</v>
      </c>
      <c r="F407" s="674" t="s">
        <v>6764</v>
      </c>
      <c r="G407">
        <f>IF(getRGB1($C407)="FFFFFF",0,1)+IF(getRGB1($D407)="FFFFFF",0,2)+IF(getRGB1($E407)="FFFFFF",0,3)+IF(getRGB1($F407)="FFFFFF",0,4)</f>
        <v>1</v>
      </c>
    </row>
    <row r="408" spans="1:7" ht="45">
      <c r="A408" t="s">
        <v>6724</v>
      </c>
      <c r="B408" s="676" t="s">
        <v>4183</v>
      </c>
      <c r="C408" s="503" t="s">
        <v>6773</v>
      </c>
      <c r="D408" s="502" t="s">
        <v>4185</v>
      </c>
      <c r="E408" s="502" t="s">
        <v>4186</v>
      </c>
      <c r="F408" s="674" t="s">
        <v>4187</v>
      </c>
      <c r="G408">
        <f>IF(getRGB1($C408)="FFFFFF",0,1)+IF(getRGB1($D408)="FFFFFF",0,2)+IF(getRGB1($E408)="FFFFFF",0,3)+IF(getRGB1($F408)="FFFFFF",0,4)</f>
        <v>1</v>
      </c>
    </row>
    <row r="409" spans="1:7" ht="60">
      <c r="A409" t="s">
        <v>6724</v>
      </c>
      <c r="B409" s="676" t="s">
        <v>6774</v>
      </c>
      <c r="C409" s="502" t="s">
        <v>6775</v>
      </c>
      <c r="D409" s="503" t="s">
        <v>6776</v>
      </c>
      <c r="E409" s="502" t="s">
        <v>6777</v>
      </c>
      <c r="F409" s="674" t="s">
        <v>6764</v>
      </c>
      <c r="G409">
        <f>IF(getRGB1($C409)="FFFFFF",0,1)+IF(getRGB1($D409)="FFFFFF",0,2)+IF(getRGB1($E409)="FFFFFF",0,3)+IF(getRGB1($F409)="FFFFFF",0,4)</f>
        <v>2</v>
      </c>
    </row>
    <row r="410" spans="1:7" ht="45">
      <c r="A410" t="s">
        <v>6724</v>
      </c>
      <c r="B410" s="676" t="s">
        <v>6778</v>
      </c>
      <c r="C410" s="502" t="s">
        <v>6779</v>
      </c>
      <c r="D410" s="502" t="s">
        <v>6780</v>
      </c>
      <c r="E410" s="503" t="s">
        <v>6781</v>
      </c>
      <c r="F410" s="682" t="s">
        <v>6782</v>
      </c>
      <c r="G410">
        <f>IF(getRGB1($C410)="FFFFFF",0,1)+IF(getRGB1($D410)="FFFFFF",0,2)+IF(getRGB1($E410)="FFFFFF",0,3)+IF(getRGB1($F410)="FFFFFF",0,4)</f>
        <v>3</v>
      </c>
    </row>
    <row r="411" spans="1:7" ht="30">
      <c r="A411" t="s">
        <v>6724</v>
      </c>
      <c r="B411" s="676" t="s">
        <v>6783</v>
      </c>
      <c r="C411" s="502" t="s">
        <v>6784</v>
      </c>
      <c r="D411" s="503" t="s">
        <v>6785</v>
      </c>
      <c r="E411" s="502" t="s">
        <v>6786</v>
      </c>
      <c r="F411" s="674" t="s">
        <v>6787</v>
      </c>
      <c r="G411">
        <f>IF(getRGB1($C411)="FFFFFF",0,1)+IF(getRGB1($D411)="FFFFFF",0,2)+IF(getRGB1($E411)="FFFFFF",0,3)+IF(getRGB1($F411)="FFFFFF",0,4)</f>
        <v>2</v>
      </c>
    </row>
    <row r="412" spans="1:7" ht="60">
      <c r="A412" t="s">
        <v>2990</v>
      </c>
      <c r="B412" s="336" t="s">
        <v>6788</v>
      </c>
      <c r="C412" s="337" t="s">
        <v>5433</v>
      </c>
      <c r="D412" s="481" t="s">
        <v>6789</v>
      </c>
      <c r="E412" s="337" t="s">
        <v>6790</v>
      </c>
      <c r="F412" s="337" t="s">
        <v>6791</v>
      </c>
      <c r="G412">
        <f>IF(getRGB1($C412)="FFFFFF",0,1)+IF(getRGB1($D412)="FFFFFF",0,2)+IF(getRGB1($E412)="FFFFFF",0,3)+IF(getRGB1($F412)="FFFFFF",0,4)</f>
        <v>2</v>
      </c>
    </row>
    <row r="413" spans="1:7" ht="30">
      <c r="A413" t="s">
        <v>2990</v>
      </c>
      <c r="B413" s="336" t="s">
        <v>6792</v>
      </c>
      <c r="C413" s="337" t="s">
        <v>5433</v>
      </c>
      <c r="D413" s="481" t="s">
        <v>73</v>
      </c>
      <c r="E413" s="337" t="s">
        <v>177</v>
      </c>
      <c r="F413" s="337" t="s">
        <v>6793</v>
      </c>
      <c r="G413">
        <f>IF(getRGB1($C413)="FFFFFF",0,1)+IF(getRGB1($D413)="FFFFFF",0,2)+IF(getRGB1($E413)="FFFFFF",0,3)+IF(getRGB1($F413)="FFFFFF",0,4)</f>
        <v>2</v>
      </c>
    </row>
    <row r="414" spans="1:7" ht="45">
      <c r="A414" t="s">
        <v>2990</v>
      </c>
      <c r="B414" s="336" t="s">
        <v>6794</v>
      </c>
      <c r="C414" s="337" t="s">
        <v>5433</v>
      </c>
      <c r="D414" s="337" t="s">
        <v>73</v>
      </c>
      <c r="E414" s="481" t="s">
        <v>177</v>
      </c>
      <c r="F414" s="337" t="s">
        <v>6793</v>
      </c>
      <c r="G414">
        <f>IF(getRGB1($C414)="FFFFFF",0,1)+IF(getRGB1($D414)="FFFFFF",0,2)+IF(getRGB1($E414)="FFFFFF",0,3)+IF(getRGB1($F414)="FFFFFF",0,4)</f>
        <v>3</v>
      </c>
    </row>
    <row r="415" spans="1:7">
      <c r="A415" t="s">
        <v>2990</v>
      </c>
      <c r="B415" s="336" t="s">
        <v>6795</v>
      </c>
      <c r="C415" s="337" t="s">
        <v>73</v>
      </c>
      <c r="D415" s="337" t="s">
        <v>177</v>
      </c>
      <c r="E415" s="481" t="s">
        <v>5580</v>
      </c>
      <c r="F415" s="337" t="s">
        <v>5409</v>
      </c>
      <c r="G415">
        <f>IF(getRGB1($C415)="FFFFFF",0,1)+IF(getRGB1($D415)="FFFFFF",0,2)+IF(getRGB1($E415)="FFFFFF",0,3)+IF(getRGB1($F415)="FFFFFF",0,4)</f>
        <v>3</v>
      </c>
    </row>
    <row r="416" spans="1:7">
      <c r="A416" t="s">
        <v>2990</v>
      </c>
      <c r="B416" s="336" t="s">
        <v>6796</v>
      </c>
      <c r="C416" s="337" t="s">
        <v>6797</v>
      </c>
      <c r="D416" s="481" t="s">
        <v>6798</v>
      </c>
      <c r="E416" s="337" t="s">
        <v>6799</v>
      </c>
      <c r="F416" s="337" t="s">
        <v>6800</v>
      </c>
      <c r="G416">
        <f>IF(getRGB1($C416)="FFFFFF",0,1)+IF(getRGB1($D416)="FFFFFF",0,2)+IF(getRGB1($E416)="FFFFFF",0,3)+IF(getRGB1($F416)="FFFFFF",0,4)</f>
        <v>2</v>
      </c>
    </row>
    <row r="417" spans="1:7" ht="30">
      <c r="A417" t="s">
        <v>2990</v>
      </c>
      <c r="B417" s="336" t="s">
        <v>6801</v>
      </c>
      <c r="C417" s="337" t="s">
        <v>6802</v>
      </c>
      <c r="D417" s="481" t="s">
        <v>6803</v>
      </c>
      <c r="E417" s="337" t="s">
        <v>6804</v>
      </c>
      <c r="F417" s="337" t="s">
        <v>6800</v>
      </c>
      <c r="G417">
        <f>IF(getRGB1($C417)="FFFFFF",0,1)+IF(getRGB1($D417)="FFFFFF",0,2)+IF(getRGB1($E417)="FFFFFF",0,3)+IF(getRGB1($F417)="FFFFFF",0,4)</f>
        <v>2</v>
      </c>
    </row>
    <row r="418" spans="1:7" ht="30">
      <c r="A418" t="s">
        <v>2990</v>
      </c>
      <c r="B418" s="336" t="s">
        <v>6805</v>
      </c>
      <c r="C418" s="337" t="b">
        <v>1</v>
      </c>
      <c r="D418" s="481" t="b">
        <v>0</v>
      </c>
      <c r="E418" s="337" t="s">
        <v>6806</v>
      </c>
      <c r="F418" s="337" t="s">
        <v>6807</v>
      </c>
      <c r="G418">
        <f>IF(getRGB1($C418)="FFFFFF",0,1)+IF(getRGB1($D418)="FFFFFF",0,2)+IF(getRGB1($E418)="FFFFFF",0,3)+IF(getRGB1($F418)="FFFFFF",0,4)</f>
        <v>2</v>
      </c>
    </row>
    <row r="419" spans="1:7" ht="31.5">
      <c r="A419" t="s">
        <v>2990</v>
      </c>
      <c r="B419" s="504" t="s">
        <v>6808</v>
      </c>
      <c r="C419" s="505" t="s">
        <v>2838</v>
      </c>
      <c r="D419" s="504" t="s">
        <v>6809</v>
      </c>
      <c r="E419" s="504" t="s">
        <v>6810</v>
      </c>
      <c r="F419" s="336"/>
      <c r="G419">
        <f>IF(getRGB1($C419)="FFFFFF",0,1)+IF(getRGB1($D419)="FFFFFF",0,2)+IF(getRGB1($E419)="FFFFFF",0,3)+IF(getRGB1($F419)="FFFFFF",0,4)</f>
        <v>1</v>
      </c>
    </row>
    <row r="420" spans="1:7" ht="15.75">
      <c r="A420" t="s">
        <v>2990</v>
      </c>
      <c r="B420" s="504" t="s">
        <v>2841</v>
      </c>
      <c r="C420" s="504" t="s">
        <v>2842</v>
      </c>
      <c r="D420" s="505" t="s">
        <v>2843</v>
      </c>
      <c r="E420" s="504" t="s">
        <v>2844</v>
      </c>
      <c r="F420" s="336"/>
      <c r="G420">
        <f>IF(getRGB1($C420)="FFFFFF",0,1)+IF(getRGB1($D420)="FFFFFF",0,2)+IF(getRGB1($E420)="FFFFFF",0,3)+IF(getRGB1($F420)="FFFFFF",0,4)</f>
        <v>2</v>
      </c>
    </row>
    <row r="421" spans="1:7" ht="31.5">
      <c r="A421" t="s">
        <v>2990</v>
      </c>
      <c r="B421" s="504" t="s">
        <v>6811</v>
      </c>
      <c r="C421" s="504" t="s">
        <v>2847</v>
      </c>
      <c r="D421" s="505" t="s">
        <v>2848</v>
      </c>
      <c r="E421" s="504" t="s">
        <v>2849</v>
      </c>
      <c r="F421" s="336"/>
      <c r="G421">
        <f>IF(getRGB1($C421)="FFFFFF",0,1)+IF(getRGB1($D421)="FFFFFF",0,2)+IF(getRGB1($E421)="FFFFFF",0,3)+IF(getRGB1($F421)="FFFFFF",0,4)</f>
        <v>2</v>
      </c>
    </row>
    <row r="422" spans="1:7" ht="31.5">
      <c r="A422" t="s">
        <v>2990</v>
      </c>
      <c r="B422" s="504" t="s">
        <v>6812</v>
      </c>
      <c r="C422" s="504" t="s">
        <v>2852</v>
      </c>
      <c r="D422" s="504" t="s">
        <v>2853</v>
      </c>
      <c r="E422" s="505" t="s">
        <v>2854</v>
      </c>
      <c r="F422" s="336"/>
      <c r="G422">
        <f>IF(getRGB1($C422)="FFFFFF",0,1)+IF(getRGB1($D422)="FFFFFF",0,2)+IF(getRGB1($E422)="FFFFFF",0,3)+IF(getRGB1($F422)="FFFFFF",0,4)</f>
        <v>3</v>
      </c>
    </row>
    <row r="423" spans="1:7" ht="15.75">
      <c r="A423" t="s">
        <v>2990</v>
      </c>
      <c r="B423" s="504" t="s">
        <v>6813</v>
      </c>
      <c r="C423" s="505" t="s">
        <v>2856</v>
      </c>
      <c r="D423" s="504" t="s">
        <v>2857</v>
      </c>
      <c r="E423" s="504" t="s">
        <v>2858</v>
      </c>
      <c r="F423" s="336"/>
      <c r="G423">
        <f>IF(getRGB1($C423)="FFFFFF",0,1)+IF(getRGB1($D423)="FFFFFF",0,2)+IF(getRGB1($E423)="FFFFFF",0,3)+IF(getRGB1($F423)="FFFFFF",0,4)</f>
        <v>1</v>
      </c>
    </row>
    <row r="424" spans="1:7" ht="31.5">
      <c r="A424" t="s">
        <v>2990</v>
      </c>
      <c r="B424" s="504" t="s">
        <v>6814</v>
      </c>
      <c r="C424" s="504" t="s">
        <v>2861</v>
      </c>
      <c r="D424" s="504" t="s">
        <v>2862</v>
      </c>
      <c r="E424" s="505" t="s">
        <v>6815</v>
      </c>
      <c r="F424" s="336"/>
      <c r="G424">
        <f>IF(getRGB1($C424)="FFFFFF",0,1)+IF(getRGB1($D424)="FFFFFF",0,2)+IF(getRGB1($E424)="FFFFFF",0,3)+IF(getRGB1($F424)="FFFFFF",0,4)</f>
        <v>3</v>
      </c>
    </row>
    <row r="425" spans="1:7" ht="47.25">
      <c r="A425" t="s">
        <v>2990</v>
      </c>
      <c r="B425" s="504" t="s">
        <v>6816</v>
      </c>
      <c r="C425" s="504" t="s">
        <v>2866</v>
      </c>
      <c r="D425" s="505" t="s">
        <v>2867</v>
      </c>
      <c r="E425" s="504" t="s">
        <v>2868</v>
      </c>
      <c r="F425" s="336"/>
      <c r="G425">
        <f>IF(getRGB1($C425)="FFFFFF",0,1)+IF(getRGB1($D425)="FFFFFF",0,2)+IF(getRGB1($E425)="FFFFFF",0,3)+IF(getRGB1($F425)="FFFFFF",0,4)</f>
        <v>2</v>
      </c>
    </row>
    <row r="426" spans="1:7" ht="31.5">
      <c r="A426" t="s">
        <v>2990</v>
      </c>
      <c r="B426" s="504" t="s">
        <v>6817</v>
      </c>
      <c r="C426" s="504" t="s">
        <v>2871</v>
      </c>
      <c r="D426" s="504" t="s">
        <v>2872</v>
      </c>
      <c r="E426" s="505" t="s">
        <v>6818</v>
      </c>
      <c r="F426" s="336"/>
      <c r="G426">
        <f>IF(getRGB1($C426)="FFFFFF",0,1)+IF(getRGB1($D426)="FFFFFF",0,2)+IF(getRGB1($E426)="FFFFFF",0,3)+IF(getRGB1($F426)="FFFFFF",0,4)</f>
        <v>3</v>
      </c>
    </row>
    <row r="427" spans="1:7" ht="31.5">
      <c r="A427" t="s">
        <v>2990</v>
      </c>
      <c r="B427" s="504" t="s">
        <v>6819</v>
      </c>
      <c r="C427" s="505" t="s">
        <v>2875</v>
      </c>
      <c r="D427" s="504" t="s">
        <v>2876</v>
      </c>
      <c r="E427" s="504" t="s">
        <v>2877</v>
      </c>
      <c r="F427" s="336"/>
      <c r="G427">
        <f>IF(getRGB1($C427)="FFFFFF",0,1)+IF(getRGB1($D427)="FFFFFF",0,2)+IF(getRGB1($E427)="FFFFFF",0,3)+IF(getRGB1($F427)="FFFFFF",0,4)</f>
        <v>1</v>
      </c>
    </row>
    <row r="428" spans="1:7" ht="31.5">
      <c r="A428" t="s">
        <v>2990</v>
      </c>
      <c r="B428" s="504" t="s">
        <v>2879</v>
      </c>
      <c r="C428" s="504" t="s">
        <v>179</v>
      </c>
      <c r="D428" s="504" t="s">
        <v>2880</v>
      </c>
      <c r="E428" s="505" t="s">
        <v>73</v>
      </c>
      <c r="F428" s="336"/>
      <c r="G428">
        <f>IF(getRGB1($C428)="FFFFFF",0,1)+IF(getRGB1($D428)="FFFFFF",0,2)+IF(getRGB1($E428)="FFFFFF",0,3)+IF(getRGB1($F428)="FFFFFF",0,4)</f>
        <v>3</v>
      </c>
    </row>
    <row r="429" spans="1:7" ht="15.75">
      <c r="A429" t="s">
        <v>2990</v>
      </c>
      <c r="B429" s="504" t="s">
        <v>6820</v>
      </c>
      <c r="C429" s="505" t="s">
        <v>570</v>
      </c>
      <c r="D429" s="504" t="s">
        <v>2882</v>
      </c>
      <c r="E429" s="504" t="s">
        <v>6821</v>
      </c>
      <c r="F429" s="336"/>
      <c r="G429">
        <f>IF(getRGB1($C429)="FFFFFF",0,1)+IF(getRGB1($D429)="FFFFFF",0,2)+IF(getRGB1($E429)="FFFFFF",0,3)+IF(getRGB1($F429)="FFFFFF",0,4)</f>
        <v>1</v>
      </c>
    </row>
    <row r="430" spans="1:7" ht="31.5">
      <c r="A430" t="s">
        <v>2990</v>
      </c>
      <c r="B430" s="504" t="s">
        <v>6822</v>
      </c>
      <c r="C430" s="504" t="s">
        <v>2884</v>
      </c>
      <c r="D430" s="504" t="s">
        <v>2885</v>
      </c>
      <c r="E430" s="505" t="s">
        <v>2886</v>
      </c>
      <c r="F430" s="336"/>
      <c r="G430">
        <f>IF(getRGB1($C430)="FFFFFF",0,1)+IF(getRGB1($D430)="FFFFFF",0,2)+IF(getRGB1($E430)="FFFFFF",0,3)+IF(getRGB1($F430)="FFFFFF",0,4)</f>
        <v>3</v>
      </c>
    </row>
    <row r="431" spans="1:7" ht="31.5">
      <c r="A431" t="s">
        <v>2990</v>
      </c>
      <c r="B431" s="504" t="s">
        <v>6823</v>
      </c>
      <c r="C431" s="504" t="s">
        <v>2889</v>
      </c>
      <c r="D431" s="504" t="s">
        <v>2890</v>
      </c>
      <c r="E431" s="505" t="s">
        <v>2891</v>
      </c>
      <c r="F431" s="336"/>
      <c r="G431">
        <f>IF(getRGB1($C431)="FFFFFF",0,1)+IF(getRGB1($D431)="FFFFFF",0,2)+IF(getRGB1($E431)="FFFFFF",0,3)+IF(getRGB1($F431)="FFFFFF",0,4)</f>
        <v>3</v>
      </c>
    </row>
    <row r="432" spans="1:7" ht="15.75">
      <c r="A432" t="s">
        <v>2990</v>
      </c>
      <c r="B432" s="504" t="s">
        <v>6824</v>
      </c>
      <c r="C432" s="504" t="s">
        <v>2894</v>
      </c>
      <c r="D432" s="505" t="s">
        <v>2842</v>
      </c>
      <c r="E432" s="504" t="s">
        <v>2844</v>
      </c>
      <c r="F432" s="336"/>
      <c r="G432">
        <f>IF(getRGB1($C432)="FFFFFF",0,1)+IF(getRGB1($D432)="FFFFFF",0,2)+IF(getRGB1($E432)="FFFFFF",0,3)+IF(getRGB1($F432)="FFFFFF",0,4)</f>
        <v>2</v>
      </c>
    </row>
    <row r="433" spans="1:7" ht="31.5">
      <c r="A433" t="s">
        <v>2990</v>
      </c>
      <c r="B433" s="504" t="s">
        <v>6825</v>
      </c>
      <c r="C433" s="505" t="s">
        <v>2898</v>
      </c>
      <c r="D433" s="504" t="s">
        <v>2899</v>
      </c>
      <c r="E433" s="504" t="s">
        <v>2900</v>
      </c>
      <c r="F433" s="336"/>
      <c r="G433">
        <f>IF(getRGB1($C433)="FFFFFF",0,1)+IF(getRGB1($D433)="FFFFFF",0,2)+IF(getRGB1($E433)="FFFFFF",0,3)+IF(getRGB1($F433)="FFFFFF",0,4)</f>
        <v>1</v>
      </c>
    </row>
    <row r="434" spans="1:7" ht="31.5">
      <c r="A434" t="s">
        <v>2990</v>
      </c>
      <c r="B434" s="504" t="s">
        <v>2902</v>
      </c>
      <c r="C434" s="505" t="s">
        <v>2903</v>
      </c>
      <c r="D434" s="504" t="s">
        <v>2904</v>
      </c>
      <c r="E434" s="504" t="s">
        <v>2905</v>
      </c>
      <c r="F434" s="336"/>
      <c r="G434">
        <f>IF(getRGB1($C434)="FFFFFF",0,1)+IF(getRGB1($D434)="FFFFFF",0,2)+IF(getRGB1($E434)="FFFFFF",0,3)+IF(getRGB1($F434)="FFFFFF",0,4)</f>
        <v>1</v>
      </c>
    </row>
    <row r="435" spans="1:7" ht="47.25">
      <c r="A435" t="s">
        <v>2990</v>
      </c>
      <c r="B435" s="504" t="s">
        <v>6826</v>
      </c>
      <c r="C435" s="505" t="s">
        <v>2908</v>
      </c>
      <c r="D435" s="504" t="s">
        <v>2909</v>
      </c>
      <c r="E435" s="504" t="s">
        <v>2910</v>
      </c>
      <c r="F435" s="336" t="s">
        <v>6827</v>
      </c>
      <c r="G435">
        <f>IF(getRGB1($C435)="FFFFFF",0,1)+IF(getRGB1($D435)="FFFFFF",0,2)+IF(getRGB1($E435)="FFFFFF",0,3)+IF(getRGB1($F435)="FFFFFF",0,4)</f>
        <v>1</v>
      </c>
    </row>
    <row r="436" spans="1:7" ht="63">
      <c r="A436" t="s">
        <v>2990</v>
      </c>
      <c r="B436" s="504" t="s">
        <v>6828</v>
      </c>
      <c r="C436" s="505" t="s">
        <v>2912</v>
      </c>
      <c r="D436" s="504" t="s">
        <v>2913</v>
      </c>
      <c r="E436" s="504" t="s">
        <v>6829</v>
      </c>
      <c r="F436" s="336"/>
      <c r="G436">
        <f>IF(getRGB1($C436)="FFFFFF",0,1)+IF(getRGB1($D436)="FFFFFF",0,2)+IF(getRGB1($E436)="FFFFFF",0,3)+IF(getRGB1($F436)="FFFFFF",0,4)</f>
        <v>1</v>
      </c>
    </row>
    <row r="437" spans="1:7" ht="31.5">
      <c r="A437" t="s">
        <v>2990</v>
      </c>
      <c r="B437" s="504" t="s">
        <v>6830</v>
      </c>
      <c r="C437" s="505" t="s">
        <v>2917</v>
      </c>
      <c r="D437" s="504" t="s">
        <v>2918</v>
      </c>
      <c r="E437" s="504" t="s">
        <v>2919</v>
      </c>
      <c r="F437" s="336"/>
      <c r="G437">
        <f>IF(getRGB1($C437)="FFFFFF",0,1)+IF(getRGB1($D437)="FFFFFF",0,2)+IF(getRGB1($E437)="FFFFFF",0,3)+IF(getRGB1($F437)="FFFFFF",0,4)</f>
        <v>1</v>
      </c>
    </row>
    <row r="438" spans="1:7" ht="31.5">
      <c r="A438" t="s">
        <v>2990</v>
      </c>
      <c r="B438" s="504" t="s">
        <v>6831</v>
      </c>
      <c r="C438" s="505" t="s">
        <v>6832</v>
      </c>
      <c r="D438" s="504" t="s">
        <v>6833</v>
      </c>
      <c r="E438" s="504" t="s">
        <v>6834</v>
      </c>
      <c r="F438" s="336"/>
      <c r="G438">
        <f>IF(getRGB1($C438)="FFFFFF",0,1)+IF(getRGB1($D438)="FFFFFF",0,2)+IF(getRGB1($E438)="FFFFFF",0,3)+IF(getRGB1($F438)="FFFFFF",0,4)</f>
        <v>1</v>
      </c>
    </row>
    <row r="439" spans="1:7" ht="31.5">
      <c r="A439" t="s">
        <v>2990</v>
      </c>
      <c r="B439" s="504" t="s">
        <v>6835</v>
      </c>
      <c r="C439" s="504" t="s">
        <v>2926</v>
      </c>
      <c r="D439" s="504" t="s">
        <v>2927</v>
      </c>
      <c r="E439" s="505" t="s">
        <v>2928</v>
      </c>
      <c r="F439" s="336"/>
      <c r="G439">
        <f>IF(getRGB1($C439)="FFFFFF",0,1)+IF(getRGB1($D439)="FFFFFF",0,2)+IF(getRGB1($E439)="FFFFFF",0,3)+IF(getRGB1($F439)="FFFFFF",0,4)</f>
        <v>3</v>
      </c>
    </row>
    <row r="440" spans="1:7" ht="31.5">
      <c r="A440" t="s">
        <v>2990</v>
      </c>
      <c r="B440" s="504" t="s">
        <v>6836</v>
      </c>
      <c r="C440" s="504" t="b">
        <v>1</v>
      </c>
      <c r="D440" s="505" t="b">
        <v>0</v>
      </c>
      <c r="E440" s="336"/>
      <c r="F440" s="336"/>
      <c r="G440">
        <f>IF(getRGB1($C440)="FFFFFF",0,1)+IF(getRGB1($D440)="FFFFFF",0,2)+IF(getRGB1($E440)="FFFFFF",0,3)+IF(getRGB1($F440)="FFFFFF",0,4)</f>
        <v>2</v>
      </c>
    </row>
    <row r="441" spans="1:7" ht="15.75">
      <c r="A441" t="s">
        <v>2990</v>
      </c>
      <c r="B441" s="504" t="s">
        <v>6837</v>
      </c>
      <c r="C441" s="505" t="s">
        <v>2931</v>
      </c>
      <c r="D441" s="504" t="s">
        <v>2932</v>
      </c>
      <c r="E441" s="504" t="s">
        <v>2933</v>
      </c>
      <c r="F441" s="336"/>
      <c r="G441">
        <f>IF(getRGB1($C441)="FFFFFF",0,1)+IF(getRGB1($D441)="FFFFFF",0,2)+IF(getRGB1($E441)="FFFFFF",0,3)+IF(getRGB1($F441)="FFFFFF",0,4)</f>
        <v>1</v>
      </c>
    </row>
    <row r="442" spans="1:7" ht="15.75">
      <c r="A442" t="s">
        <v>2990</v>
      </c>
      <c r="B442" s="504" t="s">
        <v>6838</v>
      </c>
      <c r="C442" s="504" t="s">
        <v>2936</v>
      </c>
      <c r="D442" s="504" t="s">
        <v>2937</v>
      </c>
      <c r="E442" s="505" t="s">
        <v>2938</v>
      </c>
      <c r="F442" s="336"/>
      <c r="G442">
        <f>IF(getRGB1($C442)="FFFFFF",0,1)+IF(getRGB1($D442)="FFFFFF",0,2)+IF(getRGB1($E442)="FFFFFF",0,3)+IF(getRGB1($F442)="FFFFFF",0,4)</f>
        <v>3</v>
      </c>
    </row>
    <row r="443" spans="1:7" ht="47.25">
      <c r="A443" t="s">
        <v>2990</v>
      </c>
      <c r="B443" s="504" t="s">
        <v>6839</v>
      </c>
      <c r="C443" s="504" t="s">
        <v>2941</v>
      </c>
      <c r="D443" s="505" t="s">
        <v>2942</v>
      </c>
      <c r="E443" s="504" t="s">
        <v>2943</v>
      </c>
      <c r="F443" s="336"/>
      <c r="G443">
        <f>IF(getRGB1($C443)="FFFFFF",0,1)+IF(getRGB1($D443)="FFFFFF",0,2)+IF(getRGB1($E443)="FFFFFF",0,3)+IF(getRGB1($F443)="FFFFFF",0,4)</f>
        <v>2</v>
      </c>
    </row>
    <row r="444" spans="1:7" ht="31.5">
      <c r="A444" t="s">
        <v>2990</v>
      </c>
      <c r="B444" s="504" t="s">
        <v>6840</v>
      </c>
      <c r="C444" s="504" t="s">
        <v>2946</v>
      </c>
      <c r="D444" s="504" t="s">
        <v>2947</v>
      </c>
      <c r="E444" s="505" t="s">
        <v>2948</v>
      </c>
      <c r="F444" s="336"/>
      <c r="G444">
        <f>IF(getRGB1($C444)="FFFFFF",0,1)+IF(getRGB1($D444)="FFFFFF",0,2)+IF(getRGB1($E444)="FFFFFF",0,3)+IF(getRGB1($F444)="FFFFFF",0,4)</f>
        <v>3</v>
      </c>
    </row>
    <row r="445" spans="1:7" ht="15.75">
      <c r="A445" t="s">
        <v>2990</v>
      </c>
      <c r="B445" s="504" t="s">
        <v>6841</v>
      </c>
      <c r="C445" s="505" t="s">
        <v>2950</v>
      </c>
      <c r="D445" s="504" t="s">
        <v>2951</v>
      </c>
      <c r="E445" s="504" t="s">
        <v>1915</v>
      </c>
      <c r="F445" s="336"/>
      <c r="G445">
        <f>IF(getRGB1($C445)="FFFFFF",0,1)+IF(getRGB1($D445)="FFFFFF",0,2)+IF(getRGB1($E445)="FFFFFF",0,3)+IF(getRGB1($F445)="FFFFFF",0,4)</f>
        <v>1</v>
      </c>
    </row>
    <row r="446" spans="1:7" ht="47.25">
      <c r="A446" t="s">
        <v>2990</v>
      </c>
      <c r="B446" s="504" t="s">
        <v>6842</v>
      </c>
      <c r="C446" s="504" t="s">
        <v>6843</v>
      </c>
      <c r="D446" s="505" t="s">
        <v>2955</v>
      </c>
      <c r="E446" s="336" t="s">
        <v>2956</v>
      </c>
      <c r="F446" s="336" t="s">
        <v>1744</v>
      </c>
      <c r="G446">
        <f>IF(getRGB1($C446)="FFFFFF",0,1)+IF(getRGB1($D446)="FFFFFF",0,2)+IF(getRGB1($E446)="FFFFFF",0,3)+IF(getRGB1($F446)="FFFFFF",0,4)</f>
        <v>2</v>
      </c>
    </row>
    <row r="447" spans="1:7" ht="30">
      <c r="A447" t="s">
        <v>2990</v>
      </c>
      <c r="B447" s="488" t="s">
        <v>8738</v>
      </c>
      <c r="C447" s="337" t="s">
        <v>3579</v>
      </c>
      <c r="D447" s="481" t="s">
        <v>3580</v>
      </c>
      <c r="E447" s="337" t="s">
        <v>3581</v>
      </c>
      <c r="F447" s="337" t="s">
        <v>3582</v>
      </c>
      <c r="G447">
        <f>IF(getRGB1($C447)="FFFFFF",0,1)+IF(getRGB1($D447)="FFFFFF",0,2)+IF(getRGB1($E447)="FFFFFF",0,3)+IF(getRGB1($F447)="FFFFFF",0,4)</f>
        <v>2</v>
      </c>
    </row>
    <row r="448" spans="1:7" ht="30">
      <c r="A448" t="s">
        <v>2990</v>
      </c>
      <c r="B448" s="488" t="s">
        <v>3583</v>
      </c>
      <c r="C448" s="337" t="s">
        <v>3584</v>
      </c>
      <c r="D448" s="337" t="s">
        <v>3585</v>
      </c>
      <c r="E448" s="337" t="s">
        <v>3586</v>
      </c>
      <c r="F448" s="481" t="s">
        <v>3587</v>
      </c>
      <c r="G448">
        <f>IF(getRGB1($C448)="FFFFFF",0,1)+IF(getRGB1($D448)="FFFFFF",0,2)+IF(getRGB1($E448)="FFFFFF",0,3)+IF(getRGB1($F448)="FFFFFF",0,4)</f>
        <v>4</v>
      </c>
    </row>
    <row r="449" spans="1:7">
      <c r="A449" t="s">
        <v>2990</v>
      </c>
      <c r="B449" s="488" t="s">
        <v>3588</v>
      </c>
      <c r="C449" s="337" t="s">
        <v>3589</v>
      </c>
      <c r="D449" s="337" t="s">
        <v>3590</v>
      </c>
      <c r="E449" s="337" t="s">
        <v>3591</v>
      </c>
      <c r="F449" s="481" t="s">
        <v>6844</v>
      </c>
      <c r="G449">
        <f>IF(getRGB1($C449)="FFFFFF",0,1)+IF(getRGB1($D449)="FFFFFF",0,2)+IF(getRGB1($E449)="FFFFFF",0,3)+IF(getRGB1($F449)="FFFFFF",0,4)</f>
        <v>4</v>
      </c>
    </row>
    <row r="450" spans="1:7" ht="30">
      <c r="A450" t="s">
        <v>2990</v>
      </c>
      <c r="B450" s="488" t="s">
        <v>3593</v>
      </c>
      <c r="C450" s="337" t="s">
        <v>3594</v>
      </c>
      <c r="D450" s="337" t="s">
        <v>3595</v>
      </c>
      <c r="E450" s="337" t="s">
        <v>3596</v>
      </c>
      <c r="F450" s="481" t="s">
        <v>3597</v>
      </c>
      <c r="G450">
        <f>IF(getRGB1($C450)="FFFFFF",0,1)+IF(getRGB1($D450)="FFFFFF",0,2)+IF(getRGB1($E450)="FFFFFF",0,3)+IF(getRGB1($F450)="FFFFFF",0,4)</f>
        <v>4</v>
      </c>
    </row>
    <row r="451" spans="1:7">
      <c r="A451" t="s">
        <v>2990</v>
      </c>
      <c r="B451" s="488" t="s">
        <v>3598</v>
      </c>
      <c r="C451" s="337" t="s">
        <v>3594</v>
      </c>
      <c r="D451" s="337" t="s">
        <v>3595</v>
      </c>
      <c r="E451" s="481" t="s">
        <v>3596</v>
      </c>
      <c r="F451" s="337" t="s">
        <v>3597</v>
      </c>
      <c r="G451">
        <f>IF(getRGB1($C451)="FFFFFF",0,1)+IF(getRGB1($D451)="FFFFFF",0,2)+IF(getRGB1($E451)="FFFFFF",0,3)+IF(getRGB1($F451)="FFFFFF",0,4)</f>
        <v>3</v>
      </c>
    </row>
    <row r="452" spans="1:7">
      <c r="A452" t="s">
        <v>2990</v>
      </c>
      <c r="B452" s="488" t="s">
        <v>3599</v>
      </c>
      <c r="C452" s="337" t="s">
        <v>3416</v>
      </c>
      <c r="D452" s="481" t="s">
        <v>3415</v>
      </c>
      <c r="E452" s="337" t="s">
        <v>3600</v>
      </c>
      <c r="F452" s="337" t="s">
        <v>3601</v>
      </c>
      <c r="G452">
        <f>IF(getRGB1($C452)="FFFFFF",0,1)+IF(getRGB1($D452)="FFFFFF",0,2)+IF(getRGB1($E452)="FFFFFF",0,3)+IF(getRGB1($F452)="FFFFFF",0,4)</f>
        <v>2</v>
      </c>
    </row>
    <row r="453" spans="1:7" ht="30">
      <c r="A453" t="s">
        <v>2990</v>
      </c>
      <c r="B453" s="488" t="s">
        <v>3602</v>
      </c>
      <c r="C453" s="337" t="s">
        <v>3603</v>
      </c>
      <c r="D453" s="337" t="s">
        <v>3604</v>
      </c>
      <c r="E453" s="481" t="s">
        <v>3448</v>
      </c>
      <c r="F453" s="337" t="s">
        <v>3605</v>
      </c>
      <c r="G453">
        <f>IF(getRGB1($C453)="FFFFFF",0,1)+IF(getRGB1($D453)="FFFFFF",0,2)+IF(getRGB1($E453)="FFFFFF",0,3)+IF(getRGB1($F453)="FFFFFF",0,4)</f>
        <v>3</v>
      </c>
    </row>
    <row r="454" spans="1:7" ht="30">
      <c r="A454" t="s">
        <v>2990</v>
      </c>
      <c r="B454" s="488" t="s">
        <v>3606</v>
      </c>
      <c r="C454" s="485">
        <v>0.02</v>
      </c>
      <c r="D454" s="485">
        <v>0.01</v>
      </c>
      <c r="E454" s="486">
        <v>0.03</v>
      </c>
      <c r="F454" s="485">
        <v>0.05</v>
      </c>
      <c r="G454">
        <f>IF(getRGB1($C454)="FFFFFF",0,1)+IF(getRGB1($D454)="FFFFFF",0,2)+IF(getRGB1($E454)="FFFFFF",0,3)+IF(getRGB1($F454)="FFFFFF",0,4)</f>
        <v>3</v>
      </c>
    </row>
    <row r="455" spans="1:7" ht="30">
      <c r="A455" t="s">
        <v>2990</v>
      </c>
      <c r="B455" s="488" t="s">
        <v>3607</v>
      </c>
      <c r="C455" s="486">
        <v>0.02</v>
      </c>
      <c r="D455" s="485">
        <v>0.01</v>
      </c>
      <c r="E455" s="485">
        <v>0.03</v>
      </c>
      <c r="F455" s="485">
        <v>0.05</v>
      </c>
      <c r="G455">
        <f>IF(getRGB1($C455)="FFFFFF",0,1)+IF(getRGB1($D455)="FFFFFF",0,2)+IF(getRGB1($E455)="FFFFFF",0,3)+IF(getRGB1($F455)="FFFFFF",0,4)</f>
        <v>1</v>
      </c>
    </row>
    <row r="456" spans="1:7" ht="30">
      <c r="A456" t="s">
        <v>2990</v>
      </c>
      <c r="B456" s="488" t="s">
        <v>3608</v>
      </c>
      <c r="C456" s="485">
        <v>0.02</v>
      </c>
      <c r="D456" s="506">
        <v>1.4999999999999999E-2</v>
      </c>
      <c r="E456" s="485">
        <v>0.03</v>
      </c>
      <c r="F456" s="485">
        <v>0.05</v>
      </c>
      <c r="G456">
        <f>IF(getRGB1($C456)="FFFFFF",0,1)+IF(getRGB1($D456)="FFFFFF",0,2)+IF(getRGB1($E456)="FFFFFF",0,3)+IF(getRGB1($F456)="FFFFFF",0,4)</f>
        <v>2</v>
      </c>
    </row>
    <row r="457" spans="1:7" ht="30">
      <c r="A457" t="s">
        <v>2990</v>
      </c>
      <c r="B457" s="488" t="s">
        <v>3609</v>
      </c>
      <c r="C457" s="337" t="s">
        <v>3453</v>
      </c>
      <c r="D457" s="481" t="s">
        <v>3610</v>
      </c>
      <c r="E457" s="337" t="s">
        <v>3611</v>
      </c>
      <c r="F457" s="337" t="s">
        <v>3612</v>
      </c>
      <c r="G457">
        <f>IF(getRGB1($C457)="FFFFFF",0,1)+IF(getRGB1($D457)="FFFFFF",0,2)+IF(getRGB1($E457)="FFFFFF",0,3)+IF(getRGB1($F457)="FFFFFF",0,4)</f>
        <v>2</v>
      </c>
    </row>
    <row r="458" spans="1:7" ht="30">
      <c r="A458" t="s">
        <v>2990</v>
      </c>
      <c r="B458" s="488" t="s">
        <v>3613</v>
      </c>
      <c r="C458" s="481" t="s">
        <v>3453</v>
      </c>
      <c r="D458" s="337" t="s">
        <v>3610</v>
      </c>
      <c r="E458" s="337" t="s">
        <v>3611</v>
      </c>
      <c r="F458" s="337" t="s">
        <v>3612</v>
      </c>
      <c r="G458">
        <f>IF(getRGB1($C458)="FFFFFF",0,1)+IF(getRGB1($D458)="FFFFFF",0,2)+IF(getRGB1($E458)="FFFFFF",0,3)+IF(getRGB1($F458)="FFFFFF",0,4)</f>
        <v>1</v>
      </c>
    </row>
    <row r="459" spans="1:7" ht="30">
      <c r="A459" t="s">
        <v>2990</v>
      </c>
      <c r="B459" s="488" t="s">
        <v>3614</v>
      </c>
      <c r="C459" s="507">
        <v>1.4999999999999999E-2</v>
      </c>
      <c r="D459" s="507">
        <v>0.02</v>
      </c>
      <c r="E459" s="507">
        <v>2.5000000000000001E-2</v>
      </c>
      <c r="F459" s="508">
        <v>0.05</v>
      </c>
      <c r="G459">
        <f>IF(getRGB1($C459)="FFFFFF",0,1)+IF(getRGB1($D459)="FFFFFF",0,2)+IF(getRGB1($E459)="FFFFFF",0,3)+IF(getRGB1($F459)="FFFFFF",0,4)</f>
        <v>4</v>
      </c>
    </row>
    <row r="460" spans="1:7" ht="30">
      <c r="A460" t="s">
        <v>2990</v>
      </c>
      <c r="B460" s="488" t="s">
        <v>3615</v>
      </c>
      <c r="C460" s="507">
        <v>1.4999999999999999E-2</v>
      </c>
      <c r="D460" s="507">
        <v>0.02</v>
      </c>
      <c r="E460" s="508">
        <v>2.5000000000000001E-2</v>
      </c>
      <c r="F460" s="507">
        <v>0.05</v>
      </c>
      <c r="G460">
        <f>IF(getRGB1($C460)="FFFFFF",0,1)+IF(getRGB1($D460)="FFFFFF",0,2)+IF(getRGB1($E460)="FFFFFF",0,3)+IF(getRGB1($F460)="FFFFFF",0,4)</f>
        <v>3</v>
      </c>
    </row>
    <row r="461" spans="1:7" ht="30">
      <c r="A461" t="s">
        <v>2990</v>
      </c>
      <c r="B461" s="488" t="s">
        <v>3616</v>
      </c>
      <c r="C461" s="507">
        <v>1.4999999999999999E-2</v>
      </c>
      <c r="D461" s="508">
        <v>0.02</v>
      </c>
      <c r="E461" s="507">
        <v>2.5000000000000001E-2</v>
      </c>
      <c r="F461" s="507">
        <v>0.05</v>
      </c>
      <c r="G461">
        <f>IF(getRGB1($C461)="FFFFFF",0,1)+IF(getRGB1($D461)="FFFFFF",0,2)+IF(getRGB1($E461)="FFFFFF",0,3)+IF(getRGB1($F461)="FFFFFF",0,4)</f>
        <v>2</v>
      </c>
    </row>
    <row r="462" spans="1:7" ht="30">
      <c r="A462" t="s">
        <v>2990</v>
      </c>
      <c r="B462" s="488" t="s">
        <v>3617</v>
      </c>
      <c r="C462" s="508">
        <v>1.4999999999999999E-2</v>
      </c>
      <c r="D462" s="507">
        <v>0.02</v>
      </c>
      <c r="E462" s="507">
        <v>2.5000000000000001E-2</v>
      </c>
      <c r="F462" s="507">
        <v>0.05</v>
      </c>
      <c r="G462">
        <f>IF(getRGB1($C462)="FFFFFF",0,1)+IF(getRGB1($D462)="FFFFFF",0,2)+IF(getRGB1($E462)="FFFFFF",0,3)+IF(getRGB1($F462)="FFFFFF",0,4)</f>
        <v>1</v>
      </c>
    </row>
    <row r="463" spans="1:7" ht="45">
      <c r="A463" t="s">
        <v>2990</v>
      </c>
      <c r="B463" s="488" t="s">
        <v>3618</v>
      </c>
      <c r="C463" s="337" t="s">
        <v>179</v>
      </c>
      <c r="D463" s="337" t="s">
        <v>557</v>
      </c>
      <c r="E463" s="337" t="s">
        <v>74</v>
      </c>
      <c r="F463" s="481" t="s">
        <v>137</v>
      </c>
      <c r="G463">
        <f>IF(getRGB1($C463)="FFFFFF",0,1)+IF(getRGB1($D463)="FFFFFF",0,2)+IF(getRGB1($E463)="FFFFFF",0,3)+IF(getRGB1($F463)="FFFFFF",0,4)</f>
        <v>4</v>
      </c>
    </row>
    <row r="464" spans="1:7" ht="30">
      <c r="A464" t="s">
        <v>2990</v>
      </c>
      <c r="B464" s="488" t="s">
        <v>3619</v>
      </c>
      <c r="C464" s="337" t="s">
        <v>179</v>
      </c>
      <c r="D464" s="337" t="s">
        <v>557</v>
      </c>
      <c r="E464" s="337" t="s">
        <v>74</v>
      </c>
      <c r="F464" s="481" t="s">
        <v>137</v>
      </c>
      <c r="G464">
        <f>IF(getRGB1($C464)="FFFFFF",0,1)+IF(getRGB1($D464)="FFFFFF",0,2)+IF(getRGB1($E464)="FFFFFF",0,3)+IF(getRGB1($F464)="FFFFFF",0,4)</f>
        <v>4</v>
      </c>
    </row>
    <row r="465" spans="1:7" ht="30">
      <c r="A465" t="s">
        <v>2990</v>
      </c>
      <c r="B465" s="488" t="s">
        <v>3620</v>
      </c>
      <c r="C465" s="337" t="s">
        <v>179</v>
      </c>
      <c r="D465" s="481" t="s">
        <v>557</v>
      </c>
      <c r="E465" s="337" t="s">
        <v>74</v>
      </c>
      <c r="F465" s="337" t="s">
        <v>137</v>
      </c>
      <c r="G465">
        <f>IF(getRGB1($C465)="FFFFFF",0,1)+IF(getRGB1($D465)="FFFFFF",0,2)+IF(getRGB1($E465)="FFFFFF",0,3)+IF(getRGB1($F465)="FFFFFF",0,4)</f>
        <v>2</v>
      </c>
    </row>
    <row r="466" spans="1:7" ht="30">
      <c r="A466" t="s">
        <v>2990</v>
      </c>
      <c r="B466" s="488" t="s">
        <v>3621</v>
      </c>
      <c r="C466" s="337">
        <v>3</v>
      </c>
      <c r="D466" s="481">
        <v>6</v>
      </c>
      <c r="E466" s="337">
        <v>12</v>
      </c>
      <c r="F466" s="337">
        <v>24</v>
      </c>
      <c r="G466">
        <f>IF(getRGB1($C466)="FFFFFF",0,1)+IF(getRGB1($D466)="FFFFFF",0,2)+IF(getRGB1($E466)="FFFFFF",0,3)+IF(getRGB1($F466)="FFFFFF",0,4)</f>
        <v>2</v>
      </c>
    </row>
    <row r="467" spans="1:7" ht="30">
      <c r="A467" t="s">
        <v>2990</v>
      </c>
      <c r="B467" s="488" t="s">
        <v>3622</v>
      </c>
      <c r="C467" s="337" t="s">
        <v>3472</v>
      </c>
      <c r="D467" s="481" t="s">
        <v>3539</v>
      </c>
      <c r="E467" s="337" t="s">
        <v>3466</v>
      </c>
      <c r="F467" s="337" t="s">
        <v>3540</v>
      </c>
      <c r="G467">
        <f>IF(getRGB1($C467)="FFFFFF",0,1)+IF(getRGB1($D467)="FFFFFF",0,2)+IF(getRGB1($E467)="FFFFFF",0,3)+IF(getRGB1($F467)="FFFFFF",0,4)</f>
        <v>2</v>
      </c>
    </row>
    <row r="468" spans="1:7" ht="30">
      <c r="A468" t="s">
        <v>2990</v>
      </c>
      <c r="B468" s="488" t="s">
        <v>3623</v>
      </c>
      <c r="C468" s="337" t="s">
        <v>3472</v>
      </c>
      <c r="D468" s="337" t="s">
        <v>3539</v>
      </c>
      <c r="E468" s="481" t="s">
        <v>3466</v>
      </c>
      <c r="F468" s="337" t="s">
        <v>3540</v>
      </c>
      <c r="G468">
        <f>IF(getRGB1($C468)="FFFFFF",0,1)+IF(getRGB1($D468)="FFFFFF",0,2)+IF(getRGB1($E468)="FFFFFF",0,3)+IF(getRGB1($F468)="FFFFFF",0,4)</f>
        <v>3</v>
      </c>
    </row>
    <row r="469" spans="1:7" ht="30">
      <c r="A469" t="s">
        <v>2990</v>
      </c>
      <c r="B469" s="488" t="s">
        <v>3542</v>
      </c>
      <c r="C469" s="486" t="s">
        <v>3624</v>
      </c>
      <c r="D469" s="485" t="s">
        <v>3625</v>
      </c>
      <c r="E469" s="485" t="s">
        <v>3626</v>
      </c>
      <c r="F469" s="485" t="s">
        <v>3627</v>
      </c>
      <c r="G469">
        <f>IF(getRGB1($C469)="FFFFFF",0,1)+IF(getRGB1($D469)="FFFFFF",0,2)+IF(getRGB1($E469)="FFFFFF",0,3)+IF(getRGB1($F469)="FFFFFF",0,4)</f>
        <v>1</v>
      </c>
    </row>
    <row r="470" spans="1:7" ht="30">
      <c r="A470" t="s">
        <v>2990</v>
      </c>
      <c r="B470" s="488" t="s">
        <v>3547</v>
      </c>
      <c r="C470" s="485" t="s">
        <v>3624</v>
      </c>
      <c r="D470" s="486" t="s">
        <v>3625</v>
      </c>
      <c r="E470" s="485" t="s">
        <v>3626</v>
      </c>
      <c r="F470" s="485" t="s">
        <v>3627</v>
      </c>
      <c r="G470">
        <f>IF(getRGB1($C470)="FFFFFF",0,1)+IF(getRGB1($D470)="FFFFFF",0,2)+IF(getRGB1($E470)="FFFFFF",0,3)+IF(getRGB1($F470)="FFFFFF",0,4)</f>
        <v>2</v>
      </c>
    </row>
    <row r="471" spans="1:7" ht="30">
      <c r="A471" t="s">
        <v>2990</v>
      </c>
      <c r="B471" s="488" t="s">
        <v>3548</v>
      </c>
      <c r="C471" s="485" t="s">
        <v>3624</v>
      </c>
      <c r="D471" s="485" t="s">
        <v>3625</v>
      </c>
      <c r="E471" s="486" t="s">
        <v>3626</v>
      </c>
      <c r="F471" s="485" t="s">
        <v>3627</v>
      </c>
      <c r="G471">
        <f>IF(getRGB1($C471)="FFFFFF",0,1)+IF(getRGB1($D471)="FFFFFF",0,2)+IF(getRGB1($E471)="FFFFFF",0,3)+IF(getRGB1($F471)="FFFFFF",0,4)</f>
        <v>3</v>
      </c>
    </row>
    <row r="472" spans="1:7" ht="30">
      <c r="A472" t="s">
        <v>2990</v>
      </c>
      <c r="B472" s="488" t="s">
        <v>3549</v>
      </c>
      <c r="C472" s="485" t="s">
        <v>3624</v>
      </c>
      <c r="D472" s="485" t="s">
        <v>3625</v>
      </c>
      <c r="E472" s="485" t="s">
        <v>3626</v>
      </c>
      <c r="F472" s="486" t="s">
        <v>3627</v>
      </c>
      <c r="G472">
        <f>IF(getRGB1($C472)="FFFFFF",0,1)+IF(getRGB1($D472)="FFFFFF",0,2)+IF(getRGB1($E472)="FFFFFF",0,3)+IF(getRGB1($F472)="FFFFFF",0,4)</f>
        <v>4</v>
      </c>
    </row>
    <row r="473" spans="1:7" ht="45">
      <c r="A473" t="s">
        <v>2990</v>
      </c>
      <c r="B473" s="488" t="s">
        <v>3628</v>
      </c>
      <c r="C473" s="337" t="s">
        <v>137</v>
      </c>
      <c r="D473" s="337" t="s">
        <v>76</v>
      </c>
      <c r="E473" s="481" t="s">
        <v>179</v>
      </c>
      <c r="F473" s="337" t="s">
        <v>557</v>
      </c>
      <c r="G473">
        <f>IF(getRGB1($C473)="FFFFFF",0,1)+IF(getRGB1($D473)="FFFFFF",0,2)+IF(getRGB1($E473)="FFFFFF",0,3)+IF(getRGB1($F473)="FFFFFF",0,4)</f>
        <v>3</v>
      </c>
    </row>
    <row r="474" spans="1:7" ht="30">
      <c r="A474" t="s">
        <v>2990</v>
      </c>
      <c r="B474" s="488" t="s">
        <v>3570</v>
      </c>
      <c r="C474" s="481" t="s">
        <v>137</v>
      </c>
      <c r="D474" s="337" t="s">
        <v>179</v>
      </c>
      <c r="E474" s="337" t="s">
        <v>557</v>
      </c>
      <c r="F474" s="337" t="s">
        <v>76</v>
      </c>
      <c r="G474">
        <f>IF(getRGB1($C474)="FFFFFF",0,1)+IF(getRGB1($D474)="FFFFFF",0,2)+IF(getRGB1($E474)="FFFFFF",0,3)+IF(getRGB1($F474)="FFFFFF",0,4)</f>
        <v>1</v>
      </c>
    </row>
    <row r="475" spans="1:7" ht="30">
      <c r="A475" t="s">
        <v>6845</v>
      </c>
      <c r="B475" s="502" t="s">
        <v>6846</v>
      </c>
      <c r="C475" s="502" t="s">
        <v>6847</v>
      </c>
      <c r="D475" s="502" t="s">
        <v>6848</v>
      </c>
      <c r="E475" s="502" t="s">
        <v>6849</v>
      </c>
      <c r="F475" s="503" t="s">
        <v>6850</v>
      </c>
      <c r="G475">
        <f>IF(getRGB1($C475)="FFFFFF",0,1)+IF(getRGB1($D475)="FFFFFF",0,2)+IF(getRGB1($E475)="FFFFFF",0,3)+IF(getRGB1($F475)="FFFFFF",0,4)</f>
        <v>4</v>
      </c>
    </row>
    <row r="476" spans="1:7" ht="45">
      <c r="A476" t="s">
        <v>6845</v>
      </c>
      <c r="B476" s="502" t="s">
        <v>6851</v>
      </c>
      <c r="C476" s="503" t="s">
        <v>6852</v>
      </c>
      <c r="D476" s="502" t="s">
        <v>6853</v>
      </c>
      <c r="E476" s="502" t="s">
        <v>6854</v>
      </c>
      <c r="F476" s="502" t="s">
        <v>6855</v>
      </c>
      <c r="G476">
        <f>IF(getRGB1($C476)="FFFFFF",0,1)+IF(getRGB1($D476)="FFFFFF",0,2)+IF(getRGB1($E476)="FFFFFF",0,3)+IF(getRGB1($F476)="FFFFFF",0,4)</f>
        <v>1</v>
      </c>
    </row>
    <row r="477" spans="1:7" ht="30">
      <c r="A477" t="s">
        <v>6845</v>
      </c>
      <c r="B477" s="502" t="s">
        <v>6856</v>
      </c>
      <c r="C477" s="503" t="s">
        <v>6857</v>
      </c>
      <c r="D477" s="502" t="s">
        <v>6858</v>
      </c>
      <c r="E477" s="502" t="s">
        <v>6859</v>
      </c>
      <c r="F477" s="502" t="s">
        <v>6860</v>
      </c>
      <c r="G477">
        <f>IF(getRGB1($C477)="FFFFFF",0,1)+IF(getRGB1($D477)="FFFFFF",0,2)+IF(getRGB1($E477)="FFFFFF",0,3)+IF(getRGB1($F477)="FFFFFF",0,4)</f>
        <v>1</v>
      </c>
    </row>
    <row r="478" spans="1:7" ht="30">
      <c r="A478" t="s">
        <v>6845</v>
      </c>
      <c r="B478" s="502" t="s">
        <v>6861</v>
      </c>
      <c r="C478" s="502" t="s">
        <v>6862</v>
      </c>
      <c r="D478" s="503" t="s">
        <v>6863</v>
      </c>
      <c r="E478" s="502" t="s">
        <v>6864</v>
      </c>
      <c r="F478" s="502" t="s">
        <v>6865</v>
      </c>
      <c r="G478">
        <f>IF(getRGB1($C478)="FFFFFF",0,1)+IF(getRGB1($D478)="FFFFFF",0,2)+IF(getRGB1($E478)="FFFFFF",0,3)+IF(getRGB1($F478)="FFFFFF",0,4)</f>
        <v>2</v>
      </c>
    </row>
    <row r="479" spans="1:7" ht="45">
      <c r="A479" t="s">
        <v>6845</v>
      </c>
      <c r="B479" s="502" t="s">
        <v>6866</v>
      </c>
      <c r="C479" s="502" t="s">
        <v>6867</v>
      </c>
      <c r="D479" s="503" t="s">
        <v>6868</v>
      </c>
      <c r="E479" s="502" t="s">
        <v>6869</v>
      </c>
      <c r="F479" s="502" t="s">
        <v>6870</v>
      </c>
      <c r="G479">
        <f>IF(getRGB1($C479)="FFFFFF",0,1)+IF(getRGB1($D479)="FFFFFF",0,2)+IF(getRGB1($E479)="FFFFFF",0,3)+IF(getRGB1($F479)="FFFFFF",0,4)</f>
        <v>2</v>
      </c>
    </row>
    <row r="480" spans="1:7" ht="30">
      <c r="A480" t="s">
        <v>6845</v>
      </c>
      <c r="B480" s="502" t="s">
        <v>6871</v>
      </c>
      <c r="C480" s="502" t="s">
        <v>6872</v>
      </c>
      <c r="D480" s="503" t="s">
        <v>6873</v>
      </c>
      <c r="E480" s="502" t="s">
        <v>6874</v>
      </c>
      <c r="F480" s="502" t="s">
        <v>468</v>
      </c>
      <c r="G480">
        <f>IF(getRGB1($C480)="FFFFFF",0,1)+IF(getRGB1($D480)="FFFFFF",0,2)+IF(getRGB1($E480)="FFFFFF",0,3)+IF(getRGB1($F480)="FFFFFF",0,4)</f>
        <v>2</v>
      </c>
    </row>
    <row r="481" spans="1:7" ht="60">
      <c r="A481" t="s">
        <v>6845</v>
      </c>
      <c r="B481" s="502" t="s">
        <v>6875</v>
      </c>
      <c r="C481" s="502" t="s">
        <v>6876</v>
      </c>
      <c r="D481" s="502" t="s">
        <v>6877</v>
      </c>
      <c r="E481" s="503" t="s">
        <v>6878</v>
      </c>
      <c r="F481" s="502" t="s">
        <v>6879</v>
      </c>
      <c r="G481">
        <f>IF(getRGB1($C481)="FFFFFF",0,1)+IF(getRGB1($D481)="FFFFFF",0,2)+IF(getRGB1($E481)="FFFFFF",0,3)+IF(getRGB1($F481)="FFFFFF",0,4)</f>
        <v>3</v>
      </c>
    </row>
    <row r="482" spans="1:7" ht="30">
      <c r="A482" t="s">
        <v>6845</v>
      </c>
      <c r="B482" s="502" t="s">
        <v>6880</v>
      </c>
      <c r="C482" s="503" t="s">
        <v>6881</v>
      </c>
      <c r="D482" s="502" t="s">
        <v>6882</v>
      </c>
      <c r="E482" s="502" t="s">
        <v>6883</v>
      </c>
      <c r="F482" s="502" t="s">
        <v>6884</v>
      </c>
      <c r="G482">
        <f>IF(getRGB1($C482)="FFFFFF",0,1)+IF(getRGB1($D482)="FFFFFF",0,2)+IF(getRGB1($E482)="FFFFFF",0,3)+IF(getRGB1($F482)="FFFFFF",0,4)</f>
        <v>1</v>
      </c>
    </row>
    <row r="483" spans="1:7" ht="30">
      <c r="A483" t="s">
        <v>6845</v>
      </c>
      <c r="B483" s="502" t="s">
        <v>6885</v>
      </c>
      <c r="C483" s="502" t="s">
        <v>6886</v>
      </c>
      <c r="D483" s="503" t="s">
        <v>6887</v>
      </c>
      <c r="E483" s="502" t="s">
        <v>6888</v>
      </c>
      <c r="F483" s="502" t="s">
        <v>6889</v>
      </c>
      <c r="G483">
        <f>IF(getRGB1($C483)="FFFFFF",0,1)+IF(getRGB1($D483)="FFFFFF",0,2)+IF(getRGB1($E483)="FFFFFF",0,3)+IF(getRGB1($F483)="FFFFFF",0,4)</f>
        <v>2</v>
      </c>
    </row>
    <row r="484" spans="1:7" ht="45">
      <c r="A484" t="s">
        <v>6845</v>
      </c>
      <c r="B484" s="502" t="s">
        <v>6890</v>
      </c>
      <c r="C484" s="503" t="s">
        <v>2682</v>
      </c>
      <c r="D484" s="502" t="s">
        <v>2681</v>
      </c>
      <c r="E484" s="502" t="s">
        <v>6891</v>
      </c>
      <c r="F484" s="502" t="s">
        <v>6892</v>
      </c>
      <c r="G484">
        <f>IF(getRGB1($C484)="FFFFFF",0,1)+IF(getRGB1($D484)="FFFFFF",0,2)+IF(getRGB1($E484)="FFFFFF",0,3)+IF(getRGB1($F484)="FFFFFF",0,4)</f>
        <v>1</v>
      </c>
    </row>
    <row r="485" spans="1:7" ht="30">
      <c r="A485" t="s">
        <v>6845</v>
      </c>
      <c r="B485" s="502" t="s">
        <v>6893</v>
      </c>
      <c r="C485" s="502">
        <v>30</v>
      </c>
      <c r="D485" s="502">
        <v>180</v>
      </c>
      <c r="E485" s="502">
        <v>60</v>
      </c>
      <c r="F485" s="503">
        <v>90</v>
      </c>
      <c r="G485">
        <f>IF(getRGB1($C485)="FFFFFF",0,1)+IF(getRGB1($D485)="FFFFFF",0,2)+IF(getRGB1($E485)="FFFFFF",0,3)+IF(getRGB1($F485)="FFFFFF",0,4)</f>
        <v>4</v>
      </c>
    </row>
    <row r="486" spans="1:7" ht="30">
      <c r="A486" t="s">
        <v>6845</v>
      </c>
      <c r="B486" s="502" t="s">
        <v>6894</v>
      </c>
      <c r="C486" s="502" t="s">
        <v>2682</v>
      </c>
      <c r="D486" s="502" t="s">
        <v>2681</v>
      </c>
      <c r="E486" s="503" t="s">
        <v>6895</v>
      </c>
      <c r="F486" s="502" t="s">
        <v>6896</v>
      </c>
      <c r="G486">
        <f>IF(getRGB1($C486)="FFFFFF",0,1)+IF(getRGB1($D486)="FFFFFF",0,2)+IF(getRGB1($E486)="FFFFFF",0,3)+IF(getRGB1($F486)="FFFFFF",0,4)</f>
        <v>3</v>
      </c>
    </row>
    <row r="487" spans="1:7" ht="60">
      <c r="A487" t="s">
        <v>6845</v>
      </c>
      <c r="B487" s="502" t="s">
        <v>6897</v>
      </c>
      <c r="C487" s="502" t="s">
        <v>6898</v>
      </c>
      <c r="D487" s="503" t="s">
        <v>6899</v>
      </c>
      <c r="E487" s="502" t="s">
        <v>6900</v>
      </c>
      <c r="F487" s="502" t="s">
        <v>6901</v>
      </c>
      <c r="G487">
        <f>IF(getRGB1($C487)="FFFFFF",0,1)+IF(getRGB1($D487)="FFFFFF",0,2)+IF(getRGB1($E487)="FFFFFF",0,3)+IF(getRGB1($F487)="FFFFFF",0,4)</f>
        <v>2</v>
      </c>
    </row>
    <row r="488" spans="1:7" ht="30">
      <c r="A488" t="s">
        <v>6845</v>
      </c>
      <c r="B488" s="502" t="s">
        <v>6902</v>
      </c>
      <c r="C488" s="502" t="s">
        <v>6903</v>
      </c>
      <c r="D488" s="503" t="s">
        <v>6904</v>
      </c>
      <c r="E488" s="502" t="s">
        <v>6905</v>
      </c>
      <c r="F488" s="502" t="s">
        <v>6906</v>
      </c>
      <c r="G488">
        <f>IF(getRGB1($C488)="FFFFFF",0,1)+IF(getRGB1($D488)="FFFFFF",0,2)+IF(getRGB1($E488)="FFFFFF",0,3)+IF(getRGB1($F488)="FFFFFF",0,4)</f>
        <v>2</v>
      </c>
    </row>
    <row r="489" spans="1:7" ht="45">
      <c r="A489" t="s">
        <v>6845</v>
      </c>
      <c r="B489" s="502" t="s">
        <v>6907</v>
      </c>
      <c r="C489" s="502">
        <v>15</v>
      </c>
      <c r="D489" s="503">
        <v>90</v>
      </c>
      <c r="E489" s="502">
        <v>120</v>
      </c>
      <c r="F489" s="502">
        <v>180</v>
      </c>
      <c r="G489">
        <f>IF(getRGB1($C489)="FFFFFF",0,1)+IF(getRGB1($D489)="FFFFFF",0,2)+IF(getRGB1($E489)="FFFFFF",0,3)+IF(getRGB1($F489)="FFFFFF",0,4)</f>
        <v>2</v>
      </c>
    </row>
    <row r="490" spans="1:7" ht="30">
      <c r="A490" t="s">
        <v>6845</v>
      </c>
      <c r="B490" s="502" t="s">
        <v>6908</v>
      </c>
      <c r="C490" s="502" t="s">
        <v>6909</v>
      </c>
      <c r="D490" s="503" t="s">
        <v>6910</v>
      </c>
      <c r="E490" s="502" t="s">
        <v>6911</v>
      </c>
      <c r="F490" s="502" t="s">
        <v>6912</v>
      </c>
      <c r="G490">
        <f>IF(getRGB1($C490)="FFFFFF",0,1)+IF(getRGB1($D490)="FFFFFF",0,2)+IF(getRGB1($E490)="FFFFFF",0,3)+IF(getRGB1($F490)="FFFFFF",0,4)</f>
        <v>2</v>
      </c>
    </row>
    <row r="491" spans="1:7" ht="30">
      <c r="A491" t="s">
        <v>6845</v>
      </c>
      <c r="B491" s="502" t="s">
        <v>6913</v>
      </c>
      <c r="C491" s="503" t="s">
        <v>6914</v>
      </c>
      <c r="D491" s="502" t="s">
        <v>6915</v>
      </c>
      <c r="E491" s="502" t="s">
        <v>6916</v>
      </c>
      <c r="F491" s="502" t="s">
        <v>6917</v>
      </c>
      <c r="G491">
        <f>IF(getRGB1($C491)="FFFFFF",0,1)+IF(getRGB1($D491)="FFFFFF",0,2)+IF(getRGB1($E491)="FFFFFF",0,3)+IF(getRGB1($F491)="FFFFFF",0,4)</f>
        <v>1</v>
      </c>
    </row>
    <row r="492" spans="1:7" ht="30">
      <c r="A492" t="s">
        <v>6845</v>
      </c>
      <c r="B492" s="502" t="s">
        <v>6913</v>
      </c>
      <c r="C492" s="502" t="s">
        <v>6918</v>
      </c>
      <c r="D492" s="503" t="s">
        <v>6919</v>
      </c>
      <c r="E492" s="502" t="s">
        <v>6920</v>
      </c>
      <c r="F492" s="502" t="s">
        <v>6921</v>
      </c>
      <c r="G492">
        <f>IF(getRGB1($C492)="FFFFFF",0,1)+IF(getRGB1($D492)="FFFFFF",0,2)+IF(getRGB1($E492)="FFFFFF",0,3)+IF(getRGB1($F492)="FFFFFF",0,4)</f>
        <v>2</v>
      </c>
    </row>
    <row r="493" spans="1:7" ht="45">
      <c r="A493" t="s">
        <v>6845</v>
      </c>
      <c r="B493" s="502" t="s">
        <v>6922</v>
      </c>
      <c r="C493" s="503" t="s">
        <v>6923</v>
      </c>
      <c r="D493" s="502" t="s">
        <v>6924</v>
      </c>
      <c r="E493" s="502" t="s">
        <v>6925</v>
      </c>
      <c r="F493" s="502" t="s">
        <v>6926</v>
      </c>
      <c r="G493">
        <f>IF(getRGB1($C493)="FFFFFF",0,1)+IF(getRGB1($D493)="FFFFFF",0,2)+IF(getRGB1($E493)="FFFFFF",0,3)+IF(getRGB1($F493)="FFFFFF",0,4)</f>
        <v>1</v>
      </c>
    </row>
    <row r="494" spans="1:7" ht="30">
      <c r="A494" t="s">
        <v>6845</v>
      </c>
      <c r="B494" s="502" t="s">
        <v>6927</v>
      </c>
      <c r="C494" s="502">
        <v>484</v>
      </c>
      <c r="D494" s="503">
        <v>1600</v>
      </c>
      <c r="E494" s="502">
        <v>400</v>
      </c>
      <c r="F494" s="502">
        <v>800</v>
      </c>
      <c r="G494">
        <f>IF(getRGB1($C494)="FFFFFF",0,1)+IF(getRGB1($D494)="FFFFFF",0,2)+IF(getRGB1($E494)="FFFFFF",0,3)+IF(getRGB1($F494)="FFFFFF",0,4)</f>
        <v>2</v>
      </c>
    </row>
    <row r="495" spans="1:7" ht="45">
      <c r="A495" t="s">
        <v>6845</v>
      </c>
      <c r="B495" s="502" t="s">
        <v>6928</v>
      </c>
      <c r="C495" s="502">
        <v>6.06</v>
      </c>
      <c r="D495" s="502">
        <v>60.6</v>
      </c>
      <c r="E495" s="503">
        <v>23.49</v>
      </c>
      <c r="F495" s="502">
        <v>2.3490000000000002</v>
      </c>
      <c r="G495">
        <f>IF(getRGB1($C495)="FFFFFF",0,1)+IF(getRGB1($D495)="FFFFFF",0,2)+IF(getRGB1($E495)="FFFFFF",0,3)+IF(getRGB1($F495)="FFFFFF",0,4)</f>
        <v>3</v>
      </c>
    </row>
    <row r="496" spans="1:7" ht="45">
      <c r="A496" t="s">
        <v>6845</v>
      </c>
      <c r="B496" s="502" t="s">
        <v>6929</v>
      </c>
      <c r="C496" s="502">
        <v>1600</v>
      </c>
      <c r="D496" s="503">
        <v>2349</v>
      </c>
      <c r="E496" s="502">
        <v>600</v>
      </c>
      <c r="F496" s="502">
        <v>300</v>
      </c>
      <c r="G496">
        <f>IF(getRGB1($C496)="FFFFFF",0,1)+IF(getRGB1($D496)="FFFFFF",0,2)+IF(getRGB1($E496)="FFFFFF",0,3)+IF(getRGB1($F496)="FFFFFF",0,4)</f>
        <v>2</v>
      </c>
    </row>
    <row r="497" spans="1:7" ht="45">
      <c r="A497" t="s">
        <v>6845</v>
      </c>
      <c r="B497" s="502" t="s">
        <v>6930</v>
      </c>
      <c r="C497" s="503" t="s">
        <v>6931</v>
      </c>
      <c r="D497" s="502" t="s">
        <v>6932</v>
      </c>
      <c r="E497" s="502" t="s">
        <v>6933</v>
      </c>
      <c r="F497" s="502" t="s">
        <v>6934</v>
      </c>
      <c r="G497">
        <f>IF(getRGB1($C497)="FFFFFF",0,1)+IF(getRGB1($D497)="FFFFFF",0,2)+IF(getRGB1($E497)="FFFFFF",0,3)+IF(getRGB1($F497)="FFFFFF",0,4)</f>
        <v>1</v>
      </c>
    </row>
    <row r="498" spans="1:7" ht="30">
      <c r="A498" t="s">
        <v>6845</v>
      </c>
      <c r="B498" s="502" t="s">
        <v>6935</v>
      </c>
      <c r="C498" s="502" t="s">
        <v>6932</v>
      </c>
      <c r="D498" s="503" t="s">
        <v>6936</v>
      </c>
      <c r="E498" s="502" t="s">
        <v>6933</v>
      </c>
      <c r="F498" s="502" t="s">
        <v>6937</v>
      </c>
      <c r="G498">
        <f>IF(getRGB1($C498)="FFFFFF",0,1)+IF(getRGB1($D498)="FFFFFF",0,2)+IF(getRGB1($E498)="FFFFFF",0,3)+IF(getRGB1($F498)="FFFFFF",0,4)</f>
        <v>2</v>
      </c>
    </row>
    <row r="499" spans="1:7" ht="45">
      <c r="A499" t="s">
        <v>6845</v>
      </c>
      <c r="B499" s="502" t="s">
        <v>6938</v>
      </c>
      <c r="C499" s="502" t="s">
        <v>6939</v>
      </c>
      <c r="D499" s="502" t="s">
        <v>6940</v>
      </c>
      <c r="E499" s="503" t="s">
        <v>6941</v>
      </c>
      <c r="F499" s="502" t="s">
        <v>6942</v>
      </c>
      <c r="G499">
        <f>IF(getRGB1($C499)="FFFFFF",0,1)+IF(getRGB1($D499)="FFFFFF",0,2)+IF(getRGB1($E499)="FFFFFF",0,3)+IF(getRGB1($F499)="FFFFFF",0,4)</f>
        <v>3</v>
      </c>
    </row>
    <row r="500" spans="1:7" ht="30">
      <c r="A500" t="s">
        <v>6845</v>
      </c>
      <c r="B500" s="502" t="s">
        <v>6943</v>
      </c>
      <c r="C500" s="683" t="s">
        <v>6944</v>
      </c>
      <c r="D500" s="502" t="s">
        <v>6945</v>
      </c>
      <c r="E500" s="502" t="s">
        <v>6937</v>
      </c>
      <c r="F500" s="503" t="s">
        <v>6946</v>
      </c>
      <c r="G500">
        <f>IF(getRGB1($C500)="FFFFFF",0,1)+IF(getRGB1($D500)="FFFFFF",0,2)+IF(getRGB1($E500)="FFFFFF",0,3)+IF(getRGB1($F500)="FFFFFF",0,4)</f>
        <v>4</v>
      </c>
    </row>
    <row r="501" spans="1:7" ht="30">
      <c r="A501" t="s">
        <v>6845</v>
      </c>
      <c r="B501" s="502" t="s">
        <v>6947</v>
      </c>
      <c r="C501" s="502" t="s">
        <v>6945</v>
      </c>
      <c r="D501" s="502" t="s">
        <v>6948</v>
      </c>
      <c r="E501" s="502" t="s">
        <v>6937</v>
      </c>
      <c r="F501" s="503" t="s">
        <v>6946</v>
      </c>
      <c r="G501">
        <f>IF(getRGB1($C501)="FFFFFF",0,1)+IF(getRGB1($D501)="FFFFFF",0,2)+IF(getRGB1($E501)="FFFFFF",0,3)+IF(getRGB1($F501)="FFFFFF",0,4)</f>
        <v>4</v>
      </c>
    </row>
    <row r="502" spans="1:7" ht="30">
      <c r="A502" t="s">
        <v>6845</v>
      </c>
      <c r="B502" s="502" t="s">
        <v>6949</v>
      </c>
      <c r="C502" s="502" t="s">
        <v>6950</v>
      </c>
      <c r="D502" s="502" t="s">
        <v>6951</v>
      </c>
      <c r="E502" s="503" t="s">
        <v>6952</v>
      </c>
      <c r="F502" s="502" t="s">
        <v>6953</v>
      </c>
      <c r="G502">
        <f>IF(getRGB1($C502)="FFFFFF",0,1)+IF(getRGB1($D502)="FFFFFF",0,2)+IF(getRGB1($E502)="FFFFFF",0,3)+IF(getRGB1($F502)="FFFFFF",0,4)</f>
        <v>3</v>
      </c>
    </row>
    <row r="503" spans="1:7" ht="45">
      <c r="A503" t="s">
        <v>6845</v>
      </c>
      <c r="B503" s="502" t="s">
        <v>6954</v>
      </c>
      <c r="C503" s="502" t="s">
        <v>6955</v>
      </c>
      <c r="D503" s="502" t="s">
        <v>6956</v>
      </c>
      <c r="E503" s="503" t="s">
        <v>6957</v>
      </c>
      <c r="F503" s="502" t="s">
        <v>6958</v>
      </c>
      <c r="G503">
        <f>IF(getRGB1($C503)="FFFFFF",0,1)+IF(getRGB1($D503)="FFFFFF",0,2)+IF(getRGB1($E503)="FFFFFF",0,3)+IF(getRGB1($F503)="FFFFFF",0,4)</f>
        <v>3</v>
      </c>
    </row>
    <row r="504" spans="1:7" ht="45">
      <c r="A504" t="s">
        <v>6845</v>
      </c>
      <c r="B504" s="502" t="s">
        <v>6959</v>
      </c>
      <c r="C504" s="502" t="s">
        <v>6960</v>
      </c>
      <c r="D504" s="503" t="s">
        <v>6961</v>
      </c>
      <c r="E504" s="502" t="s">
        <v>6962</v>
      </c>
      <c r="F504" s="502" t="s">
        <v>6963</v>
      </c>
      <c r="G504">
        <f>IF(getRGB1($C504)="FFFFFF",0,1)+IF(getRGB1($D504)="FFFFFF",0,2)+IF(getRGB1($E504)="FFFFFF",0,3)+IF(getRGB1($F504)="FFFFFF",0,4)</f>
        <v>2</v>
      </c>
    </row>
    <row r="505" spans="1:7" ht="30">
      <c r="A505" t="s">
        <v>6845</v>
      </c>
      <c r="B505" s="502" t="s">
        <v>6964</v>
      </c>
      <c r="C505" s="502" t="s">
        <v>6965</v>
      </c>
      <c r="D505" s="683" t="s">
        <v>6966</v>
      </c>
      <c r="E505" s="503" t="s">
        <v>6967</v>
      </c>
      <c r="F505" s="502" t="s">
        <v>6968</v>
      </c>
      <c r="G505">
        <f>IF(getRGB1($C505)="FFFFFF",0,1)+IF(getRGB1($D505)="FFFFFF",0,2)+IF(getRGB1($E505)="FFFFFF",0,3)+IF(getRGB1($F505)="FFFFFF",0,4)</f>
        <v>3</v>
      </c>
    </row>
    <row r="506" spans="1:7" ht="30">
      <c r="A506" t="s">
        <v>6845</v>
      </c>
      <c r="B506" s="502" t="s">
        <v>6969</v>
      </c>
      <c r="C506" s="502" t="s">
        <v>6970</v>
      </c>
      <c r="D506" s="503" t="s">
        <v>6971</v>
      </c>
      <c r="E506" s="502" t="s">
        <v>6972</v>
      </c>
      <c r="F506" s="502" t="s">
        <v>6973</v>
      </c>
      <c r="G506">
        <f>IF(getRGB1($C506)="FFFFFF",0,1)+IF(getRGB1($D506)="FFFFFF",0,2)+IF(getRGB1($E506)="FFFFFF",0,3)+IF(getRGB1($F506)="FFFFFF",0,4)</f>
        <v>2</v>
      </c>
    </row>
    <row r="507" spans="1:7" ht="30">
      <c r="A507" t="s">
        <v>6845</v>
      </c>
      <c r="B507" s="502" t="s">
        <v>6974</v>
      </c>
      <c r="C507" s="502" t="s">
        <v>6975</v>
      </c>
      <c r="D507" s="503" t="s">
        <v>6976</v>
      </c>
      <c r="E507" s="502" t="s">
        <v>6977</v>
      </c>
      <c r="F507" s="502" t="s">
        <v>6978</v>
      </c>
      <c r="G507">
        <f>IF(getRGB1($C507)="FFFFFF",0,1)+IF(getRGB1($D507)="FFFFFF",0,2)+IF(getRGB1($E507)="FFFFFF",0,3)+IF(getRGB1($F507)="FFFFFF",0,4)</f>
        <v>2</v>
      </c>
    </row>
    <row r="508" spans="1:7" ht="60">
      <c r="A508" t="s">
        <v>6845</v>
      </c>
      <c r="B508" s="502" t="s">
        <v>8739</v>
      </c>
      <c r="C508" s="502" t="s">
        <v>6979</v>
      </c>
      <c r="D508" s="502" t="s">
        <v>6980</v>
      </c>
      <c r="E508" s="503" t="s">
        <v>6981</v>
      </c>
      <c r="F508" s="502" t="s">
        <v>6982</v>
      </c>
      <c r="G508">
        <f>IF(getRGB1($C508)="FFFFFF",0,1)+IF(getRGB1($D508)="FFFFFF",0,2)+IF(getRGB1($E508)="FFFFFF",0,3)+IF(getRGB1($F508)="FFFFFF",0,4)</f>
        <v>3</v>
      </c>
    </row>
    <row r="509" spans="1:7" ht="75">
      <c r="A509" t="s">
        <v>6845</v>
      </c>
      <c r="B509" s="502" t="s">
        <v>8740</v>
      </c>
      <c r="C509" s="502" t="s">
        <v>6983</v>
      </c>
      <c r="D509" s="502" t="s">
        <v>6984</v>
      </c>
      <c r="E509" s="503" t="s">
        <v>6985</v>
      </c>
      <c r="F509" s="502" t="s">
        <v>6986</v>
      </c>
      <c r="G509">
        <f>IF(getRGB1($C509)="FFFFFF",0,1)+IF(getRGB1($D509)="FFFFFF",0,2)+IF(getRGB1($E509)="FFFFFF",0,3)+IF(getRGB1($F509)="FFFFFF",0,4)</f>
        <v>3</v>
      </c>
    </row>
    <row r="510" spans="1:7" ht="30">
      <c r="A510" t="s">
        <v>6845</v>
      </c>
      <c r="B510" s="502" t="s">
        <v>6987</v>
      </c>
      <c r="C510" s="503" t="s">
        <v>6988</v>
      </c>
      <c r="D510" s="502" t="s">
        <v>6989</v>
      </c>
      <c r="E510" s="502" t="s">
        <v>6990</v>
      </c>
      <c r="F510" s="502" t="s">
        <v>6991</v>
      </c>
      <c r="G510">
        <f>IF(getRGB1($C510)="FFFFFF",0,1)+IF(getRGB1($D510)="FFFFFF",0,2)+IF(getRGB1($E510)="FFFFFF",0,3)+IF(getRGB1($F510)="FFFFFF",0,4)</f>
        <v>1</v>
      </c>
    </row>
    <row r="511" spans="1:7" ht="60">
      <c r="A511" t="s">
        <v>6845</v>
      </c>
      <c r="B511" s="502" t="s">
        <v>6992</v>
      </c>
      <c r="C511" s="502" t="s">
        <v>6993</v>
      </c>
      <c r="D511" s="503" t="s">
        <v>6994</v>
      </c>
      <c r="E511" s="502" t="s">
        <v>6859</v>
      </c>
      <c r="F511" s="502" t="s">
        <v>6995</v>
      </c>
      <c r="G511">
        <f>IF(getRGB1($C511)="FFFFFF",0,1)+IF(getRGB1($D511)="FFFFFF",0,2)+IF(getRGB1($E511)="FFFFFF",0,3)+IF(getRGB1($F511)="FFFFFF",0,4)</f>
        <v>2</v>
      </c>
    </row>
    <row r="512" spans="1:7" ht="60">
      <c r="A512" t="s">
        <v>6845</v>
      </c>
      <c r="B512" s="502" t="s">
        <v>6996</v>
      </c>
      <c r="C512" s="502" t="s">
        <v>6997</v>
      </c>
      <c r="D512" s="503" t="s">
        <v>6998</v>
      </c>
      <c r="E512" s="502" t="s">
        <v>6999</v>
      </c>
      <c r="F512" s="502" t="s">
        <v>7000</v>
      </c>
      <c r="G512">
        <f>IF(getRGB1($C512)="FFFFFF",0,1)+IF(getRGB1($D512)="FFFFFF",0,2)+IF(getRGB1($E512)="FFFFFF",0,3)+IF(getRGB1($F512)="FFFFFF",0,4)</f>
        <v>2</v>
      </c>
    </row>
    <row r="513" spans="1:7" ht="45">
      <c r="A513" t="s">
        <v>6845</v>
      </c>
      <c r="B513" s="502" t="s">
        <v>7001</v>
      </c>
      <c r="C513" s="502" t="s">
        <v>7002</v>
      </c>
      <c r="D513" s="502" t="s">
        <v>7003</v>
      </c>
      <c r="E513" s="503" t="s">
        <v>7004</v>
      </c>
      <c r="F513" s="502" t="s">
        <v>4658</v>
      </c>
      <c r="G513">
        <f>IF(getRGB1($C513)="FFFFFF",0,1)+IF(getRGB1($D513)="FFFFFF",0,2)+IF(getRGB1($E513)="FFFFFF",0,3)+IF(getRGB1($F513)="FFFFFF",0,4)</f>
        <v>3</v>
      </c>
    </row>
    <row r="514" spans="1:7" ht="75">
      <c r="A514" t="s">
        <v>6845</v>
      </c>
      <c r="B514" s="502" t="s">
        <v>7005</v>
      </c>
      <c r="C514" s="503" t="s">
        <v>7006</v>
      </c>
      <c r="D514" s="502" t="s">
        <v>7007</v>
      </c>
      <c r="E514" s="502" t="s">
        <v>2074</v>
      </c>
      <c r="F514" s="502" t="s">
        <v>7008</v>
      </c>
      <c r="G514">
        <f>IF(getRGB1($C514)="FFFFFF",0,1)+IF(getRGB1($D514)="FFFFFF",0,2)+IF(getRGB1($E514)="FFFFFF",0,3)+IF(getRGB1($F514)="FFFFFF",0,4)</f>
        <v>1</v>
      </c>
    </row>
    <row r="515" spans="1:7" ht="30">
      <c r="A515" t="s">
        <v>6845</v>
      </c>
      <c r="B515" s="502" t="s">
        <v>7009</v>
      </c>
      <c r="C515" s="502" t="s">
        <v>7010</v>
      </c>
      <c r="D515" s="502" t="s">
        <v>7011</v>
      </c>
      <c r="E515" s="503" t="s">
        <v>7012</v>
      </c>
      <c r="F515" s="502" t="s">
        <v>2074</v>
      </c>
      <c r="G515">
        <f>IF(getRGB1($C515)="FFFFFF",0,1)+IF(getRGB1($D515)="FFFFFF",0,2)+IF(getRGB1($E515)="FFFFFF",0,3)+IF(getRGB1($F515)="FFFFFF",0,4)</f>
        <v>3</v>
      </c>
    </row>
    <row r="516" spans="1:7" ht="30">
      <c r="A516" t="s">
        <v>6845</v>
      </c>
      <c r="B516" s="502" t="s">
        <v>7013</v>
      </c>
      <c r="C516" s="502" t="s">
        <v>7014</v>
      </c>
      <c r="D516" s="502" t="s">
        <v>7015</v>
      </c>
      <c r="E516" s="503" t="s">
        <v>7016</v>
      </c>
      <c r="F516" s="502" t="s">
        <v>7008</v>
      </c>
      <c r="G516">
        <f>IF(getRGB1($C516)="FFFFFF",0,1)+IF(getRGB1($D516)="FFFFFF",0,2)+IF(getRGB1($E516)="FFFFFF",0,3)+IF(getRGB1($F516)="FFFFFF",0,4)</f>
        <v>3</v>
      </c>
    </row>
    <row r="517" spans="1:7" ht="30">
      <c r="A517" t="s">
        <v>6845</v>
      </c>
      <c r="B517" s="502" t="s">
        <v>7017</v>
      </c>
      <c r="C517" s="502" t="s">
        <v>7018</v>
      </c>
      <c r="D517" s="502" t="s">
        <v>7019</v>
      </c>
      <c r="E517" s="503" t="s">
        <v>7020</v>
      </c>
      <c r="F517" s="502" t="s">
        <v>4658</v>
      </c>
      <c r="G517">
        <f>IF(getRGB1($C517)="FFFFFF",0,1)+IF(getRGB1($D517)="FFFFFF",0,2)+IF(getRGB1($E517)="FFFFFF",0,3)+IF(getRGB1($F517)="FFFFFF",0,4)</f>
        <v>3</v>
      </c>
    </row>
    <row r="518" spans="1:7" ht="90">
      <c r="A518" t="s">
        <v>6845</v>
      </c>
      <c r="B518" s="502" t="s">
        <v>7021</v>
      </c>
      <c r="C518" s="503" t="s">
        <v>7022</v>
      </c>
      <c r="D518" s="502" t="s">
        <v>7023</v>
      </c>
      <c r="E518" s="502" t="s">
        <v>7024</v>
      </c>
      <c r="F518" s="502" t="s">
        <v>4658</v>
      </c>
      <c r="G518">
        <f>IF(getRGB1($C518)="FFFFFF",0,1)+IF(getRGB1($D518)="FFFFFF",0,2)+IF(getRGB1($E518)="FFFFFF",0,3)+IF(getRGB1($F518)="FFFFFF",0,4)</f>
        <v>1</v>
      </c>
    </row>
    <row r="519" spans="1:7" ht="75">
      <c r="A519" t="s">
        <v>6845</v>
      </c>
      <c r="B519" s="502" t="s">
        <v>7025</v>
      </c>
      <c r="C519" s="502" t="s">
        <v>7026</v>
      </c>
      <c r="D519" s="503" t="s">
        <v>7027</v>
      </c>
      <c r="E519" s="502" t="s">
        <v>7016</v>
      </c>
      <c r="F519" s="502" t="s">
        <v>7008</v>
      </c>
      <c r="G519">
        <f>IF(getRGB1($C519)="FFFFFF",0,1)+IF(getRGB1($D519)="FFFFFF",0,2)+IF(getRGB1($E519)="FFFFFF",0,3)+IF(getRGB1($F519)="FFFFFF",0,4)</f>
        <v>2</v>
      </c>
    </row>
    <row r="520" spans="1:7" ht="45">
      <c r="A520" t="s">
        <v>6845</v>
      </c>
      <c r="B520" s="502" t="s">
        <v>7028</v>
      </c>
      <c r="C520" s="502" t="s">
        <v>7029</v>
      </c>
      <c r="D520" s="502" t="s">
        <v>7030</v>
      </c>
      <c r="E520" s="503" t="s">
        <v>7031</v>
      </c>
      <c r="F520" s="502" t="s">
        <v>4658</v>
      </c>
      <c r="G520">
        <f>IF(getRGB1($C520)="FFFFFF",0,1)+IF(getRGB1($D520)="FFFFFF",0,2)+IF(getRGB1($E520)="FFFFFF",0,3)+IF(getRGB1($F520)="FFFFFF",0,4)</f>
        <v>3</v>
      </c>
    </row>
    <row r="521" spans="1:7" ht="60">
      <c r="A521" t="s">
        <v>6845</v>
      </c>
      <c r="B521" s="502" t="s">
        <v>7032</v>
      </c>
      <c r="C521" s="502" t="s">
        <v>7033</v>
      </c>
      <c r="D521" s="502" t="s">
        <v>7034</v>
      </c>
      <c r="E521" s="503" t="s">
        <v>7035</v>
      </c>
      <c r="F521" s="502" t="s">
        <v>4658</v>
      </c>
      <c r="G521">
        <f>IF(getRGB1($C521)="FFFFFF",0,1)+IF(getRGB1($D521)="FFFFFF",0,2)+IF(getRGB1($E521)="FFFFFF",0,3)+IF(getRGB1($F521)="FFFFFF",0,4)</f>
        <v>3</v>
      </c>
    </row>
    <row r="522" spans="1:7" ht="60">
      <c r="A522" t="s">
        <v>6845</v>
      </c>
      <c r="B522" s="502" t="s">
        <v>7036</v>
      </c>
      <c r="C522" s="502" t="s">
        <v>7037</v>
      </c>
      <c r="D522" s="503" t="s">
        <v>7038</v>
      </c>
      <c r="E522" s="502" t="s">
        <v>7039</v>
      </c>
      <c r="F522" s="502" t="s">
        <v>4658</v>
      </c>
      <c r="G522">
        <f>IF(getRGB1($C522)="FFFFFF",0,1)+IF(getRGB1($D522)="FFFFFF",0,2)+IF(getRGB1($E522)="FFFFFF",0,3)+IF(getRGB1($F522)="FFFFFF",0,4)</f>
        <v>2</v>
      </c>
    </row>
    <row r="523" spans="1:7" ht="45">
      <c r="A523" t="s">
        <v>6845</v>
      </c>
      <c r="B523" s="502" t="s">
        <v>7040</v>
      </c>
      <c r="C523" s="503" t="s">
        <v>7041</v>
      </c>
      <c r="D523" s="502" t="s">
        <v>7042</v>
      </c>
      <c r="E523" s="502" t="s">
        <v>7016</v>
      </c>
      <c r="F523" s="502" t="s">
        <v>7008</v>
      </c>
      <c r="G523">
        <f>IF(getRGB1($C523)="FFFFFF",0,1)+IF(getRGB1($D523)="FFFFFF",0,2)+IF(getRGB1($E523)="FFFFFF",0,3)+IF(getRGB1($F523)="FFFFFF",0,4)</f>
        <v>1</v>
      </c>
    </row>
    <row r="524" spans="1:7" ht="45">
      <c r="A524" t="s">
        <v>6845</v>
      </c>
      <c r="B524" s="502" t="s">
        <v>7043</v>
      </c>
      <c r="C524" s="502" t="s">
        <v>7044</v>
      </c>
      <c r="D524" s="503" t="s">
        <v>7045</v>
      </c>
      <c r="E524" s="502" t="s">
        <v>7046</v>
      </c>
      <c r="F524" s="502" t="s">
        <v>4658</v>
      </c>
      <c r="G524">
        <f>IF(getRGB1($C524)="FFFFFF",0,1)+IF(getRGB1($D524)="FFFFFF",0,2)+IF(getRGB1($E524)="FFFFFF",0,3)+IF(getRGB1($F524)="FFFFFF",0,4)</f>
        <v>2</v>
      </c>
    </row>
    <row r="525" spans="1:7" ht="45">
      <c r="A525" t="s">
        <v>6845</v>
      </c>
      <c r="B525" s="502" t="s">
        <v>7047</v>
      </c>
      <c r="C525" s="502" t="s">
        <v>7048</v>
      </c>
      <c r="D525" s="502" t="s">
        <v>7049</v>
      </c>
      <c r="E525" s="503" t="s">
        <v>7050</v>
      </c>
      <c r="F525" s="502" t="s">
        <v>4658</v>
      </c>
      <c r="G525">
        <f>IF(getRGB1($C525)="FFFFFF",0,1)+IF(getRGB1($D525)="FFFFFF",0,2)+IF(getRGB1($E525)="FFFFFF",0,3)+IF(getRGB1($F525)="FFFFFF",0,4)</f>
        <v>3</v>
      </c>
    </row>
    <row r="526" spans="1:7" ht="45">
      <c r="A526" t="s">
        <v>6845</v>
      </c>
      <c r="B526" s="502" t="s">
        <v>8741</v>
      </c>
      <c r="C526" s="502" t="s">
        <v>8742</v>
      </c>
      <c r="D526" s="503" t="s">
        <v>8743</v>
      </c>
      <c r="E526" s="502" t="s">
        <v>7016</v>
      </c>
      <c r="F526" s="502" t="s">
        <v>7008</v>
      </c>
      <c r="G526">
        <f>IF(getRGB1($C526)="FFFFFF",0,1)+IF(getRGB1($D526)="FFFFFF",0,2)+IF(getRGB1($E526)="FFFFFF",0,3)+IF(getRGB1($F526)="FFFFFF",0,4)</f>
        <v>2</v>
      </c>
    </row>
    <row r="527" spans="1:7">
      <c r="A527" t="s">
        <v>6845</v>
      </c>
      <c r="B527" s="502" t="s">
        <v>7051</v>
      </c>
      <c r="C527" s="502">
        <v>0.15</v>
      </c>
      <c r="D527" s="502">
        <v>0.5</v>
      </c>
      <c r="E527" s="503">
        <v>0.05</v>
      </c>
      <c r="F527" s="502">
        <v>5.0000000000000001E-3</v>
      </c>
      <c r="G527">
        <f>IF(getRGB1($C527)="FFFFFF",0,1)+IF(getRGB1($D527)="FFFFFF",0,2)+IF(getRGB1($E527)="FFFFFF",0,3)+IF(getRGB1($F527)="FFFFFF",0,4)</f>
        <v>3</v>
      </c>
    </row>
    <row r="528" spans="1:7" ht="30">
      <c r="A528" t="s">
        <v>6845</v>
      </c>
      <c r="B528" s="502" t="s">
        <v>7052</v>
      </c>
      <c r="C528" s="502" t="s">
        <v>7053</v>
      </c>
      <c r="D528" s="503" t="s">
        <v>7054</v>
      </c>
      <c r="E528" s="502" t="s">
        <v>7055</v>
      </c>
      <c r="F528" s="502" t="s">
        <v>4658</v>
      </c>
      <c r="G528">
        <f>IF(getRGB1($C528)="FFFFFF",0,1)+IF(getRGB1($D528)="FFFFFF",0,2)+IF(getRGB1($E528)="FFFFFF",0,3)+IF(getRGB1($F528)="FFFFFF",0,4)</f>
        <v>2</v>
      </c>
    </row>
    <row r="529" spans="1:7" ht="30">
      <c r="A529" t="s">
        <v>6845</v>
      </c>
      <c r="B529" s="502" t="s">
        <v>7056</v>
      </c>
      <c r="C529" s="502" t="s">
        <v>7057</v>
      </c>
      <c r="D529" s="503" t="s">
        <v>7058</v>
      </c>
      <c r="E529" s="502" t="s">
        <v>7059</v>
      </c>
      <c r="F529" s="502" t="s">
        <v>4658</v>
      </c>
      <c r="G529">
        <f>IF(getRGB1($C529)="FFFFFF",0,1)+IF(getRGB1($D529)="FFFFFF",0,2)+IF(getRGB1($E529)="FFFFFF",0,3)+IF(getRGB1($F529)="FFFFFF",0,4)</f>
        <v>2</v>
      </c>
    </row>
    <row r="530" spans="1:7">
      <c r="A530" t="s">
        <v>6845</v>
      </c>
      <c r="B530" s="502" t="s">
        <v>7060</v>
      </c>
      <c r="C530" s="502" t="s">
        <v>7061</v>
      </c>
      <c r="D530" s="502" t="s">
        <v>7062</v>
      </c>
      <c r="E530" s="502" t="s">
        <v>7063</v>
      </c>
      <c r="F530" s="502" t="s">
        <v>7064</v>
      </c>
      <c r="G530">
        <f>IF(getRGB1($C530)="FFFFFF",0,1)+IF(getRGB1($D530)="FFFFFF",0,2)+IF(getRGB1($E530)="FFFFFF",0,3)+IF(getRGB1($F530)="FFFFFF",0,4)</f>
        <v>0</v>
      </c>
    </row>
    <row r="531" spans="1:7" ht="45">
      <c r="A531" t="s">
        <v>6845</v>
      </c>
      <c r="B531" s="502" t="s">
        <v>7065</v>
      </c>
      <c r="C531" s="503" t="s">
        <v>7066</v>
      </c>
      <c r="D531" s="502" t="s">
        <v>7067</v>
      </c>
      <c r="E531" s="502" t="s">
        <v>2812</v>
      </c>
      <c r="F531" s="502" t="s">
        <v>61</v>
      </c>
      <c r="G531">
        <f>IF(getRGB1($C531)="FFFFFF",0,1)+IF(getRGB1($D531)="FFFFFF",0,2)+IF(getRGB1($E531)="FFFFFF",0,3)+IF(getRGB1($F531)="FFFFFF",0,4)</f>
        <v>1</v>
      </c>
    </row>
    <row r="532" spans="1:7" ht="45">
      <c r="A532" t="s">
        <v>6845</v>
      </c>
      <c r="B532" s="502" t="s">
        <v>7068</v>
      </c>
      <c r="C532" s="502" t="s">
        <v>7069</v>
      </c>
      <c r="D532" s="502" t="s">
        <v>7070</v>
      </c>
      <c r="E532" s="503" t="s">
        <v>7071</v>
      </c>
      <c r="F532" s="502" t="s">
        <v>3313</v>
      </c>
      <c r="G532">
        <f>IF(getRGB1($C532)="FFFFFF",0,1)+IF(getRGB1($D532)="FFFFFF",0,2)+IF(getRGB1($E532)="FFFFFF",0,3)+IF(getRGB1($F532)="FFFFFF",0,4)</f>
        <v>3</v>
      </c>
    </row>
    <row r="533" spans="1:7" ht="30">
      <c r="A533" t="s">
        <v>6845</v>
      </c>
      <c r="B533" s="502" t="s">
        <v>7072</v>
      </c>
      <c r="C533" s="502" t="s">
        <v>7073</v>
      </c>
      <c r="D533" s="502" t="s">
        <v>7074</v>
      </c>
      <c r="E533" s="502" t="s">
        <v>7075</v>
      </c>
      <c r="F533" s="502" t="s">
        <v>7076</v>
      </c>
      <c r="G533">
        <f>IF(getRGB1($C533)="FFFFFF",0,1)+IF(getRGB1($D533)="FFFFFF",0,2)+IF(getRGB1($E533)="FFFFFF",0,3)+IF(getRGB1($F533)="FFFFFF",0,4)</f>
        <v>0</v>
      </c>
    </row>
    <row r="534" spans="1:7" ht="30">
      <c r="A534" t="s">
        <v>6845</v>
      </c>
      <c r="B534" s="502" t="s">
        <v>8744</v>
      </c>
      <c r="C534" s="502" t="s">
        <v>2427</v>
      </c>
      <c r="D534" s="503" t="s">
        <v>2428</v>
      </c>
      <c r="E534" s="502" t="s">
        <v>7075</v>
      </c>
      <c r="F534" s="502" t="s">
        <v>61</v>
      </c>
      <c r="G534">
        <f>IF(getRGB1($C534)="FFFFFF",0,1)+IF(getRGB1($D534)="FFFFFF",0,2)+IF(getRGB1($E534)="FFFFFF",0,3)+IF(getRGB1($F534)="FFFFFF",0,4)</f>
        <v>2</v>
      </c>
    </row>
    <row r="535" spans="1:7" ht="30">
      <c r="A535" t="s">
        <v>6845</v>
      </c>
      <c r="B535" s="502" t="s">
        <v>7077</v>
      </c>
      <c r="C535" s="503" t="s">
        <v>7078</v>
      </c>
      <c r="D535" s="502" t="s">
        <v>7079</v>
      </c>
      <c r="E535" s="502" t="s">
        <v>6963</v>
      </c>
      <c r="F535" s="502" t="s">
        <v>7080</v>
      </c>
      <c r="G535">
        <f>IF(getRGB1($C535)="FFFFFF",0,1)+IF(getRGB1($D535)="FFFFFF",0,2)+IF(getRGB1($E535)="FFFFFF",0,3)+IF(getRGB1($F535)="FFFFFF",0,4)</f>
        <v>1</v>
      </c>
    </row>
    <row r="536" spans="1:7" ht="75">
      <c r="A536" t="s">
        <v>6845</v>
      </c>
      <c r="B536" s="502" t="s">
        <v>7081</v>
      </c>
      <c r="C536" s="502" t="s">
        <v>7082</v>
      </c>
      <c r="D536" s="503" t="s">
        <v>7083</v>
      </c>
      <c r="E536" s="502" t="s">
        <v>7084</v>
      </c>
      <c r="F536" s="502" t="s">
        <v>61</v>
      </c>
      <c r="G536">
        <f>IF(getRGB1($C536)="FFFFFF",0,1)+IF(getRGB1($D536)="FFFFFF",0,2)+IF(getRGB1($E536)="FFFFFF",0,3)+IF(getRGB1($F536)="FFFFFF",0,4)</f>
        <v>2</v>
      </c>
    </row>
    <row r="537" spans="1:7" ht="60">
      <c r="A537" t="s">
        <v>6845</v>
      </c>
      <c r="B537" s="502" t="s">
        <v>7085</v>
      </c>
      <c r="C537" s="502" t="s">
        <v>7082</v>
      </c>
      <c r="D537" s="502" t="s">
        <v>7083</v>
      </c>
      <c r="E537" s="503" t="s">
        <v>7084</v>
      </c>
      <c r="F537" s="502" t="s">
        <v>61</v>
      </c>
      <c r="G537">
        <f>IF(getRGB1($C537)="FFFFFF",0,1)+IF(getRGB1($D537)="FFFFFF",0,2)+IF(getRGB1($E537)="FFFFFF",0,3)+IF(getRGB1($F537)="FFFFFF",0,4)</f>
        <v>3</v>
      </c>
    </row>
    <row r="538" spans="1:7" ht="45">
      <c r="A538" t="s">
        <v>6845</v>
      </c>
      <c r="B538" s="502" t="s">
        <v>7086</v>
      </c>
      <c r="C538" s="503" t="s">
        <v>7087</v>
      </c>
      <c r="D538" s="502" t="s">
        <v>7088</v>
      </c>
      <c r="E538" s="502" t="s">
        <v>2812</v>
      </c>
      <c r="F538" s="502" t="s">
        <v>61</v>
      </c>
      <c r="G538">
        <f>IF(getRGB1($C538)="FFFFFF",0,1)+IF(getRGB1($D538)="FFFFFF",0,2)+IF(getRGB1($E538)="FFFFFF",0,3)+IF(getRGB1($F538)="FFFFFF",0,4)</f>
        <v>1</v>
      </c>
    </row>
    <row r="539" spans="1:7" ht="45">
      <c r="A539" t="s">
        <v>6845</v>
      </c>
      <c r="B539" s="502" t="s">
        <v>7089</v>
      </c>
      <c r="C539" s="502" t="s">
        <v>7088</v>
      </c>
      <c r="D539" s="503" t="s">
        <v>7090</v>
      </c>
      <c r="E539" s="502" t="s">
        <v>7087</v>
      </c>
      <c r="F539" s="502" t="s">
        <v>61</v>
      </c>
      <c r="G539">
        <f>IF(getRGB1($C539)="FFFFFF",0,1)+IF(getRGB1($D539)="FFFFFF",0,2)+IF(getRGB1($E539)="FFFFFF",0,3)+IF(getRGB1($F539)="FFFFFF",0,4)</f>
        <v>2</v>
      </c>
    </row>
    <row r="540" spans="1:7" ht="75">
      <c r="A540" t="s">
        <v>6845</v>
      </c>
      <c r="B540" s="502" t="s">
        <v>7091</v>
      </c>
      <c r="C540" s="502" t="s">
        <v>7092</v>
      </c>
      <c r="D540" s="502" t="s">
        <v>7093</v>
      </c>
      <c r="E540" s="502" t="s">
        <v>7094</v>
      </c>
      <c r="F540" s="503" t="s">
        <v>7095</v>
      </c>
      <c r="G540">
        <f>IF(getRGB1($C540)="FFFFFF",0,1)+IF(getRGB1($D540)="FFFFFF",0,2)+IF(getRGB1($E540)="FFFFFF",0,3)+IF(getRGB1($F540)="FFFFFF",0,4)</f>
        <v>4</v>
      </c>
    </row>
    <row r="541" spans="1:7">
      <c r="A541" t="s">
        <v>6845</v>
      </c>
      <c r="B541" s="502" t="s">
        <v>7096</v>
      </c>
      <c r="C541" s="502" t="s">
        <v>7097</v>
      </c>
      <c r="D541" s="502" t="s">
        <v>7098</v>
      </c>
      <c r="E541" s="503" t="s">
        <v>7099</v>
      </c>
      <c r="F541" s="502" t="s">
        <v>7100</v>
      </c>
      <c r="G541">
        <f>IF(getRGB1($C541)="FFFFFF",0,1)+IF(getRGB1($D541)="FFFFFF",0,2)+IF(getRGB1($E541)="FFFFFF",0,3)+IF(getRGB1($F541)="FFFFFF",0,4)</f>
        <v>3</v>
      </c>
    </row>
    <row r="542" spans="1:7" ht="30">
      <c r="A542" t="s">
        <v>6845</v>
      </c>
      <c r="B542" s="502" t="s">
        <v>7101</v>
      </c>
      <c r="C542" s="502" t="s">
        <v>7087</v>
      </c>
      <c r="D542" s="503" t="s">
        <v>7088</v>
      </c>
      <c r="E542" s="502" t="s">
        <v>2812</v>
      </c>
      <c r="F542" s="502" t="s">
        <v>61</v>
      </c>
      <c r="G542">
        <f>IF(getRGB1($C542)="FFFFFF",0,1)+IF(getRGB1($D542)="FFFFFF",0,2)+IF(getRGB1($E542)="FFFFFF",0,3)+IF(getRGB1($F542)="FFFFFF",0,4)</f>
        <v>2</v>
      </c>
    </row>
    <row r="543" spans="1:7" ht="30">
      <c r="A543" t="s">
        <v>6845</v>
      </c>
      <c r="B543" s="502" t="s">
        <v>7102</v>
      </c>
      <c r="C543" s="502" t="s">
        <v>7103</v>
      </c>
      <c r="D543" s="503" t="s">
        <v>7104</v>
      </c>
      <c r="E543" s="502" t="s">
        <v>7105</v>
      </c>
      <c r="F543" s="683" t="s">
        <v>209</v>
      </c>
      <c r="G543">
        <f>IF(getRGB1($C543)="FFFFFF",0,1)+IF(getRGB1($D543)="FFFFFF",0,2)+IF(getRGB1($E543)="FFFFFF",0,3)+IF(getRGB1($F543)="FFFFFF",0,4)</f>
        <v>2</v>
      </c>
    </row>
    <row r="544" spans="1:7" ht="30">
      <c r="A544" t="s">
        <v>6845</v>
      </c>
      <c r="B544" s="502" t="s">
        <v>7106</v>
      </c>
      <c r="C544" s="502" t="s">
        <v>7107</v>
      </c>
      <c r="D544" s="502" t="s">
        <v>7108</v>
      </c>
      <c r="E544" s="503" t="s">
        <v>1230</v>
      </c>
      <c r="F544" s="502" t="s">
        <v>328</v>
      </c>
      <c r="G544">
        <f>IF(getRGB1($C544)="FFFFFF",0,1)+IF(getRGB1($D544)="FFFFFF",0,2)+IF(getRGB1($E544)="FFFFFF",0,3)+IF(getRGB1($F544)="FFFFFF",0,4)</f>
        <v>3</v>
      </c>
    </row>
    <row r="545" spans="1:7" ht="30">
      <c r="A545" t="s">
        <v>6845</v>
      </c>
      <c r="B545" s="502" t="s">
        <v>7109</v>
      </c>
      <c r="C545" s="502" t="s">
        <v>7110</v>
      </c>
      <c r="D545" s="502" t="s">
        <v>7111</v>
      </c>
      <c r="E545" s="502">
        <v>1</v>
      </c>
      <c r="F545" s="503" t="s">
        <v>328</v>
      </c>
      <c r="G545">
        <f>IF(getRGB1($C545)="FFFFFF",0,1)+IF(getRGB1($D545)="FFFFFF",0,2)+IF(getRGB1($E545)="FFFFFF",0,3)+IF(getRGB1($F545)="FFFFFF",0,4)</f>
        <v>4</v>
      </c>
    </row>
    <row r="546" spans="1:7" ht="30">
      <c r="A546" t="s">
        <v>6845</v>
      </c>
      <c r="B546" s="502" t="s">
        <v>7112</v>
      </c>
      <c r="C546" s="502" t="s">
        <v>7113</v>
      </c>
      <c r="D546" s="502" t="s">
        <v>7114</v>
      </c>
      <c r="E546" s="503" t="s">
        <v>2812</v>
      </c>
      <c r="F546" s="502" t="s">
        <v>328</v>
      </c>
      <c r="G546">
        <f>IF(getRGB1($C546)="FFFFFF",0,1)+IF(getRGB1($D546)="FFFFFF",0,2)+IF(getRGB1($E546)="FFFFFF",0,3)+IF(getRGB1($F546)="FFFFFF",0,4)</f>
        <v>3</v>
      </c>
    </row>
    <row r="547" spans="1:7">
      <c r="A547" t="s">
        <v>6845</v>
      </c>
      <c r="B547" s="502" t="s">
        <v>7115</v>
      </c>
      <c r="C547" s="503" t="s">
        <v>7116</v>
      </c>
      <c r="D547" s="502" t="s">
        <v>7117</v>
      </c>
      <c r="E547" s="502" t="s">
        <v>7118</v>
      </c>
      <c r="F547" s="502" t="s">
        <v>7119</v>
      </c>
      <c r="G547">
        <f>IF(getRGB1($C547)="FFFFFF",0,1)+IF(getRGB1($D547)="FFFFFF",0,2)+IF(getRGB1($E547)="FFFFFF",0,3)+IF(getRGB1($F547)="FFFFFF",0,4)</f>
        <v>1</v>
      </c>
    </row>
    <row r="548" spans="1:7">
      <c r="A548" t="s">
        <v>6845</v>
      </c>
      <c r="B548" s="502" t="s">
        <v>7120</v>
      </c>
      <c r="C548" s="502" t="s">
        <v>7121</v>
      </c>
      <c r="D548" s="503" t="s">
        <v>7122</v>
      </c>
      <c r="E548" s="502" t="s">
        <v>7123</v>
      </c>
      <c r="F548" s="502" t="s">
        <v>328</v>
      </c>
      <c r="G548">
        <f>IF(getRGB1($C548)="FFFFFF",0,1)+IF(getRGB1($D548)="FFFFFF",0,2)+IF(getRGB1($E548)="FFFFFF",0,3)+IF(getRGB1($F548)="FFFFFF",0,4)</f>
        <v>2</v>
      </c>
    </row>
    <row r="549" spans="1:7">
      <c r="A549" t="s">
        <v>6845</v>
      </c>
      <c r="B549" s="502" t="s">
        <v>7124</v>
      </c>
      <c r="C549" s="502" t="s">
        <v>7125</v>
      </c>
      <c r="D549" s="503" t="s">
        <v>7126</v>
      </c>
      <c r="E549" s="502" t="s">
        <v>1230</v>
      </c>
      <c r="F549" s="502" t="s">
        <v>328</v>
      </c>
      <c r="G549">
        <f>IF(getRGB1($C549)="FFFFFF",0,1)+IF(getRGB1($D549)="FFFFFF",0,2)+IF(getRGB1($E549)="FFFFFF",0,3)+IF(getRGB1($F549)="FFFFFF",0,4)</f>
        <v>2</v>
      </c>
    </row>
    <row r="550" spans="1:7" ht="30">
      <c r="A550" t="s">
        <v>6845</v>
      </c>
      <c r="B550" s="502" t="s">
        <v>7127</v>
      </c>
      <c r="C550" s="502" t="s">
        <v>7128</v>
      </c>
      <c r="D550" s="502" t="s">
        <v>7129</v>
      </c>
      <c r="E550" s="503" t="s">
        <v>1230</v>
      </c>
      <c r="F550" s="502" t="s">
        <v>328</v>
      </c>
      <c r="G550">
        <f>IF(getRGB1($C550)="FFFFFF",0,1)+IF(getRGB1($D550)="FFFFFF",0,2)+IF(getRGB1($E550)="FFFFFF",0,3)+IF(getRGB1($F550)="FFFFFF",0,4)</f>
        <v>3</v>
      </c>
    </row>
    <row r="551" spans="1:7">
      <c r="A551" t="s">
        <v>6845</v>
      </c>
      <c r="B551" s="502" t="s">
        <v>7130</v>
      </c>
      <c r="C551" s="502" t="s">
        <v>7131</v>
      </c>
      <c r="D551" s="502" t="s">
        <v>7132</v>
      </c>
      <c r="E551" s="503" t="s">
        <v>7133</v>
      </c>
      <c r="F551" s="502" t="s">
        <v>7134</v>
      </c>
      <c r="G551">
        <f>IF(getRGB1($C551)="FFFFFF",0,1)+IF(getRGB1($D551)="FFFFFF",0,2)+IF(getRGB1($E551)="FFFFFF",0,3)+IF(getRGB1($F551)="FFFFFF",0,4)</f>
        <v>3</v>
      </c>
    </row>
    <row r="552" spans="1:7" ht="30">
      <c r="A552" t="s">
        <v>6845</v>
      </c>
      <c r="B552" s="502" t="s">
        <v>7135</v>
      </c>
      <c r="C552" s="502" t="s">
        <v>7136</v>
      </c>
      <c r="D552" s="502" t="s">
        <v>7137</v>
      </c>
      <c r="E552" s="502" t="s">
        <v>2812</v>
      </c>
      <c r="F552" s="503" t="s">
        <v>328</v>
      </c>
      <c r="G552">
        <f>IF(getRGB1($C552)="FFFFFF",0,1)+IF(getRGB1($D552)="FFFFFF",0,2)+IF(getRGB1($E552)="FFFFFF",0,3)+IF(getRGB1($F552)="FFFFFF",0,4)</f>
        <v>4</v>
      </c>
    </row>
    <row r="553" spans="1:7">
      <c r="A553" t="s">
        <v>6845</v>
      </c>
      <c r="B553" s="502" t="s">
        <v>7138</v>
      </c>
      <c r="C553" s="502" t="s">
        <v>7139</v>
      </c>
      <c r="D553" s="503" t="s">
        <v>7140</v>
      </c>
      <c r="E553" s="502" t="s">
        <v>7141</v>
      </c>
      <c r="F553" s="502" t="s">
        <v>7142</v>
      </c>
      <c r="G553">
        <f>IF(getRGB1($C553)="FFFFFF",0,1)+IF(getRGB1($D553)="FFFFFF",0,2)+IF(getRGB1($E553)="FFFFFF",0,3)+IF(getRGB1($F553)="FFFFFF",0,4)</f>
        <v>2</v>
      </c>
    </row>
    <row r="554" spans="1:7" ht="30">
      <c r="A554" t="s">
        <v>6845</v>
      </c>
      <c r="B554" s="502" t="s">
        <v>7143</v>
      </c>
      <c r="C554" s="502" t="s">
        <v>7144</v>
      </c>
      <c r="D554" s="503" t="s">
        <v>7145</v>
      </c>
      <c r="E554" s="502" t="s">
        <v>7146</v>
      </c>
      <c r="F554" s="502" t="s">
        <v>328</v>
      </c>
      <c r="G554">
        <f>IF(getRGB1($C554)="FFFFFF",0,1)+IF(getRGB1($D554)="FFFFFF",0,2)+IF(getRGB1($E554)="FFFFFF",0,3)+IF(getRGB1($F554)="FFFFFF",0,4)</f>
        <v>2</v>
      </c>
    </row>
    <row r="555" spans="1:7">
      <c r="A555" t="s">
        <v>6845</v>
      </c>
      <c r="B555" s="502" t="s">
        <v>7147</v>
      </c>
      <c r="C555" s="502" t="s">
        <v>7148</v>
      </c>
      <c r="D555" s="502" t="s">
        <v>7149</v>
      </c>
      <c r="E555" s="503" t="s">
        <v>2812</v>
      </c>
      <c r="F555" s="502" t="s">
        <v>328</v>
      </c>
      <c r="G555">
        <f>IF(getRGB1($C555)="FFFFFF",0,1)+IF(getRGB1($D555)="FFFFFF",0,2)+IF(getRGB1($E555)="FFFFFF",0,3)+IF(getRGB1($F555)="FFFFFF",0,4)</f>
        <v>3</v>
      </c>
    </row>
    <row r="556" spans="1:7" ht="30">
      <c r="A556" t="s">
        <v>7150</v>
      </c>
      <c r="B556" s="502" t="s">
        <v>7151</v>
      </c>
      <c r="C556" s="503" t="s">
        <v>7152</v>
      </c>
      <c r="D556" s="502" t="s">
        <v>7153</v>
      </c>
      <c r="E556" s="502" t="s">
        <v>7154</v>
      </c>
      <c r="F556" s="502" t="s">
        <v>7155</v>
      </c>
      <c r="G556">
        <f>IF(getRGB1($C556)="FFFFFF",0,1)+IF(getRGB1($D556)="FFFFFF",0,2)+IF(getRGB1($E556)="FFFFFF",0,3)+IF(getRGB1($F556)="FFFFFF",0,4)</f>
        <v>1</v>
      </c>
    </row>
    <row r="557" spans="1:7" ht="30">
      <c r="A557" t="s">
        <v>7150</v>
      </c>
      <c r="B557" s="502" t="s">
        <v>7156</v>
      </c>
      <c r="C557" s="503" t="s">
        <v>7157</v>
      </c>
      <c r="D557" s="502" t="s">
        <v>7158</v>
      </c>
      <c r="E557" s="502" t="s">
        <v>7154</v>
      </c>
      <c r="F557" s="502" t="s">
        <v>7155</v>
      </c>
      <c r="G557">
        <f>IF(getRGB1($C557)="FFFFFF",0,1)+IF(getRGB1($D557)="FFFFFF",0,2)+IF(getRGB1($E557)="FFFFFF",0,3)+IF(getRGB1($F557)="FFFFFF",0,4)</f>
        <v>1</v>
      </c>
    </row>
    <row r="558" spans="1:7" ht="45">
      <c r="A558" t="s">
        <v>7150</v>
      </c>
      <c r="B558" s="502" t="s">
        <v>7159</v>
      </c>
      <c r="C558" s="503" t="s">
        <v>7160</v>
      </c>
      <c r="D558" s="502" t="s">
        <v>7161</v>
      </c>
      <c r="E558" s="502" t="s">
        <v>7162</v>
      </c>
      <c r="F558" s="502" t="s">
        <v>7163</v>
      </c>
      <c r="G558">
        <f>IF(getRGB1($C558)="FFFFFF",0,1)+IF(getRGB1($D558)="FFFFFF",0,2)+IF(getRGB1($E558)="FFFFFF",0,3)+IF(getRGB1($F558)="FFFFFF",0,4)</f>
        <v>1</v>
      </c>
    </row>
    <row r="559" spans="1:7" ht="30">
      <c r="A559" t="s">
        <v>7150</v>
      </c>
      <c r="B559" s="502" t="s">
        <v>7164</v>
      </c>
      <c r="C559" s="502">
        <v>0.23</v>
      </c>
      <c r="D559" s="502">
        <v>0.87</v>
      </c>
      <c r="E559" s="503">
        <v>0.19</v>
      </c>
      <c r="F559" s="502">
        <v>0.1</v>
      </c>
      <c r="G559">
        <f>IF(getRGB1($C559)="FFFFFF",0,1)+IF(getRGB1($D559)="FFFFFF",0,2)+IF(getRGB1($E559)="FFFFFF",0,3)+IF(getRGB1($F559)="FFFFFF",0,4)</f>
        <v>3</v>
      </c>
    </row>
    <row r="560" spans="1:7" ht="45">
      <c r="A560" t="s">
        <v>7150</v>
      </c>
      <c r="B560" s="502" t="s">
        <v>7165</v>
      </c>
      <c r="C560" s="502" t="s">
        <v>7166</v>
      </c>
      <c r="D560" s="503" t="s">
        <v>7167</v>
      </c>
      <c r="E560" s="502" t="s">
        <v>7168</v>
      </c>
      <c r="F560" s="502" t="s">
        <v>7169</v>
      </c>
      <c r="G560">
        <f>IF(getRGB1($C560)="FFFFFF",0,1)+IF(getRGB1($D560)="FFFFFF",0,2)+IF(getRGB1($E560)="FFFFFF",0,3)+IF(getRGB1($F560)="FFFFFF",0,4)</f>
        <v>2</v>
      </c>
    </row>
    <row r="561" spans="1:7" ht="30">
      <c r="A561" t="s">
        <v>7150</v>
      </c>
      <c r="B561" s="502" t="s">
        <v>7170</v>
      </c>
      <c r="C561" s="503" t="s">
        <v>7171</v>
      </c>
      <c r="D561" s="502" t="s">
        <v>7172</v>
      </c>
      <c r="E561" s="502" t="s">
        <v>7173</v>
      </c>
      <c r="F561" s="502" t="s">
        <v>7174</v>
      </c>
      <c r="G561">
        <f>IF(getRGB1($C561)="FFFFFF",0,1)+IF(getRGB1($D561)="FFFFFF",0,2)+IF(getRGB1($E561)="FFFFFF",0,3)+IF(getRGB1($F561)="FFFFFF",0,4)</f>
        <v>1</v>
      </c>
    </row>
    <row r="562" spans="1:7" ht="45">
      <c r="A562" t="s">
        <v>7150</v>
      </c>
      <c r="B562" s="502" t="s">
        <v>7175</v>
      </c>
      <c r="C562" s="503" t="s">
        <v>7176</v>
      </c>
      <c r="D562" s="502" t="s">
        <v>7177</v>
      </c>
      <c r="E562" s="502" t="s">
        <v>7161</v>
      </c>
      <c r="F562" s="502" t="s">
        <v>7174</v>
      </c>
      <c r="G562">
        <f>IF(getRGB1($C562)="FFFFFF",0,1)+IF(getRGB1($D562)="FFFFFF",0,2)+IF(getRGB1($E562)="FFFFFF",0,3)+IF(getRGB1($F562)="FFFFFF",0,4)</f>
        <v>1</v>
      </c>
    </row>
    <row r="563" spans="1:7" ht="30">
      <c r="A563" t="s">
        <v>7150</v>
      </c>
      <c r="B563" s="502" t="s">
        <v>7178</v>
      </c>
      <c r="C563" s="502" t="s">
        <v>7179</v>
      </c>
      <c r="D563" s="503" t="s">
        <v>7180</v>
      </c>
      <c r="E563" s="502" t="s">
        <v>7181</v>
      </c>
      <c r="F563" s="502" t="s">
        <v>7182</v>
      </c>
      <c r="G563">
        <f>IF(getRGB1($C563)="FFFFFF",0,1)+IF(getRGB1($D563)="FFFFFF",0,2)+IF(getRGB1($E563)="FFFFFF",0,3)+IF(getRGB1($F563)="FFFFFF",0,4)</f>
        <v>2</v>
      </c>
    </row>
    <row r="564" spans="1:7" ht="30">
      <c r="A564" t="s">
        <v>7150</v>
      </c>
      <c r="B564" s="502" t="s">
        <v>7183</v>
      </c>
      <c r="C564" s="503" t="s">
        <v>7184</v>
      </c>
      <c r="D564" s="502" t="s">
        <v>7185</v>
      </c>
      <c r="E564" s="502" t="s">
        <v>7186</v>
      </c>
      <c r="F564" s="683" t="s">
        <v>7187</v>
      </c>
      <c r="G564">
        <f>IF(getRGB1($C564)="FFFFFF",0,1)+IF(getRGB1($D564)="FFFFFF",0,2)+IF(getRGB1($E564)="FFFFFF",0,3)+IF(getRGB1($F564)="FFFFFF",0,4)</f>
        <v>1</v>
      </c>
    </row>
    <row r="565" spans="1:7" ht="30">
      <c r="A565" t="s">
        <v>7150</v>
      </c>
      <c r="B565" s="502" t="s">
        <v>7188</v>
      </c>
      <c r="C565" s="503" t="s">
        <v>7189</v>
      </c>
      <c r="D565" s="502" t="s">
        <v>7190</v>
      </c>
      <c r="E565" s="502" t="s">
        <v>7191</v>
      </c>
      <c r="F565" s="502" t="s">
        <v>66</v>
      </c>
      <c r="G565">
        <f>IF(getRGB1($C565)="FFFFFF",0,1)+IF(getRGB1($D565)="FFFFFF",0,2)+IF(getRGB1($E565)="FFFFFF",0,3)+IF(getRGB1($F565)="FFFFFF",0,4)</f>
        <v>1</v>
      </c>
    </row>
    <row r="566" spans="1:7" ht="45">
      <c r="A566" t="s">
        <v>7150</v>
      </c>
      <c r="B566" s="502" t="s">
        <v>7192</v>
      </c>
      <c r="C566" s="502" t="s">
        <v>7193</v>
      </c>
      <c r="D566" s="503" t="s">
        <v>7194</v>
      </c>
      <c r="E566" s="502" t="s">
        <v>7195</v>
      </c>
      <c r="F566" s="502" t="s">
        <v>7196</v>
      </c>
      <c r="G566">
        <f>IF(getRGB1($C566)="FFFFFF",0,1)+IF(getRGB1($D566)="FFFFFF",0,2)+IF(getRGB1($E566)="FFFFFF",0,3)+IF(getRGB1($F566)="FFFFFF",0,4)</f>
        <v>2</v>
      </c>
    </row>
    <row r="567" spans="1:7" ht="30">
      <c r="A567" t="s">
        <v>7150</v>
      </c>
      <c r="B567" s="502" t="s">
        <v>7197</v>
      </c>
      <c r="C567" s="502" t="s">
        <v>7198</v>
      </c>
      <c r="D567" s="502" t="s">
        <v>7199</v>
      </c>
      <c r="E567" s="503" t="s">
        <v>7200</v>
      </c>
      <c r="F567" s="502" t="s">
        <v>7201</v>
      </c>
      <c r="G567">
        <f>IF(getRGB1($C567)="FFFFFF",0,1)+IF(getRGB1($D567)="FFFFFF",0,2)+IF(getRGB1($E567)="FFFFFF",0,3)+IF(getRGB1($F567)="FFFFFF",0,4)</f>
        <v>3</v>
      </c>
    </row>
    <row r="568" spans="1:7" ht="60">
      <c r="A568" t="s">
        <v>7150</v>
      </c>
      <c r="B568" s="502" t="s">
        <v>7202</v>
      </c>
      <c r="C568" s="502" t="s">
        <v>7203</v>
      </c>
      <c r="D568" s="503" t="s">
        <v>7204</v>
      </c>
      <c r="E568" s="502" t="s">
        <v>7205</v>
      </c>
      <c r="F568" s="502" t="s">
        <v>61</v>
      </c>
      <c r="G568">
        <f>IF(getRGB1($C568)="FFFFFF",0,1)+IF(getRGB1($D568)="FFFFFF",0,2)+IF(getRGB1($E568)="FFFFFF",0,3)+IF(getRGB1($F568)="FFFFFF",0,4)</f>
        <v>2</v>
      </c>
    </row>
    <row r="569" spans="1:7" ht="30">
      <c r="A569" t="s">
        <v>7150</v>
      </c>
      <c r="B569" s="502" t="s">
        <v>7206</v>
      </c>
      <c r="C569" s="503" t="s">
        <v>7207</v>
      </c>
      <c r="D569" s="502" t="s">
        <v>7208</v>
      </c>
      <c r="E569" s="502" t="s">
        <v>7209</v>
      </c>
      <c r="F569" s="502" t="s">
        <v>61</v>
      </c>
      <c r="G569">
        <f>IF(getRGB1($C569)="FFFFFF",0,1)+IF(getRGB1($D569)="FFFFFF",0,2)+IF(getRGB1($E569)="FFFFFF",0,3)+IF(getRGB1($F569)="FFFFFF",0,4)</f>
        <v>1</v>
      </c>
    </row>
    <row r="570" spans="1:7">
      <c r="A570" t="s">
        <v>7150</v>
      </c>
      <c r="B570" s="502" t="s">
        <v>7210</v>
      </c>
      <c r="C570" s="502" t="s">
        <v>7211</v>
      </c>
      <c r="D570" s="502" t="s">
        <v>7212</v>
      </c>
      <c r="E570" s="503" t="s">
        <v>7213</v>
      </c>
      <c r="F570" s="502" t="s">
        <v>1000</v>
      </c>
      <c r="G570">
        <f>IF(getRGB1($C570)="FFFFFF",0,1)+IF(getRGB1($D570)="FFFFFF",0,2)+IF(getRGB1($E570)="FFFFFF",0,3)+IF(getRGB1($F570)="FFFFFF",0,4)</f>
        <v>3</v>
      </c>
    </row>
    <row r="571" spans="1:7" ht="45">
      <c r="A571" t="s">
        <v>7150</v>
      </c>
      <c r="B571" s="502" t="s">
        <v>7214</v>
      </c>
      <c r="C571" s="502" t="s">
        <v>7215</v>
      </c>
      <c r="D571" s="502" t="s">
        <v>7216</v>
      </c>
      <c r="E571" s="503" t="s">
        <v>7217</v>
      </c>
      <c r="F571" s="502" t="s">
        <v>7218</v>
      </c>
      <c r="G571">
        <f>IF(getRGB1($C571)="FFFFFF",0,1)+IF(getRGB1($D571)="FFFFFF",0,2)+IF(getRGB1($E571)="FFFFFF",0,3)+IF(getRGB1($F571)="FFFFFF",0,4)</f>
        <v>3</v>
      </c>
    </row>
    <row r="572" spans="1:7" ht="75">
      <c r="A572" t="s">
        <v>7150</v>
      </c>
      <c r="B572" s="502" t="s">
        <v>7219</v>
      </c>
      <c r="C572" s="502" t="s">
        <v>7082</v>
      </c>
      <c r="D572" s="502" t="s">
        <v>7220</v>
      </c>
      <c r="E572" s="503" t="s">
        <v>7221</v>
      </c>
      <c r="F572" s="502" t="s">
        <v>61</v>
      </c>
      <c r="G572">
        <f>IF(getRGB1($C572)="FFFFFF",0,1)+IF(getRGB1($D572)="FFFFFF",0,2)+IF(getRGB1($E572)="FFFFFF",0,3)+IF(getRGB1($F572)="FFFFFF",0,4)</f>
        <v>3</v>
      </c>
    </row>
    <row r="573" spans="1:7">
      <c r="A573" t="s">
        <v>7150</v>
      </c>
      <c r="B573" s="502" t="s">
        <v>7222</v>
      </c>
      <c r="C573" s="502" t="s">
        <v>7223</v>
      </c>
      <c r="D573" s="503" t="s">
        <v>7224</v>
      </c>
      <c r="E573" s="502" t="s">
        <v>7225</v>
      </c>
      <c r="F573" s="502" t="s">
        <v>209</v>
      </c>
      <c r="G573">
        <f>IF(getRGB1($C573)="FFFFFF",0,1)+IF(getRGB1($D573)="FFFFFF",0,2)+IF(getRGB1($E573)="FFFFFF",0,3)+IF(getRGB1($F573)="FFFFFF",0,4)</f>
        <v>2</v>
      </c>
    </row>
    <row r="574" spans="1:7" ht="30">
      <c r="A574" t="s">
        <v>7150</v>
      </c>
      <c r="B574" s="502" t="s">
        <v>7226</v>
      </c>
      <c r="C574" s="502" t="s">
        <v>7227</v>
      </c>
      <c r="D574" s="503" t="s">
        <v>7228</v>
      </c>
      <c r="E574" s="502" t="s">
        <v>7225</v>
      </c>
      <c r="F574" s="502" t="s">
        <v>209</v>
      </c>
      <c r="G574">
        <f>IF(getRGB1($C574)="FFFFFF",0,1)+IF(getRGB1($D574)="FFFFFF",0,2)+IF(getRGB1($E574)="FFFFFF",0,3)+IF(getRGB1($F574)="FFFFFF",0,4)</f>
        <v>2</v>
      </c>
    </row>
    <row r="575" spans="1:7" ht="30">
      <c r="A575" t="s">
        <v>7150</v>
      </c>
      <c r="B575" s="502" t="s">
        <v>7229</v>
      </c>
      <c r="C575" s="503" t="s">
        <v>7224</v>
      </c>
      <c r="D575" s="502" t="s">
        <v>7223</v>
      </c>
      <c r="E575" s="502" t="s">
        <v>7191</v>
      </c>
      <c r="F575" s="502" t="s">
        <v>7230</v>
      </c>
      <c r="G575">
        <f>IF(getRGB1($C575)="FFFFFF",0,1)+IF(getRGB1($D575)="FFFFFF",0,2)+IF(getRGB1($E575)="FFFFFF",0,3)+IF(getRGB1($F575)="FFFFFF",0,4)</f>
        <v>1</v>
      </c>
    </row>
    <row r="576" spans="1:7">
      <c r="A576" t="s">
        <v>7150</v>
      </c>
      <c r="B576" s="502" t="s">
        <v>7231</v>
      </c>
      <c r="C576" s="502" t="s">
        <v>7232</v>
      </c>
      <c r="D576" s="503" t="s">
        <v>7233</v>
      </c>
      <c r="E576" s="502" t="s">
        <v>7234</v>
      </c>
      <c r="F576" s="502" t="s">
        <v>61</v>
      </c>
      <c r="G576">
        <f>IF(getRGB1($C576)="FFFFFF",0,1)+IF(getRGB1($D576)="FFFFFF",0,2)+IF(getRGB1($E576)="FFFFFF",0,3)+IF(getRGB1($F576)="FFFFFF",0,4)</f>
        <v>2</v>
      </c>
    </row>
    <row r="577" spans="1:7" ht="30">
      <c r="A577" t="s">
        <v>7150</v>
      </c>
      <c r="B577" s="502" t="s">
        <v>7235</v>
      </c>
      <c r="C577" s="503" t="s">
        <v>7236</v>
      </c>
      <c r="D577" s="502" t="s">
        <v>7237</v>
      </c>
      <c r="E577" s="502" t="s">
        <v>7238</v>
      </c>
      <c r="F577" s="502" t="s">
        <v>61</v>
      </c>
      <c r="G577">
        <f>IF(getRGB1($C577)="FFFFFF",0,1)+IF(getRGB1($D577)="FFFFFF",0,2)+IF(getRGB1($E577)="FFFFFF",0,3)+IF(getRGB1($F577)="FFFFFF",0,4)</f>
        <v>1</v>
      </c>
    </row>
    <row r="578" spans="1:7">
      <c r="A578" t="s">
        <v>7150</v>
      </c>
      <c r="B578" s="502" t="s">
        <v>7239</v>
      </c>
      <c r="C578" s="503" t="s">
        <v>7240</v>
      </c>
      <c r="D578" s="502" t="s">
        <v>7241</v>
      </c>
      <c r="E578" s="502" t="s">
        <v>7242</v>
      </c>
      <c r="F578" s="502" t="s">
        <v>61</v>
      </c>
      <c r="G578">
        <f>IF(getRGB1($C578)="FFFFFF",0,1)+IF(getRGB1($D578)="FFFFFF",0,2)+IF(getRGB1($E578)="FFFFFF",0,3)+IF(getRGB1($F578)="FFFFFF",0,4)</f>
        <v>1</v>
      </c>
    </row>
    <row r="579" spans="1:7" ht="30">
      <c r="A579" t="s">
        <v>7150</v>
      </c>
      <c r="B579" s="502" t="s">
        <v>7243</v>
      </c>
      <c r="C579" s="502" t="s">
        <v>7244</v>
      </c>
      <c r="D579" s="503" t="s">
        <v>7245</v>
      </c>
      <c r="E579" s="502" t="s">
        <v>7246</v>
      </c>
      <c r="F579" s="502" t="s">
        <v>61</v>
      </c>
      <c r="G579">
        <f>IF(getRGB1($C579)="FFFFFF",0,1)+IF(getRGB1($D579)="FFFFFF",0,2)+IF(getRGB1($E579)="FFFFFF",0,3)+IF(getRGB1($F579)="FFFFFF",0,4)</f>
        <v>2</v>
      </c>
    </row>
    <row r="580" spans="1:7" ht="30">
      <c r="A580" t="s">
        <v>7150</v>
      </c>
      <c r="B580" s="502" t="s">
        <v>7247</v>
      </c>
      <c r="C580" s="502" t="s">
        <v>7248</v>
      </c>
      <c r="D580" s="502" t="s">
        <v>7249</v>
      </c>
      <c r="E580" s="503" t="s">
        <v>2812</v>
      </c>
      <c r="F580" s="502" t="s">
        <v>328</v>
      </c>
      <c r="G580">
        <f>IF(getRGB1($C580)="FFFFFF",0,1)+IF(getRGB1($D580)="FFFFFF",0,2)+IF(getRGB1($E580)="FFFFFF",0,3)+IF(getRGB1($F580)="FFFFFF",0,4)</f>
        <v>3</v>
      </c>
    </row>
    <row r="581" spans="1:7" ht="30">
      <c r="A581" t="s">
        <v>7150</v>
      </c>
      <c r="B581" s="502" t="s">
        <v>7250</v>
      </c>
      <c r="C581" s="503" t="s">
        <v>7251</v>
      </c>
      <c r="D581" s="502" t="s">
        <v>7252</v>
      </c>
      <c r="E581" s="502" t="s">
        <v>7253</v>
      </c>
      <c r="F581" s="502" t="s">
        <v>7254</v>
      </c>
      <c r="G581">
        <f>IF(getRGB1($C581)="FFFFFF",0,1)+IF(getRGB1($D581)="FFFFFF",0,2)+IF(getRGB1($E581)="FFFFFF",0,3)+IF(getRGB1($F581)="FFFFFF",0,4)</f>
        <v>1</v>
      </c>
    </row>
    <row r="582" spans="1:7">
      <c r="A582" t="s">
        <v>7150</v>
      </c>
      <c r="B582" s="502" t="s">
        <v>7255</v>
      </c>
      <c r="C582" s="683" t="s">
        <v>7256</v>
      </c>
      <c r="D582" s="502" t="s">
        <v>7257</v>
      </c>
      <c r="E582" s="503" t="s">
        <v>7258</v>
      </c>
      <c r="F582" s="502" t="s">
        <v>7259</v>
      </c>
      <c r="G582">
        <f>IF(getRGB1($C582)="FFFFFF",0,1)+IF(getRGB1($D582)="FFFFFF",0,2)+IF(getRGB1($E582)="FFFFFF",0,3)+IF(getRGB1($F582)="FFFFFF",0,4)</f>
        <v>3</v>
      </c>
    </row>
    <row r="583" spans="1:7" ht="30">
      <c r="A583" t="s">
        <v>7150</v>
      </c>
      <c r="B583" s="502" t="s">
        <v>7260</v>
      </c>
      <c r="C583" s="502" t="s">
        <v>7261</v>
      </c>
      <c r="D583" s="502" t="s">
        <v>7262</v>
      </c>
      <c r="E583" s="503" t="s">
        <v>7263</v>
      </c>
      <c r="F583" s="502" t="s">
        <v>7264</v>
      </c>
      <c r="G583">
        <f>IF(getRGB1($C583)="FFFFFF",0,1)+IF(getRGB1($D583)="FFFFFF",0,2)+IF(getRGB1($E583)="FFFFFF",0,3)+IF(getRGB1($F583)="FFFFFF",0,4)</f>
        <v>3</v>
      </c>
    </row>
    <row r="584" spans="1:7" ht="30">
      <c r="A584" t="s">
        <v>7150</v>
      </c>
      <c r="B584" s="502" t="s">
        <v>7265</v>
      </c>
      <c r="C584" s="502" t="s">
        <v>7266</v>
      </c>
      <c r="D584" s="503" t="s">
        <v>7267</v>
      </c>
      <c r="E584" s="502" t="s">
        <v>7268</v>
      </c>
      <c r="F584" s="502" t="s">
        <v>7269</v>
      </c>
      <c r="G584">
        <f>IF(getRGB1($C584)="FFFFFF",0,1)+IF(getRGB1($D584)="FFFFFF",0,2)+IF(getRGB1($E584)="FFFFFF",0,3)+IF(getRGB1($F584)="FFFFFF",0,4)</f>
        <v>2</v>
      </c>
    </row>
    <row r="585" spans="1:7" ht="45">
      <c r="A585" t="s">
        <v>7150</v>
      </c>
      <c r="B585" s="502" t="s">
        <v>7270</v>
      </c>
      <c r="C585" s="502">
        <v>30</v>
      </c>
      <c r="D585" s="502">
        <v>20</v>
      </c>
      <c r="E585" s="503">
        <v>15</v>
      </c>
      <c r="F585" s="502">
        <v>150</v>
      </c>
      <c r="G585">
        <f>IF(getRGB1($C585)="FFFFFF",0,1)+IF(getRGB1($D585)="FFFFFF",0,2)+IF(getRGB1($E585)="FFFFFF",0,3)+IF(getRGB1($F585)="FFFFFF",0,4)</f>
        <v>3</v>
      </c>
    </row>
    <row r="586" spans="1:7" ht="26.25">
      <c r="A586" t="s">
        <v>7150</v>
      </c>
      <c r="B586" s="509" t="s">
        <v>7271</v>
      </c>
      <c r="C586" s="509">
        <v>50</v>
      </c>
      <c r="D586" s="509">
        <v>51.5</v>
      </c>
      <c r="E586" s="509">
        <v>53</v>
      </c>
      <c r="F586" s="509">
        <v>55</v>
      </c>
      <c r="G586">
        <f>IF(getRGB1($C586)="FFFFFF",0,1)+IF(getRGB1($D586)="FFFFFF",0,2)+IF(getRGB1($E586)="FFFFFF",0,3)+IF(getRGB1($F586)="FFFFFF",0,4)</f>
        <v>0</v>
      </c>
    </row>
    <row r="587" spans="1:7" ht="30">
      <c r="A587" t="s">
        <v>7150</v>
      </c>
      <c r="B587" s="502" t="s">
        <v>7272</v>
      </c>
      <c r="C587" s="502" t="s">
        <v>6995</v>
      </c>
      <c r="D587" s="502" t="s">
        <v>7273</v>
      </c>
      <c r="E587" s="503" t="s">
        <v>7274</v>
      </c>
      <c r="F587" s="502" t="s">
        <v>7275</v>
      </c>
      <c r="G587">
        <f>IF(getRGB1($C587)="FFFFFF",0,1)+IF(getRGB1($D587)="FFFFFF",0,2)+IF(getRGB1($E587)="FFFFFF",0,3)+IF(getRGB1($F587)="FFFFFF",0,4)</f>
        <v>3</v>
      </c>
    </row>
    <row r="588" spans="1:7">
      <c r="A588" t="s">
        <v>7150</v>
      </c>
      <c r="B588" s="502" t="s">
        <v>7276</v>
      </c>
      <c r="C588" s="503" t="s">
        <v>7277</v>
      </c>
      <c r="D588" s="502" t="s">
        <v>7278</v>
      </c>
      <c r="E588" s="502" t="s">
        <v>7279</v>
      </c>
      <c r="F588" s="502" t="s">
        <v>296</v>
      </c>
      <c r="G588">
        <f>IF(getRGB1($C588)="FFFFFF",0,1)+IF(getRGB1($D588)="FFFFFF",0,2)+IF(getRGB1($E588)="FFFFFF",0,3)+IF(getRGB1($F588)="FFFFFF",0,4)</f>
        <v>1</v>
      </c>
    </row>
    <row r="589" spans="1:7">
      <c r="A589" t="s">
        <v>7150</v>
      </c>
      <c r="B589" s="502" t="s">
        <v>7280</v>
      </c>
      <c r="C589" s="502" t="s">
        <v>7281</v>
      </c>
      <c r="D589" s="502" t="s">
        <v>7282</v>
      </c>
      <c r="E589" s="502" t="s">
        <v>7283</v>
      </c>
      <c r="F589" s="503" t="s">
        <v>7284</v>
      </c>
      <c r="G589">
        <f>IF(getRGB1($C589)="FFFFFF",0,1)+IF(getRGB1($D589)="FFFFFF",0,2)+IF(getRGB1($E589)="FFFFFF",0,3)+IF(getRGB1($F589)="FFFFFF",0,4)</f>
        <v>4</v>
      </c>
    </row>
    <row r="590" spans="1:7" ht="30">
      <c r="A590" t="s">
        <v>7150</v>
      </c>
      <c r="B590" s="676" t="s">
        <v>7285</v>
      </c>
      <c r="C590" s="676" t="s">
        <v>7286</v>
      </c>
      <c r="D590" s="676" t="s">
        <v>7287</v>
      </c>
      <c r="E590" s="684" t="s">
        <v>7288</v>
      </c>
      <c r="F590" s="685" t="s">
        <v>1000</v>
      </c>
      <c r="G590">
        <f>IF(getRGB1($C590)="FFFFFF",0,1)+IF(getRGB1($D590)="FFFFFF",0,2)+IF(getRGB1($E590)="FFFFFF",0,3)+IF(getRGB1($F590)="FFFFFF",0,4)</f>
        <v>4</v>
      </c>
    </row>
    <row r="591" spans="1:7" ht="30">
      <c r="A591" t="s">
        <v>7150</v>
      </c>
      <c r="B591" s="502" t="s">
        <v>7289</v>
      </c>
      <c r="C591" s="502" t="s">
        <v>7290</v>
      </c>
      <c r="D591" s="503" t="s">
        <v>7291</v>
      </c>
      <c r="E591" s="502" t="s">
        <v>7292</v>
      </c>
      <c r="F591" s="502" t="s">
        <v>7293</v>
      </c>
      <c r="G591">
        <f>IF(getRGB1($C591)="FFFFFF",0,1)+IF(getRGB1($D591)="FFFFFF",0,2)+IF(getRGB1($E591)="FFFFFF",0,3)+IF(getRGB1($F591)="FFFFFF",0,4)</f>
        <v>2</v>
      </c>
    </row>
    <row r="592" spans="1:7" ht="60">
      <c r="A592" t="s">
        <v>7150</v>
      </c>
      <c r="B592" s="502" t="s">
        <v>7294</v>
      </c>
      <c r="C592" s="503" t="s">
        <v>7295</v>
      </c>
      <c r="D592" s="502" t="s">
        <v>7296</v>
      </c>
      <c r="E592" s="502" t="s">
        <v>7297</v>
      </c>
      <c r="F592" s="502" t="s">
        <v>7298</v>
      </c>
      <c r="G592">
        <f>IF(getRGB1($C592)="FFFFFF",0,1)+IF(getRGB1($D592)="FFFFFF",0,2)+IF(getRGB1($E592)="FFFFFF",0,3)+IF(getRGB1($F592)="FFFFFF",0,4)</f>
        <v>1</v>
      </c>
    </row>
    <row r="593" spans="1:7" ht="30">
      <c r="A593" t="s">
        <v>7150</v>
      </c>
      <c r="B593" s="502" t="s">
        <v>7299</v>
      </c>
      <c r="C593" s="503" t="s">
        <v>7300</v>
      </c>
      <c r="D593" s="502" t="s">
        <v>7301</v>
      </c>
      <c r="E593" s="502" t="s">
        <v>7302</v>
      </c>
      <c r="F593" s="502" t="s">
        <v>7303</v>
      </c>
      <c r="G593">
        <f>IF(getRGB1($C593)="FFFFFF",0,1)+IF(getRGB1($D593)="FFFFFF",0,2)+IF(getRGB1($E593)="FFFFFF",0,3)+IF(getRGB1($F593)="FFFFFF",0,4)</f>
        <v>1</v>
      </c>
    </row>
    <row r="594" spans="1:7">
      <c r="A594" t="s">
        <v>7150</v>
      </c>
      <c r="B594" s="502" t="s">
        <v>7304</v>
      </c>
      <c r="C594" s="503" t="s">
        <v>7305</v>
      </c>
      <c r="D594" s="502" t="s">
        <v>7306</v>
      </c>
      <c r="E594" s="502" t="s">
        <v>7307</v>
      </c>
      <c r="F594" s="502" t="s">
        <v>1363</v>
      </c>
      <c r="G594">
        <f>IF(getRGB1($C594)="FFFFFF",0,1)+IF(getRGB1($D594)="FFFFFF",0,2)+IF(getRGB1($E594)="FFFFFF",0,3)+IF(getRGB1($F594)="FFFFFF",0,4)</f>
        <v>1</v>
      </c>
    </row>
    <row r="595" spans="1:7">
      <c r="A595" t="s">
        <v>7150</v>
      </c>
      <c r="B595" s="502" t="s">
        <v>7308</v>
      </c>
      <c r="C595" s="502" t="s">
        <v>7309</v>
      </c>
      <c r="D595" s="502" t="s">
        <v>7282</v>
      </c>
      <c r="E595" s="503" t="s">
        <v>156</v>
      </c>
      <c r="F595" s="502" t="s">
        <v>7310</v>
      </c>
      <c r="G595">
        <f>IF(getRGB1($C595)="FFFFFF",0,1)+IF(getRGB1($D595)="FFFFFF",0,2)+IF(getRGB1($E595)="FFFFFF",0,3)+IF(getRGB1($F595)="FFFFFF",0,4)</f>
        <v>3</v>
      </c>
    </row>
    <row r="596" spans="1:7">
      <c r="A596" t="s">
        <v>7150</v>
      </c>
      <c r="B596" s="502" t="s">
        <v>7311</v>
      </c>
      <c r="C596" s="502" t="s">
        <v>7312</v>
      </c>
      <c r="D596" s="503" t="s">
        <v>7313</v>
      </c>
      <c r="E596" s="502" t="s">
        <v>7314</v>
      </c>
      <c r="F596" s="502" t="s">
        <v>7315</v>
      </c>
      <c r="G596">
        <f>IF(getRGB1($C596)="FFFFFF",0,1)+IF(getRGB1($D596)="FFFFFF",0,2)+IF(getRGB1($E596)="FFFFFF",0,3)+IF(getRGB1($F596)="FFFFFF",0,4)</f>
        <v>2</v>
      </c>
    </row>
    <row r="597" spans="1:7">
      <c r="A597" t="s">
        <v>7150</v>
      </c>
      <c r="B597" s="502" t="s">
        <v>7316</v>
      </c>
      <c r="C597" s="503" t="s">
        <v>7317</v>
      </c>
      <c r="D597" s="502" t="s">
        <v>7318</v>
      </c>
      <c r="E597" s="502" t="s">
        <v>7319</v>
      </c>
      <c r="F597" s="502" t="s">
        <v>7320</v>
      </c>
      <c r="G597">
        <f>IF(getRGB1($C597)="FFFFFF",0,1)+IF(getRGB1($D597)="FFFFFF",0,2)+IF(getRGB1($E597)="FFFFFF",0,3)+IF(getRGB1($F597)="FFFFFF",0,4)</f>
        <v>1</v>
      </c>
    </row>
    <row r="598" spans="1:7" ht="30">
      <c r="A598" t="s">
        <v>7150</v>
      </c>
      <c r="B598" s="676" t="s">
        <v>7321</v>
      </c>
      <c r="C598" s="676" t="s">
        <v>7322</v>
      </c>
      <c r="D598" s="676" t="s">
        <v>7323</v>
      </c>
      <c r="E598" s="685" t="s">
        <v>7324</v>
      </c>
      <c r="F598" s="676" t="s">
        <v>3406</v>
      </c>
      <c r="G598">
        <f>IF(getRGB1($C598)="FFFFFF",0,1)+IF(getRGB1($D598)="FFFFFF",0,2)+IF(getRGB1($E598)="FFFFFF",0,3)+IF(getRGB1($F598)="FFFFFF",0,4)</f>
        <v>3</v>
      </c>
    </row>
    <row r="599" spans="1:7" ht="30">
      <c r="A599" t="s">
        <v>7150</v>
      </c>
      <c r="B599" s="502" t="s">
        <v>7325</v>
      </c>
      <c r="C599" s="502" t="s">
        <v>7324</v>
      </c>
      <c r="D599" s="502" t="s">
        <v>7326</v>
      </c>
      <c r="E599" s="503" t="s">
        <v>7327</v>
      </c>
      <c r="F599" s="502" t="s">
        <v>7328</v>
      </c>
      <c r="G599">
        <f>IF(getRGB1($C599)="FFFFFF",0,1)+IF(getRGB1($D599)="FFFFFF",0,2)+IF(getRGB1($E599)="FFFFFF",0,3)+IF(getRGB1($F599)="FFFFFF",0,4)</f>
        <v>3</v>
      </c>
    </row>
    <row r="600" spans="1:7" ht="45">
      <c r="A600" t="s">
        <v>7150</v>
      </c>
      <c r="B600" s="502" t="s">
        <v>7329</v>
      </c>
      <c r="C600" s="502" t="s">
        <v>7330</v>
      </c>
      <c r="D600" s="502" t="s">
        <v>7331</v>
      </c>
      <c r="E600" s="503" t="s">
        <v>7332</v>
      </c>
      <c r="F600" s="502" t="s">
        <v>7333</v>
      </c>
      <c r="G600">
        <f>IF(getRGB1($C600)="FFFFFF",0,1)+IF(getRGB1($D600)="FFFFFF",0,2)+IF(getRGB1($E600)="FFFFFF",0,3)+IF(getRGB1($F600)="FFFFFF",0,4)</f>
        <v>3</v>
      </c>
    </row>
    <row r="601" spans="1:7">
      <c r="A601" t="s">
        <v>7150</v>
      </c>
      <c r="B601" s="502" t="s">
        <v>7334</v>
      </c>
      <c r="C601" s="502" t="s">
        <v>7335</v>
      </c>
      <c r="D601" s="502" t="s">
        <v>7336</v>
      </c>
      <c r="E601" s="503" t="s">
        <v>7337</v>
      </c>
      <c r="F601" s="502" t="s">
        <v>7338</v>
      </c>
      <c r="G601">
        <f>IF(getRGB1($C601)="FFFFFF",0,1)+IF(getRGB1($D601)="FFFFFF",0,2)+IF(getRGB1($E601)="FFFFFF",0,3)+IF(getRGB1($F601)="FFFFFF",0,4)</f>
        <v>3</v>
      </c>
    </row>
    <row r="602" spans="1:7" ht="30">
      <c r="A602" t="s">
        <v>7150</v>
      </c>
      <c r="B602" s="502" t="s">
        <v>7339</v>
      </c>
      <c r="C602" s="503" t="s">
        <v>7340</v>
      </c>
      <c r="D602" s="683" t="s">
        <v>7341</v>
      </c>
      <c r="E602" s="502" t="s">
        <v>7342</v>
      </c>
      <c r="F602" s="502" t="s">
        <v>7343</v>
      </c>
      <c r="G602">
        <f>IF(getRGB1($C602)="FFFFFF",0,1)+IF(getRGB1($D602)="FFFFFF",0,2)+IF(getRGB1($E602)="FFFFFF",0,3)+IF(getRGB1($F602)="FFFFFF",0,4)</f>
        <v>1</v>
      </c>
    </row>
    <row r="603" spans="1:7" ht="30">
      <c r="A603" t="s">
        <v>7150</v>
      </c>
      <c r="B603" s="676" t="s">
        <v>7344</v>
      </c>
      <c r="C603" s="676" t="s">
        <v>7345</v>
      </c>
      <c r="D603" s="676" t="s">
        <v>7346</v>
      </c>
      <c r="E603" s="685" t="s">
        <v>7347</v>
      </c>
      <c r="F603" s="676" t="s">
        <v>4658</v>
      </c>
      <c r="G603">
        <f>IF(getRGB1($C603)="FFFFFF",0,1)+IF(getRGB1($D603)="FFFFFF",0,2)+IF(getRGB1($E603)="FFFFFF",0,3)+IF(getRGB1($F603)="FFFFFF",0,4)</f>
        <v>3</v>
      </c>
    </row>
    <row r="604" spans="1:7">
      <c r="A604" t="s">
        <v>7150</v>
      </c>
      <c r="B604" s="502" t="s">
        <v>7348</v>
      </c>
      <c r="C604" s="502" t="s">
        <v>7349</v>
      </c>
      <c r="D604" s="503" t="s">
        <v>7350</v>
      </c>
      <c r="E604" s="502" t="s">
        <v>7351</v>
      </c>
      <c r="F604" s="502" t="s">
        <v>7352</v>
      </c>
      <c r="G604">
        <f>IF(getRGB1($C604)="FFFFFF",0,1)+IF(getRGB1($D604)="FFFFFF",0,2)+IF(getRGB1($E604)="FFFFFF",0,3)+IF(getRGB1($F604)="FFFFFF",0,4)</f>
        <v>2</v>
      </c>
    </row>
    <row r="605" spans="1:7">
      <c r="A605" t="s">
        <v>7150</v>
      </c>
      <c r="B605" s="502" t="s">
        <v>7353</v>
      </c>
      <c r="C605" s="502" t="s">
        <v>3440</v>
      </c>
      <c r="D605" s="502" t="s">
        <v>7354</v>
      </c>
      <c r="E605" s="503" t="s">
        <v>7355</v>
      </c>
      <c r="F605" s="502" t="s">
        <v>7349</v>
      </c>
      <c r="G605">
        <f>IF(getRGB1($C605)="FFFFFF",0,1)+IF(getRGB1($D605)="FFFFFF",0,2)+IF(getRGB1($E605)="FFFFFF",0,3)+IF(getRGB1($F605)="FFFFFF",0,4)</f>
        <v>3</v>
      </c>
    </row>
    <row r="606" spans="1:7">
      <c r="A606" t="s">
        <v>7150</v>
      </c>
      <c r="B606" s="502" t="s">
        <v>7356</v>
      </c>
      <c r="C606" s="502" t="s">
        <v>7357</v>
      </c>
      <c r="D606" s="502" t="s">
        <v>7358</v>
      </c>
      <c r="E606" s="502" t="s">
        <v>4244</v>
      </c>
      <c r="F606" s="503" t="s">
        <v>7359</v>
      </c>
      <c r="G606">
        <f>IF(getRGB1($C606)="FFFFFF",0,1)+IF(getRGB1($D606)="FFFFFF",0,2)+IF(getRGB1($E606)="FFFFFF",0,3)+IF(getRGB1($F606)="FFFFFF",0,4)</f>
        <v>4</v>
      </c>
    </row>
    <row r="607" spans="1:7">
      <c r="A607" t="s">
        <v>7150</v>
      </c>
      <c r="B607" s="502" t="s">
        <v>7360</v>
      </c>
      <c r="C607" s="503">
        <v>1.1000000000000001</v>
      </c>
      <c r="D607" s="502">
        <v>1.5</v>
      </c>
      <c r="E607" s="502">
        <v>0.95</v>
      </c>
      <c r="F607" s="502">
        <v>1.3</v>
      </c>
      <c r="G607">
        <f>IF(getRGB1($C607)="FFFFFF",0,1)+IF(getRGB1($D607)="FFFFFF",0,2)+IF(getRGB1($E607)="FFFFFF",0,3)+IF(getRGB1($F607)="FFFFFF",0,4)</f>
        <v>1</v>
      </c>
    </row>
    <row r="608" spans="1:7">
      <c r="A608" t="s">
        <v>7150</v>
      </c>
      <c r="B608" s="502" t="s">
        <v>7361</v>
      </c>
      <c r="C608" s="503" t="s">
        <v>7362</v>
      </c>
      <c r="D608" s="502">
        <v>1.05</v>
      </c>
      <c r="E608" s="502">
        <v>1</v>
      </c>
      <c r="F608" s="502">
        <v>0.95</v>
      </c>
      <c r="G608">
        <f>IF(getRGB1($C608)="FFFFFF",0,1)+IF(getRGB1($D608)="FFFFFF",0,2)+IF(getRGB1($E608)="FFFFFF",0,3)+IF(getRGB1($F608)="FFFFFF",0,4)</f>
        <v>1</v>
      </c>
    </row>
    <row r="609" spans="1:7">
      <c r="A609" t="s">
        <v>7150</v>
      </c>
      <c r="B609" s="502" t="s">
        <v>7363</v>
      </c>
      <c r="C609" s="502" t="s">
        <v>7357</v>
      </c>
      <c r="D609" s="503" t="s">
        <v>156</v>
      </c>
      <c r="E609" s="502" t="s">
        <v>7257</v>
      </c>
      <c r="F609" s="502" t="s">
        <v>3406</v>
      </c>
      <c r="G609">
        <f>IF(getRGB1($C609)="FFFFFF",0,1)+IF(getRGB1($D609)="FFFFFF",0,2)+IF(getRGB1($E609)="FFFFFF",0,3)+IF(getRGB1($F609)="FFFFFF",0,4)</f>
        <v>2</v>
      </c>
    </row>
    <row r="610" spans="1:7">
      <c r="A610" t="s">
        <v>7150</v>
      </c>
      <c r="B610" s="502" t="s">
        <v>7364</v>
      </c>
      <c r="C610" s="503" t="s">
        <v>7365</v>
      </c>
      <c r="D610" s="502" t="s">
        <v>156</v>
      </c>
      <c r="E610" s="502" t="s">
        <v>7257</v>
      </c>
      <c r="F610" s="502" t="s">
        <v>7366</v>
      </c>
      <c r="G610">
        <f>IF(getRGB1($C610)="FFFFFF",0,1)+IF(getRGB1($D610)="FFFFFF",0,2)+IF(getRGB1($E610)="FFFFFF",0,3)+IF(getRGB1($F610)="FFFFFF",0,4)</f>
        <v>1</v>
      </c>
    </row>
    <row r="611" spans="1:7" ht="30">
      <c r="A611" t="s">
        <v>7150</v>
      </c>
      <c r="B611" s="502" t="s">
        <v>7367</v>
      </c>
      <c r="C611" s="502" t="s">
        <v>7368</v>
      </c>
      <c r="D611" s="503" t="s">
        <v>7369</v>
      </c>
      <c r="E611" s="502" t="s">
        <v>7370</v>
      </c>
      <c r="F611" s="502" t="s">
        <v>7371</v>
      </c>
      <c r="G611">
        <f>IF(getRGB1($C611)="FFFFFF",0,1)+IF(getRGB1($D611)="FFFFFF",0,2)+IF(getRGB1($E611)="FFFFFF",0,3)+IF(getRGB1($F611)="FFFFFF",0,4)</f>
        <v>2</v>
      </c>
    </row>
    <row r="612" spans="1:7">
      <c r="A612" t="s">
        <v>7150</v>
      </c>
      <c r="B612" s="502" t="s">
        <v>7372</v>
      </c>
      <c r="C612" s="502">
        <v>1</v>
      </c>
      <c r="D612" s="503">
        <v>1.1399999999999999</v>
      </c>
      <c r="E612" s="502">
        <v>0.9</v>
      </c>
      <c r="F612" s="502">
        <v>1.4</v>
      </c>
      <c r="G612">
        <f>IF(getRGB1($C612)="FFFFFF",0,1)+IF(getRGB1($D612)="FFFFFF",0,2)+IF(getRGB1($E612)="FFFFFF",0,3)+IF(getRGB1($F612)="FFFFFF",0,4)</f>
        <v>2</v>
      </c>
    </row>
    <row r="613" spans="1:7" ht="30">
      <c r="A613" t="s">
        <v>7150</v>
      </c>
      <c r="B613" s="502" t="s">
        <v>7373</v>
      </c>
      <c r="C613" s="502" t="s">
        <v>2088</v>
      </c>
      <c r="D613" s="503" t="s">
        <v>7374</v>
      </c>
      <c r="E613" s="502" t="s">
        <v>7375</v>
      </c>
      <c r="F613" s="502" t="s">
        <v>4980</v>
      </c>
      <c r="G613">
        <f>IF(getRGB1($C613)="FFFFFF",0,1)+IF(getRGB1($D613)="FFFFFF",0,2)+IF(getRGB1($E613)="FFFFFF",0,3)+IF(getRGB1($F613)="FFFFFF",0,4)</f>
        <v>2</v>
      </c>
    </row>
    <row r="614" spans="1:7" ht="30">
      <c r="A614" t="s">
        <v>7150</v>
      </c>
      <c r="B614" s="502" t="s">
        <v>7376</v>
      </c>
      <c r="C614" s="503" t="s">
        <v>7377</v>
      </c>
      <c r="D614" s="502" t="s">
        <v>7378</v>
      </c>
      <c r="E614" s="502" t="s">
        <v>7379</v>
      </c>
      <c r="F614" s="502" t="s">
        <v>4980</v>
      </c>
      <c r="G614">
        <f>IF(getRGB1($C614)="FFFFFF",0,1)+IF(getRGB1($D614)="FFFFFF",0,2)+IF(getRGB1($E614)="FFFFFF",0,3)+IF(getRGB1($F614)="FFFFFF",0,4)</f>
        <v>1</v>
      </c>
    </row>
    <row r="615" spans="1:7" ht="30">
      <c r="A615" t="s">
        <v>7150</v>
      </c>
      <c r="B615" s="502" t="s">
        <v>7380</v>
      </c>
      <c r="C615" s="503" t="s">
        <v>7381</v>
      </c>
      <c r="D615" s="502" t="s">
        <v>7382</v>
      </c>
      <c r="E615" s="502" t="s">
        <v>7383</v>
      </c>
      <c r="F615" s="502" t="s">
        <v>4980</v>
      </c>
      <c r="G615">
        <f>IF(getRGB1($C615)="FFFFFF",0,1)+IF(getRGB1($D615)="FFFFFF",0,2)+IF(getRGB1($E615)="FFFFFF",0,3)+IF(getRGB1($F615)="FFFFFF",0,4)</f>
        <v>1</v>
      </c>
    </row>
    <row r="616" spans="1:7" ht="30">
      <c r="A616" t="s">
        <v>7150</v>
      </c>
      <c r="B616" s="502" t="s">
        <v>7384</v>
      </c>
      <c r="C616" s="502" t="s">
        <v>7385</v>
      </c>
      <c r="D616" s="503" t="s">
        <v>7386</v>
      </c>
      <c r="E616" s="502" t="s">
        <v>7387</v>
      </c>
      <c r="F616" s="502" t="s">
        <v>2141</v>
      </c>
      <c r="G616">
        <f>IF(getRGB1($C616)="FFFFFF",0,1)+IF(getRGB1($D616)="FFFFFF",0,2)+IF(getRGB1($E616)="FFFFFF",0,3)+IF(getRGB1($F616)="FFFFFF",0,4)</f>
        <v>2</v>
      </c>
    </row>
    <row r="617" spans="1:7" ht="30">
      <c r="A617" t="s">
        <v>7150</v>
      </c>
      <c r="B617" s="502" t="s">
        <v>7388</v>
      </c>
      <c r="C617" s="503" t="s">
        <v>7389</v>
      </c>
      <c r="D617" s="502" t="s">
        <v>7390</v>
      </c>
      <c r="E617" s="502" t="s">
        <v>3406</v>
      </c>
      <c r="F617" s="502" t="s">
        <v>4980</v>
      </c>
      <c r="G617">
        <f>IF(getRGB1($C617)="FFFFFF",0,1)+IF(getRGB1($D617)="FFFFFF",0,2)+IF(getRGB1($E617)="FFFFFF",0,3)+IF(getRGB1($F617)="FFFFFF",0,4)</f>
        <v>1</v>
      </c>
    </row>
    <row r="618" spans="1:7" ht="60">
      <c r="A618" t="s">
        <v>7150</v>
      </c>
      <c r="B618" s="502" t="s">
        <v>7391</v>
      </c>
      <c r="C618" s="503" t="s">
        <v>7392</v>
      </c>
      <c r="D618" s="502" t="s">
        <v>7393</v>
      </c>
      <c r="E618" s="502" t="s">
        <v>7394</v>
      </c>
      <c r="F618" s="502" t="s">
        <v>7395</v>
      </c>
      <c r="G618">
        <f>IF(getRGB1($C618)="FFFFFF",0,1)+IF(getRGB1($D618)="FFFFFF",0,2)+IF(getRGB1($E618)="FFFFFF",0,3)+IF(getRGB1($F618)="FFFFFF",0,4)</f>
        <v>1</v>
      </c>
    </row>
    <row r="619" spans="1:7" ht="45">
      <c r="A619" t="s">
        <v>7150</v>
      </c>
      <c r="B619" s="502" t="s">
        <v>7396</v>
      </c>
      <c r="C619" s="502" t="s">
        <v>7397</v>
      </c>
      <c r="D619" s="503" t="s">
        <v>7398</v>
      </c>
      <c r="E619" s="502" t="s">
        <v>7399</v>
      </c>
      <c r="F619" s="502" t="s">
        <v>7400</v>
      </c>
      <c r="G619">
        <f>IF(getRGB1($C619)="FFFFFF",0,1)+IF(getRGB1($D619)="FFFFFF",0,2)+IF(getRGB1($E619)="FFFFFF",0,3)+IF(getRGB1($F619)="FFFFFF",0,4)</f>
        <v>2</v>
      </c>
    </row>
    <row r="620" spans="1:7" ht="60">
      <c r="A620" t="s">
        <v>7150</v>
      </c>
      <c r="B620" s="502" t="s">
        <v>8745</v>
      </c>
      <c r="C620" s="502" t="s">
        <v>7397</v>
      </c>
      <c r="D620" s="502" t="s">
        <v>3793</v>
      </c>
      <c r="E620" s="503" t="s">
        <v>7401</v>
      </c>
      <c r="F620" s="502" t="s">
        <v>7402</v>
      </c>
      <c r="G620">
        <f>IF(getRGB1($C620)="FFFFFF",0,1)+IF(getRGB1($D620)="FFFFFF",0,2)+IF(getRGB1($E620)="FFFFFF",0,3)+IF(getRGB1($F620)="FFFFFF",0,4)</f>
        <v>3</v>
      </c>
    </row>
    <row r="621" spans="1:7" ht="45">
      <c r="A621" t="s">
        <v>7150</v>
      </c>
      <c r="B621" s="502" t="s">
        <v>8746</v>
      </c>
      <c r="C621" s="503" t="s">
        <v>7403</v>
      </c>
      <c r="D621" s="502" t="s">
        <v>1320</v>
      </c>
      <c r="E621" s="502" t="s">
        <v>25</v>
      </c>
      <c r="F621" s="502" t="s">
        <v>7404</v>
      </c>
      <c r="G621">
        <f>IF(getRGB1($C621)="FFFFFF",0,1)+IF(getRGB1($D621)="FFFFFF",0,2)+IF(getRGB1($E621)="FFFFFF",0,3)+IF(getRGB1($F621)="FFFFFF",0,4)</f>
        <v>1</v>
      </c>
    </row>
    <row r="622" spans="1:7" ht="90">
      <c r="A622" t="s">
        <v>7405</v>
      </c>
      <c r="B622" s="316" t="s">
        <v>1</v>
      </c>
      <c r="C622" s="510" t="s">
        <v>2</v>
      </c>
      <c r="D622" s="511" t="s">
        <v>3</v>
      </c>
      <c r="E622" s="512" t="s">
        <v>4</v>
      </c>
      <c r="F622" s="510" t="s">
        <v>5</v>
      </c>
      <c r="G622">
        <f>IF(getRGB1($C622)="FFFFFF",0,1)+IF(getRGB1($D622)="FFFFFF",0,2)+IF(getRGB1($E622)="FFFFFF",0,3)+IF(getRGB1($F622)="FFFFFF",0,4)</f>
        <v>2</v>
      </c>
    </row>
    <row r="623" spans="1:7" ht="75">
      <c r="A623" t="s">
        <v>7405</v>
      </c>
      <c r="B623" s="316" t="s">
        <v>6</v>
      </c>
      <c r="C623" s="510" t="s">
        <v>7</v>
      </c>
      <c r="D623" s="511" t="s">
        <v>8</v>
      </c>
      <c r="E623" s="512" t="s">
        <v>9</v>
      </c>
      <c r="F623" s="510" t="s">
        <v>10</v>
      </c>
      <c r="G623">
        <f>IF(getRGB1($C623)="FFFFFF",0,1)+IF(getRGB1($D623)="FFFFFF",0,2)+IF(getRGB1($E623)="FFFFFF",0,3)+IF(getRGB1($F623)="FFFFFF",0,4)</f>
        <v>2</v>
      </c>
    </row>
    <row r="624" spans="1:7" ht="90">
      <c r="A624" t="s">
        <v>7405</v>
      </c>
      <c r="B624" s="316" t="s">
        <v>11</v>
      </c>
      <c r="C624" s="510" t="s">
        <v>8</v>
      </c>
      <c r="D624" s="511" t="s">
        <v>12</v>
      </c>
      <c r="E624" s="512" t="s">
        <v>13</v>
      </c>
      <c r="F624" s="510" t="s">
        <v>14</v>
      </c>
      <c r="G624">
        <f>IF(getRGB1($C624)="FFFFFF",0,1)+IF(getRGB1($D624)="FFFFFF",0,2)+IF(getRGB1($E624)="FFFFFF",0,3)+IF(getRGB1($F624)="FFFFFF",0,4)</f>
        <v>2</v>
      </c>
    </row>
    <row r="625" spans="1:7" ht="75">
      <c r="A625" t="s">
        <v>7405</v>
      </c>
      <c r="B625" s="316" t="s">
        <v>15</v>
      </c>
      <c r="C625" s="511" t="s">
        <v>8</v>
      </c>
      <c r="D625" s="510" t="s">
        <v>12</v>
      </c>
      <c r="E625" s="512" t="s">
        <v>13</v>
      </c>
      <c r="F625" s="510" t="s">
        <v>14</v>
      </c>
      <c r="G625">
        <f>IF(getRGB1($C625)="FFFFFF",0,1)+IF(getRGB1($D625)="FFFFFF",0,2)+IF(getRGB1($E625)="FFFFFF",0,3)+IF(getRGB1($F625)="FFFFFF",0,4)</f>
        <v>1</v>
      </c>
    </row>
    <row r="626" spans="1:7" ht="75">
      <c r="A626" t="s">
        <v>7405</v>
      </c>
      <c r="B626" s="316" t="s">
        <v>16</v>
      </c>
      <c r="C626" s="510" t="s">
        <v>8692</v>
      </c>
      <c r="D626" s="510" t="s">
        <v>8693</v>
      </c>
      <c r="E626" s="513" t="s">
        <v>8694</v>
      </c>
      <c r="F626" s="510" t="s">
        <v>8695</v>
      </c>
      <c r="G626">
        <f>IF(getRGB1($C626)="FFFFFF",0,1)+IF(getRGB1($D626)="FFFFFF",0,2)+IF(getRGB1($E626)="FFFFFF",0,3)+IF(getRGB1($F626)="FFFFFF",0,4)</f>
        <v>3</v>
      </c>
    </row>
    <row r="627" spans="1:7" ht="60">
      <c r="A627" t="s">
        <v>7405</v>
      </c>
      <c r="B627" s="316" t="s">
        <v>21</v>
      </c>
      <c r="C627" s="511" t="s">
        <v>22</v>
      </c>
      <c r="D627" s="510" t="s">
        <v>23</v>
      </c>
      <c r="E627" s="512" t="s">
        <v>24</v>
      </c>
      <c r="F627" s="510" t="s">
        <v>25</v>
      </c>
      <c r="G627">
        <f>IF(getRGB1($C627)="FFFFFF",0,1)+IF(getRGB1($D627)="FFFFFF",0,2)+IF(getRGB1($E627)="FFFFFF",0,3)+IF(getRGB1($F627)="FFFFFF",0,4)</f>
        <v>1</v>
      </c>
    </row>
    <row r="628" spans="1:7" ht="75">
      <c r="A628" t="s">
        <v>7405</v>
      </c>
      <c r="B628" s="316" t="s">
        <v>26</v>
      </c>
      <c r="C628" s="510" t="s">
        <v>27</v>
      </c>
      <c r="D628" s="510" t="s">
        <v>28</v>
      </c>
      <c r="E628" s="512" t="s">
        <v>29</v>
      </c>
      <c r="F628" s="511" t="s">
        <v>30</v>
      </c>
      <c r="G628">
        <f>IF(getRGB1($C628)="FFFFFF",0,1)+IF(getRGB1($D628)="FFFFFF",0,2)+IF(getRGB1($E628)="FFFFFF",0,3)+IF(getRGB1($F628)="FFFFFF",0,4)</f>
        <v>4</v>
      </c>
    </row>
    <row r="629" spans="1:7" ht="45">
      <c r="A629" t="s">
        <v>7405</v>
      </c>
      <c r="B629" s="316" t="s">
        <v>31</v>
      </c>
      <c r="C629" s="514" t="s">
        <v>32</v>
      </c>
      <c r="D629" s="514" t="s">
        <v>33</v>
      </c>
      <c r="E629" s="513" t="s">
        <v>34</v>
      </c>
      <c r="F629" s="514" t="s">
        <v>35</v>
      </c>
      <c r="G629">
        <f>IF(getRGB1($C629)="FFFFFF",0,1)+IF(getRGB1($D629)="FFFFFF",0,2)+IF(getRGB1($E629)="FFFFFF",0,3)+IF(getRGB1($F629)="FFFFFF",0,4)</f>
        <v>3</v>
      </c>
    </row>
    <row r="630" spans="1:7" ht="60">
      <c r="A630" t="s">
        <v>7405</v>
      </c>
      <c r="B630" s="316" t="s">
        <v>36</v>
      </c>
      <c r="C630" s="514" t="s">
        <v>37</v>
      </c>
      <c r="D630" s="511" t="s">
        <v>38</v>
      </c>
      <c r="E630" s="515" t="s">
        <v>39</v>
      </c>
      <c r="F630" s="514" t="s">
        <v>40</v>
      </c>
      <c r="G630">
        <f>IF(getRGB1($C630)="FFFFFF",0,1)+IF(getRGB1($D630)="FFFFFF",0,2)+IF(getRGB1($E630)="FFFFFF",0,3)+IF(getRGB1($F630)="FFFFFF",0,4)</f>
        <v>2</v>
      </c>
    </row>
    <row r="631" spans="1:7" ht="60">
      <c r="A631" t="s">
        <v>7405</v>
      </c>
      <c r="B631" s="316" t="s">
        <v>41</v>
      </c>
      <c r="C631" s="511" t="s">
        <v>37</v>
      </c>
      <c r="D631" s="514" t="s">
        <v>38</v>
      </c>
      <c r="E631" s="515" t="s">
        <v>39</v>
      </c>
      <c r="F631" s="514" t="s">
        <v>40</v>
      </c>
      <c r="G631">
        <f>IF(getRGB1($C631)="FFFFFF",0,1)+IF(getRGB1($D631)="FFFFFF",0,2)+IF(getRGB1($E631)="FFFFFF",0,3)+IF(getRGB1($F631)="FFFFFF",0,4)</f>
        <v>1</v>
      </c>
    </row>
    <row r="632" spans="1:7" ht="30">
      <c r="A632" t="s">
        <v>7405</v>
      </c>
      <c r="B632" s="316" t="s">
        <v>42</v>
      </c>
      <c r="C632" s="516" t="s">
        <v>43</v>
      </c>
      <c r="D632" s="511" t="s">
        <v>44</v>
      </c>
      <c r="E632" s="515" t="s">
        <v>45</v>
      </c>
      <c r="F632" s="514" t="s">
        <v>46</v>
      </c>
      <c r="G632">
        <f>IF(getRGB1($C632)="FFFFFF",0,1)+IF(getRGB1($D632)="FFFFFF",0,2)+IF(getRGB1($E632)="FFFFFF",0,3)+IF(getRGB1($F632)="FFFFFF",0,4)</f>
        <v>2</v>
      </c>
    </row>
    <row r="633" spans="1:7" ht="75">
      <c r="A633" t="s">
        <v>7405</v>
      </c>
      <c r="B633" s="316" t="s">
        <v>47</v>
      </c>
      <c r="C633" s="514" t="s">
        <v>48</v>
      </c>
      <c r="D633" s="516" t="s">
        <v>49</v>
      </c>
      <c r="E633" s="517" t="s">
        <v>50</v>
      </c>
      <c r="F633" s="514" t="s">
        <v>51</v>
      </c>
      <c r="G633">
        <f>IF(getRGB1($C633)="FFFFFF",0,1)+IF(getRGB1($D633)="FFFFFF",0,2)+IF(getRGB1($E633)="FFFFFF",0,3)+IF(getRGB1($F633)="FFFFFF",0,4)</f>
        <v>3</v>
      </c>
    </row>
    <row r="634" spans="1:7" ht="60">
      <c r="A634" t="s">
        <v>7405</v>
      </c>
      <c r="B634" s="316" t="s">
        <v>8747</v>
      </c>
      <c r="C634" s="514" t="s">
        <v>53</v>
      </c>
      <c r="D634" s="514" t="s">
        <v>54</v>
      </c>
      <c r="E634" s="513" t="s">
        <v>55</v>
      </c>
      <c r="F634" s="514" t="s">
        <v>56</v>
      </c>
      <c r="G634">
        <f>IF(getRGB1($C634)="FFFFFF",0,1)+IF(getRGB1($D634)="FFFFFF",0,2)+IF(getRGB1($E634)="FFFFFF",0,3)+IF(getRGB1($F634)="FFFFFF",0,4)</f>
        <v>3</v>
      </c>
    </row>
    <row r="635" spans="1:7" ht="45">
      <c r="A635" t="s">
        <v>7405</v>
      </c>
      <c r="B635" s="316" t="s">
        <v>57</v>
      </c>
      <c r="C635" s="514" t="s">
        <v>58</v>
      </c>
      <c r="D635" s="514" t="s">
        <v>59</v>
      </c>
      <c r="E635" s="515" t="s">
        <v>60</v>
      </c>
      <c r="F635" s="511" t="s">
        <v>61</v>
      </c>
      <c r="G635">
        <f>IF(getRGB1($C635)="FFFFFF",0,1)+IF(getRGB1($D635)="FFFFFF",0,2)+IF(getRGB1($E635)="FFFFFF",0,3)+IF(getRGB1($F635)="FFFFFF",0,4)</f>
        <v>4</v>
      </c>
    </row>
    <row r="636" spans="1:7" ht="105">
      <c r="A636" t="s">
        <v>7405</v>
      </c>
      <c r="B636" s="316" t="s">
        <v>62</v>
      </c>
      <c r="C636" s="514" t="s">
        <v>63</v>
      </c>
      <c r="D636" s="511" t="s">
        <v>64</v>
      </c>
      <c r="E636" s="515" t="s">
        <v>65</v>
      </c>
      <c r="F636" s="514" t="s">
        <v>66</v>
      </c>
      <c r="G636">
        <f>IF(getRGB1($C636)="FFFFFF",0,1)+IF(getRGB1($D636)="FFFFFF",0,2)+IF(getRGB1($E636)="FFFFFF",0,3)+IF(getRGB1($F636)="FFFFFF",0,4)</f>
        <v>2</v>
      </c>
    </row>
    <row r="637" spans="1:7" ht="45">
      <c r="A637" t="s">
        <v>7405</v>
      </c>
      <c r="B637" s="316" t="s">
        <v>67</v>
      </c>
      <c r="C637" s="514">
        <v>0</v>
      </c>
      <c r="D637" s="514">
        <v>0.5</v>
      </c>
      <c r="E637" s="513">
        <v>1</v>
      </c>
      <c r="F637" s="514">
        <v>100</v>
      </c>
      <c r="G637">
        <f>IF(getRGB1($C637)="FFFFFF",0,1)+IF(getRGB1($D637)="FFFFFF",0,2)+IF(getRGB1($E637)="FFFFFF",0,3)+IF(getRGB1($F637)="FFFFFF",0,4)</f>
        <v>3</v>
      </c>
    </row>
    <row r="638" spans="1:7" ht="90">
      <c r="A638" t="s">
        <v>7405</v>
      </c>
      <c r="B638" s="316" t="s">
        <v>68</v>
      </c>
      <c r="C638" s="514" t="s">
        <v>69</v>
      </c>
      <c r="D638" s="511" t="s">
        <v>70</v>
      </c>
      <c r="E638" s="515" t="s">
        <v>71</v>
      </c>
      <c r="F638" s="514" t="s">
        <v>66</v>
      </c>
      <c r="G638">
        <f>IF(getRGB1($C638)="FFFFFF",0,1)+IF(getRGB1($D638)="FFFFFF",0,2)+IF(getRGB1($E638)="FFFFFF",0,3)+IF(getRGB1($F638)="FFFFFF",0,4)</f>
        <v>2</v>
      </c>
    </row>
    <row r="639" spans="1:7" ht="45">
      <c r="A639" t="s">
        <v>7405</v>
      </c>
      <c r="B639" s="316" t="s">
        <v>72</v>
      </c>
      <c r="C639" s="514" t="s">
        <v>73</v>
      </c>
      <c r="D639" s="514" t="s">
        <v>74</v>
      </c>
      <c r="E639" s="513" t="s">
        <v>75</v>
      </c>
      <c r="F639" s="514" t="s">
        <v>76</v>
      </c>
      <c r="G639">
        <f>IF(getRGB1($C639)="FFFFFF",0,1)+IF(getRGB1($D639)="FFFFFF",0,2)+IF(getRGB1($E639)="FFFFFF",0,3)+IF(getRGB1($F639)="FFFFFF",0,4)</f>
        <v>3</v>
      </c>
    </row>
    <row r="640" spans="1:7" ht="45">
      <c r="A640" t="s">
        <v>7405</v>
      </c>
      <c r="B640" s="316" t="s">
        <v>77</v>
      </c>
      <c r="C640" s="514" t="s">
        <v>78</v>
      </c>
      <c r="D640" s="514" t="s">
        <v>79</v>
      </c>
      <c r="E640" s="513" t="s">
        <v>80</v>
      </c>
      <c r="F640" s="514" t="s">
        <v>81</v>
      </c>
      <c r="G640">
        <f>IF(getRGB1($C640)="FFFFFF",0,1)+IF(getRGB1($D640)="FFFFFF",0,2)+IF(getRGB1($E640)="FFFFFF",0,3)+IF(getRGB1($F640)="FFFFFF",0,4)</f>
        <v>3</v>
      </c>
    </row>
    <row r="641" spans="1:7" ht="30">
      <c r="A641" t="s">
        <v>7405</v>
      </c>
      <c r="B641" s="316" t="s">
        <v>82</v>
      </c>
      <c r="C641" s="514" t="s">
        <v>83</v>
      </c>
      <c r="D641" s="510" t="s">
        <v>84</v>
      </c>
      <c r="E641" s="513" t="s">
        <v>85</v>
      </c>
      <c r="F641" s="510" t="s">
        <v>86</v>
      </c>
      <c r="G641">
        <f>IF(getRGB1($C641)="FFFFFF",0,1)+IF(getRGB1($D641)="FFFFFF",0,2)+IF(getRGB1($E641)="FFFFFF",0,3)+IF(getRGB1($F641)="FFFFFF",0,4)</f>
        <v>3</v>
      </c>
    </row>
    <row r="642" spans="1:7" ht="30">
      <c r="A642" t="s">
        <v>7405</v>
      </c>
      <c r="B642" s="316" t="s">
        <v>87</v>
      </c>
      <c r="C642" s="511">
        <v>9</v>
      </c>
      <c r="D642" s="510">
        <v>3</v>
      </c>
      <c r="E642" s="512">
        <v>4</v>
      </c>
      <c r="F642" s="510">
        <v>5</v>
      </c>
      <c r="G642">
        <f>IF(getRGB1($C642)="FFFFFF",0,1)+IF(getRGB1($D642)="FFFFFF",0,2)+IF(getRGB1($E642)="FFFFFF",0,3)+IF(getRGB1($F642)="FFFFFF",0,4)</f>
        <v>1</v>
      </c>
    </row>
    <row r="643" spans="1:7" ht="60">
      <c r="A643" t="s">
        <v>7405</v>
      </c>
      <c r="B643" s="316" t="s">
        <v>88</v>
      </c>
      <c r="C643" s="518">
        <v>0.02</v>
      </c>
      <c r="D643" s="519">
        <v>0.05</v>
      </c>
      <c r="E643" s="520">
        <v>0.01</v>
      </c>
      <c r="F643" s="519">
        <v>0.03</v>
      </c>
      <c r="G643">
        <f>IF(getRGB1($C643)="FFFFFF",0,1)+IF(getRGB1($D643)="FFFFFF",0,2)+IF(getRGB1($E643)="FFFFFF",0,3)+IF(getRGB1($F643)="FFFFFF",0,4)</f>
        <v>1</v>
      </c>
    </row>
    <row r="644" spans="1:7" ht="30">
      <c r="A644" t="s">
        <v>7405</v>
      </c>
      <c r="B644" s="316" t="s">
        <v>89</v>
      </c>
      <c r="C644" s="511" t="s">
        <v>44</v>
      </c>
      <c r="D644" s="514" t="s">
        <v>90</v>
      </c>
      <c r="E644" s="515" t="s">
        <v>45</v>
      </c>
      <c r="F644" s="514" t="s">
        <v>46</v>
      </c>
      <c r="G644">
        <f>IF(getRGB1($C644)="FFFFFF",0,1)+IF(getRGB1($D644)="FFFFFF",0,2)+IF(getRGB1($E644)="FFFFFF",0,3)+IF(getRGB1($F644)="FFFFFF",0,4)</f>
        <v>1</v>
      </c>
    </row>
    <row r="645" spans="1:7" ht="60">
      <c r="A645" t="s">
        <v>7405</v>
      </c>
      <c r="B645" s="316" t="s">
        <v>91</v>
      </c>
      <c r="C645" s="514" t="s">
        <v>92</v>
      </c>
      <c r="D645" s="514" t="s">
        <v>93</v>
      </c>
      <c r="E645" s="515" t="s">
        <v>94</v>
      </c>
      <c r="F645" s="511" t="s">
        <v>95</v>
      </c>
      <c r="G645">
        <f>IF(getRGB1($C645)="FFFFFF",0,1)+IF(getRGB1($D645)="FFFFFF",0,2)+IF(getRGB1($E645)="FFFFFF",0,3)+IF(getRGB1($F645)="FFFFFF",0,4)</f>
        <v>4</v>
      </c>
    </row>
    <row r="646" spans="1:7" ht="30">
      <c r="A646" t="s">
        <v>7405</v>
      </c>
      <c r="B646" s="316" t="s">
        <v>96</v>
      </c>
      <c r="C646" s="510" t="s">
        <v>97</v>
      </c>
      <c r="D646" s="511" t="s">
        <v>98</v>
      </c>
      <c r="E646" s="512" t="s">
        <v>99</v>
      </c>
      <c r="F646" s="510" t="s">
        <v>100</v>
      </c>
      <c r="G646">
        <f>IF(getRGB1($C646)="FFFFFF",0,1)+IF(getRGB1($D646)="FFFFFF",0,2)+IF(getRGB1($E646)="FFFFFF",0,3)+IF(getRGB1($F646)="FFFFFF",0,4)</f>
        <v>2</v>
      </c>
    </row>
    <row r="647" spans="1:7" ht="30">
      <c r="A647" t="s">
        <v>7405</v>
      </c>
      <c r="B647" s="316" t="s">
        <v>101</v>
      </c>
      <c r="C647" s="511" t="s">
        <v>97</v>
      </c>
      <c r="D647" s="510" t="s">
        <v>98</v>
      </c>
      <c r="E647" s="512" t="s">
        <v>99</v>
      </c>
      <c r="F647" s="510" t="s">
        <v>100</v>
      </c>
      <c r="G647">
        <f>IF(getRGB1($C647)="FFFFFF",0,1)+IF(getRGB1($D647)="FFFFFF",0,2)+IF(getRGB1($E647)="FFFFFF",0,3)+IF(getRGB1($F647)="FFFFFF",0,4)</f>
        <v>1</v>
      </c>
    </row>
    <row r="648" spans="1:7" ht="30">
      <c r="A648" t="s">
        <v>7405</v>
      </c>
      <c r="B648" s="316" t="s">
        <v>102</v>
      </c>
      <c r="C648" s="511" t="s">
        <v>83</v>
      </c>
      <c r="D648" s="510" t="s">
        <v>103</v>
      </c>
      <c r="E648" s="521" t="s">
        <v>104</v>
      </c>
      <c r="F648" s="510" t="s">
        <v>105</v>
      </c>
      <c r="G648">
        <f>IF(getRGB1($C648)="FFFFFF",0,1)+IF(getRGB1($D648)="FFFFFF",0,2)+IF(getRGB1($E648)="FFFFFF",0,3)+IF(getRGB1($F648)="FFFFFF",0,4)</f>
        <v>1</v>
      </c>
    </row>
    <row r="649" spans="1:7" ht="45">
      <c r="A649" t="s">
        <v>7405</v>
      </c>
      <c r="B649" s="316" t="s">
        <v>106</v>
      </c>
      <c r="C649" s="510" t="s">
        <v>107</v>
      </c>
      <c r="D649" s="511" t="s">
        <v>108</v>
      </c>
      <c r="E649" s="512" t="s">
        <v>109</v>
      </c>
      <c r="F649" s="510" t="s">
        <v>110</v>
      </c>
      <c r="G649">
        <f>IF(getRGB1($C649)="FFFFFF",0,1)+IF(getRGB1($D649)="FFFFFF",0,2)+IF(getRGB1($E649)="FFFFFF",0,3)+IF(getRGB1($F649)="FFFFFF",0,4)</f>
        <v>2</v>
      </c>
    </row>
    <row r="650" spans="1:7" ht="45">
      <c r="A650" t="s">
        <v>7405</v>
      </c>
      <c r="B650" s="316" t="s">
        <v>111</v>
      </c>
      <c r="C650" s="514" t="s">
        <v>32</v>
      </c>
      <c r="D650" s="514" t="s">
        <v>112</v>
      </c>
      <c r="E650" s="515" t="s">
        <v>113</v>
      </c>
      <c r="F650" s="511" t="s">
        <v>114</v>
      </c>
      <c r="G650">
        <f>IF(getRGB1($C650)="FFFFFF",0,1)+IF(getRGB1($D650)="FFFFFF",0,2)+IF(getRGB1($E650)="FFFFFF",0,3)+IF(getRGB1($F650)="FFFFFF",0,4)</f>
        <v>4</v>
      </c>
    </row>
    <row r="651" spans="1:7" ht="30">
      <c r="A651" t="s">
        <v>7405</v>
      </c>
      <c r="B651" s="316" t="s">
        <v>115</v>
      </c>
      <c r="C651" s="522">
        <v>400</v>
      </c>
      <c r="D651" s="522">
        <v>220</v>
      </c>
      <c r="E651" s="523">
        <v>132</v>
      </c>
      <c r="F651" s="511" t="s">
        <v>116</v>
      </c>
      <c r="G651">
        <f>IF(getRGB1($C651)="FFFFFF",0,1)+IF(getRGB1($D651)="FFFFFF",0,2)+IF(getRGB1($E651)="FFFFFF",0,3)+IF(getRGB1($F651)="FFFFFF",0,4)</f>
        <v>4</v>
      </c>
    </row>
    <row r="652" spans="1:7" ht="30">
      <c r="A652" t="s">
        <v>7405</v>
      </c>
      <c r="B652" s="316" t="s">
        <v>117</v>
      </c>
      <c r="C652" s="522">
        <v>400</v>
      </c>
      <c r="D652" s="510">
        <v>220</v>
      </c>
      <c r="E652" s="512">
        <v>132</v>
      </c>
      <c r="F652" s="511" t="s">
        <v>116</v>
      </c>
      <c r="G652">
        <f>IF(getRGB1($C652)="FFFFFF",0,1)+IF(getRGB1($D652)="FFFFFF",0,2)+IF(getRGB1($E652)="FFFFFF",0,3)+IF(getRGB1($F652)="FFFFFF",0,4)</f>
        <v>4</v>
      </c>
    </row>
    <row r="653" spans="1:7" ht="45">
      <c r="A653" t="s">
        <v>7405</v>
      </c>
      <c r="B653" s="316" t="s">
        <v>118</v>
      </c>
      <c r="C653" s="524">
        <v>0.3</v>
      </c>
      <c r="D653" s="524">
        <v>0.15</v>
      </c>
      <c r="E653" s="525">
        <v>0.2</v>
      </c>
      <c r="F653" s="526">
        <v>0.25</v>
      </c>
      <c r="G653">
        <f>IF(getRGB1($C653)="FFFFFF",0,1)+IF(getRGB1($D653)="FFFFFF",0,2)+IF(getRGB1($E653)="FFFFFF",0,3)+IF(getRGB1($F653)="FFFFFF",0,4)</f>
        <v>4</v>
      </c>
    </row>
    <row r="654" spans="1:7" ht="30">
      <c r="A654" t="s">
        <v>7405</v>
      </c>
      <c r="B654" s="316" t="s">
        <v>119</v>
      </c>
      <c r="C654" s="510" t="s">
        <v>120</v>
      </c>
      <c r="D654" s="511" t="s">
        <v>121</v>
      </c>
      <c r="E654" s="512" t="s">
        <v>122</v>
      </c>
      <c r="F654" s="510" t="s">
        <v>123</v>
      </c>
      <c r="G654">
        <f>IF(getRGB1($C654)="FFFFFF",0,1)+IF(getRGB1($D654)="FFFFFF",0,2)+IF(getRGB1($E654)="FFFFFF",0,3)+IF(getRGB1($F654)="FFFFFF",0,4)</f>
        <v>2</v>
      </c>
    </row>
    <row r="655" spans="1:7" ht="30">
      <c r="A655" t="s">
        <v>7405</v>
      </c>
      <c r="B655" s="316" t="s">
        <v>124</v>
      </c>
      <c r="C655" s="514" t="s">
        <v>125</v>
      </c>
      <c r="D655" s="516" t="s">
        <v>126</v>
      </c>
      <c r="E655" s="515" t="s">
        <v>127</v>
      </c>
      <c r="F655" s="527" t="s">
        <v>128</v>
      </c>
      <c r="G655">
        <f>IF(getRGB1($C655)="FFFFFF",0,1)+IF(getRGB1($D655)="FFFFFF",0,2)+IF(getRGB1($E655)="FFFFFF",0,3)+IF(getRGB1($F655)="FFFFFF",0,4)</f>
        <v>4</v>
      </c>
    </row>
    <row r="656" spans="1:7" ht="30">
      <c r="A656" t="s">
        <v>7405</v>
      </c>
      <c r="B656" s="316" t="s">
        <v>129</v>
      </c>
      <c r="C656" s="528">
        <v>5.0000000000000001E-3</v>
      </c>
      <c r="D656" s="528">
        <v>2E-3</v>
      </c>
      <c r="E656" s="529">
        <v>2.5000000000000001E-3</v>
      </c>
      <c r="F656" s="528">
        <v>1E-3</v>
      </c>
      <c r="G656">
        <f>IF(getRGB1($C656)="FFFFFF",0,1)+IF(getRGB1($D656)="FFFFFF",0,2)+IF(getRGB1($E656)="FFFFFF",0,3)+IF(getRGB1($F656)="FFFFFF",0,4)</f>
        <v>3</v>
      </c>
    </row>
    <row r="657" spans="1:7" ht="45">
      <c r="A657" t="s">
        <v>7405</v>
      </c>
      <c r="B657" s="316" t="s">
        <v>130</v>
      </c>
      <c r="C657" s="510" t="s">
        <v>131</v>
      </c>
      <c r="D657" s="511" t="s">
        <v>132</v>
      </c>
      <c r="E657" s="512" t="s">
        <v>133</v>
      </c>
      <c r="F657" s="510" t="s">
        <v>134</v>
      </c>
      <c r="G657">
        <f>IF(getRGB1($C657)="FFFFFF",0,1)+IF(getRGB1($D657)="FFFFFF",0,2)+IF(getRGB1($E657)="FFFFFF",0,3)+IF(getRGB1($F657)="FFFFFF",0,4)</f>
        <v>2</v>
      </c>
    </row>
    <row r="658" spans="1:7" ht="45">
      <c r="A658" t="s">
        <v>7405</v>
      </c>
      <c r="B658" s="316" t="s">
        <v>135</v>
      </c>
      <c r="C658" s="526">
        <v>0.01</v>
      </c>
      <c r="D658" s="519">
        <v>1.4999999999999999E-2</v>
      </c>
      <c r="E658" s="525">
        <v>0.02</v>
      </c>
      <c r="F658" s="524">
        <v>0.03</v>
      </c>
      <c r="G658">
        <f>IF(getRGB1($C658)="FFFFFF",0,1)+IF(getRGB1($D658)="FFFFFF",0,2)+IF(getRGB1($E658)="FFFFFF",0,3)+IF(getRGB1($F658)="FFFFFF",0,4)</f>
        <v>1</v>
      </c>
    </row>
    <row r="659" spans="1:7" ht="45">
      <c r="A659" t="s">
        <v>7405</v>
      </c>
      <c r="B659" s="316" t="s">
        <v>136</v>
      </c>
      <c r="C659" s="510" t="s">
        <v>74</v>
      </c>
      <c r="D659" s="510" t="s">
        <v>137</v>
      </c>
      <c r="E659" s="513" t="s">
        <v>76</v>
      </c>
      <c r="F659" s="510" t="s">
        <v>73</v>
      </c>
      <c r="G659">
        <f>IF(getRGB1($C659)="FFFFFF",0,1)+IF(getRGB1($D659)="FFFFFF",0,2)+IF(getRGB1($E659)="FFFFFF",0,3)+IF(getRGB1($F659)="FFFFFF",0,4)</f>
        <v>3</v>
      </c>
    </row>
    <row r="660" spans="1:7" ht="45">
      <c r="A660" t="s">
        <v>7405</v>
      </c>
      <c r="B660" s="316" t="s">
        <v>138</v>
      </c>
      <c r="C660" s="510" t="s">
        <v>139</v>
      </c>
      <c r="D660" s="511" t="s">
        <v>140</v>
      </c>
      <c r="E660" s="512" t="s">
        <v>141</v>
      </c>
      <c r="F660" s="510" t="s">
        <v>142</v>
      </c>
      <c r="G660">
        <f>IF(getRGB1($C660)="FFFFFF",0,1)+IF(getRGB1($D660)="FFFFFF",0,2)+IF(getRGB1($E660)="FFFFFF",0,3)+IF(getRGB1($F660)="FFFFFF",0,4)</f>
        <v>2</v>
      </c>
    </row>
    <row r="661" spans="1:7" ht="45">
      <c r="A661" t="s">
        <v>7405</v>
      </c>
      <c r="B661" s="316" t="s">
        <v>143</v>
      </c>
      <c r="C661" s="514" t="s">
        <v>139</v>
      </c>
      <c r="D661" s="514" t="s">
        <v>140</v>
      </c>
      <c r="E661" s="513" t="s">
        <v>144</v>
      </c>
      <c r="F661" s="514" t="s">
        <v>142</v>
      </c>
      <c r="G661">
        <f>IF(getRGB1($C661)="FFFFFF",0,1)+IF(getRGB1($D661)="FFFFFF",0,2)+IF(getRGB1($E661)="FFFFFF",0,3)+IF(getRGB1($F661)="FFFFFF",0,4)</f>
        <v>3</v>
      </c>
    </row>
    <row r="662" spans="1:7" ht="30">
      <c r="A662" t="s">
        <v>7405</v>
      </c>
      <c r="B662" s="316" t="s">
        <v>145</v>
      </c>
      <c r="C662" s="510" t="s">
        <v>146</v>
      </c>
      <c r="D662" s="511" t="s">
        <v>147</v>
      </c>
      <c r="E662" s="512" t="s">
        <v>148</v>
      </c>
      <c r="F662" s="510" t="s">
        <v>149</v>
      </c>
      <c r="G662">
        <f>IF(getRGB1($C662)="FFFFFF",0,1)+IF(getRGB1($D662)="FFFFFF",0,2)+IF(getRGB1($E662)="FFFFFF",0,3)+IF(getRGB1($F662)="FFFFFF",0,4)</f>
        <v>2</v>
      </c>
    </row>
    <row r="663" spans="1:7" ht="60">
      <c r="A663" t="s">
        <v>7405</v>
      </c>
      <c r="B663" s="316" t="s">
        <v>150</v>
      </c>
      <c r="C663" s="510" t="s">
        <v>151</v>
      </c>
      <c r="D663" s="510" t="s">
        <v>152</v>
      </c>
      <c r="E663" s="512" t="s">
        <v>153</v>
      </c>
      <c r="F663" s="511" t="s">
        <v>154</v>
      </c>
      <c r="G663">
        <f>IF(getRGB1($C663)="FFFFFF",0,1)+IF(getRGB1($D663)="FFFFFF",0,2)+IF(getRGB1($E663)="FFFFFF",0,3)+IF(getRGB1($F663)="FFFFFF",0,4)</f>
        <v>4</v>
      </c>
    </row>
    <row r="664" spans="1:7" ht="30">
      <c r="A664" t="s">
        <v>7405</v>
      </c>
      <c r="B664" s="316" t="s">
        <v>155</v>
      </c>
      <c r="C664" s="510" t="s">
        <v>156</v>
      </c>
      <c r="D664" s="510" t="s">
        <v>157</v>
      </c>
      <c r="E664" s="512" t="s">
        <v>158</v>
      </c>
      <c r="F664" s="511" t="s">
        <v>159</v>
      </c>
      <c r="G664">
        <f>IF(getRGB1($C664)="FFFFFF",0,1)+IF(getRGB1($D664)="FFFFFF",0,2)+IF(getRGB1($E664)="FFFFFF",0,3)+IF(getRGB1($F664)="FFFFFF",0,4)</f>
        <v>4</v>
      </c>
    </row>
    <row r="665" spans="1:7" ht="30">
      <c r="A665" t="s">
        <v>7405</v>
      </c>
      <c r="B665" s="316" t="s">
        <v>160</v>
      </c>
      <c r="C665" s="511" t="s">
        <v>161</v>
      </c>
      <c r="D665" s="510" t="s">
        <v>162</v>
      </c>
      <c r="E665" s="512" t="s">
        <v>163</v>
      </c>
      <c r="F665" s="510" t="s">
        <v>164</v>
      </c>
      <c r="G665">
        <f>IF(getRGB1($C665)="FFFFFF",0,1)+IF(getRGB1($D665)="FFFFFF",0,2)+IF(getRGB1($E665)="FFFFFF",0,3)+IF(getRGB1($F665)="FFFFFF",0,4)</f>
        <v>1</v>
      </c>
    </row>
    <row r="666" spans="1:7" ht="30">
      <c r="A666" t="s">
        <v>7405</v>
      </c>
      <c r="B666" s="316" t="s">
        <v>165</v>
      </c>
      <c r="C666" s="511" t="s">
        <v>166</v>
      </c>
      <c r="D666" s="514" t="s">
        <v>167</v>
      </c>
      <c r="E666" s="521" t="s">
        <v>168</v>
      </c>
      <c r="F666" s="516" t="s">
        <v>169</v>
      </c>
      <c r="G666">
        <f>IF(getRGB1($C666)="FFFFFF",0,1)+IF(getRGB1($D666)="FFFFFF",0,2)+IF(getRGB1($E666)="FFFFFF",0,3)+IF(getRGB1($F666)="FFFFFF",0,4)</f>
        <v>1</v>
      </c>
    </row>
    <row r="667" spans="1:7">
      <c r="A667" t="s">
        <v>7405</v>
      </c>
      <c r="B667" s="316" t="s">
        <v>170</v>
      </c>
      <c r="C667" s="514" t="s">
        <v>38</v>
      </c>
      <c r="D667" s="514" t="s">
        <v>40</v>
      </c>
      <c r="E667" s="513" t="s">
        <v>37</v>
      </c>
      <c r="F667" s="514" t="s">
        <v>39</v>
      </c>
      <c r="G667">
        <f>IF(getRGB1($C667)="FFFFFF",0,1)+IF(getRGB1($D667)="FFFFFF",0,2)+IF(getRGB1($E667)="FFFFFF",0,3)+IF(getRGB1($F667)="FFFFFF",0,4)</f>
        <v>3</v>
      </c>
    </row>
    <row r="668" spans="1:7" ht="30">
      <c r="A668" t="s">
        <v>7405</v>
      </c>
      <c r="B668" s="316" t="s">
        <v>171</v>
      </c>
      <c r="C668" s="510" t="s">
        <v>37</v>
      </c>
      <c r="D668" s="511" t="s">
        <v>38</v>
      </c>
      <c r="E668" s="512" t="s">
        <v>39</v>
      </c>
      <c r="F668" s="510" t="s">
        <v>40</v>
      </c>
      <c r="G668">
        <f>IF(getRGB1($C668)="FFFFFF",0,1)+IF(getRGB1($D668)="FFFFFF",0,2)+IF(getRGB1($E668)="FFFFFF",0,3)+IF(getRGB1($F668)="FFFFFF",0,4)</f>
        <v>2</v>
      </c>
    </row>
    <row r="669" spans="1:7" ht="30">
      <c r="A669" t="s">
        <v>7405</v>
      </c>
      <c r="B669" s="316" t="s">
        <v>172</v>
      </c>
      <c r="C669" s="510" t="s">
        <v>173</v>
      </c>
      <c r="D669" s="511" t="s">
        <v>174</v>
      </c>
      <c r="E669" s="512" t="s">
        <v>74</v>
      </c>
      <c r="F669" s="510" t="s">
        <v>73</v>
      </c>
      <c r="G669">
        <f>IF(getRGB1($C669)="FFFFFF",0,1)+IF(getRGB1($D669)="FFFFFF",0,2)+IF(getRGB1($E669)="FFFFFF",0,3)+IF(getRGB1($F669)="FFFFFF",0,4)</f>
        <v>2</v>
      </c>
    </row>
    <row r="670" spans="1:7" ht="30">
      <c r="A670" t="s">
        <v>7405</v>
      </c>
      <c r="B670" s="316" t="s">
        <v>175</v>
      </c>
      <c r="C670" s="511" t="s">
        <v>173</v>
      </c>
      <c r="D670" s="514" t="s">
        <v>174</v>
      </c>
      <c r="E670" s="515" t="s">
        <v>74</v>
      </c>
      <c r="F670" s="514" t="s">
        <v>73</v>
      </c>
      <c r="G670">
        <f>IF(getRGB1($C670)="FFFFFF",0,1)+IF(getRGB1($D670)="FFFFFF",0,2)+IF(getRGB1($E670)="FFFFFF",0,3)+IF(getRGB1($F670)="FFFFFF",0,4)</f>
        <v>1</v>
      </c>
    </row>
    <row r="671" spans="1:7" ht="30">
      <c r="A671" t="s">
        <v>7405</v>
      </c>
      <c r="B671" s="316" t="s">
        <v>176</v>
      </c>
      <c r="C671" s="511" t="s">
        <v>73</v>
      </c>
      <c r="D671" s="510" t="s">
        <v>177</v>
      </c>
      <c r="E671" s="512" t="s">
        <v>137</v>
      </c>
      <c r="F671" s="510" t="s">
        <v>174</v>
      </c>
      <c r="G671">
        <f>IF(getRGB1($C671)="FFFFFF",0,1)+IF(getRGB1($D671)="FFFFFF",0,2)+IF(getRGB1($E671)="FFFFFF",0,3)+IF(getRGB1($F671)="FFFFFF",0,4)</f>
        <v>1</v>
      </c>
    </row>
    <row r="672" spans="1:7" ht="30">
      <c r="A672" t="s">
        <v>7405</v>
      </c>
      <c r="B672" s="316" t="s">
        <v>178</v>
      </c>
      <c r="C672" s="511" t="s">
        <v>137</v>
      </c>
      <c r="D672" s="510" t="s">
        <v>179</v>
      </c>
      <c r="E672" s="512" t="s">
        <v>180</v>
      </c>
      <c r="F672" s="510" t="s">
        <v>173</v>
      </c>
      <c r="G672">
        <f>IF(getRGB1($C672)="FFFFFF",0,1)+IF(getRGB1($D672)="FFFFFF",0,2)+IF(getRGB1($E672)="FFFFFF",0,3)+IF(getRGB1($F672)="FFFFFF",0,4)</f>
        <v>1</v>
      </c>
    </row>
    <row r="673" spans="1:7" ht="45">
      <c r="A673" t="s">
        <v>7405</v>
      </c>
      <c r="B673" s="316" t="s">
        <v>181</v>
      </c>
      <c r="C673" s="511" t="s">
        <v>182</v>
      </c>
      <c r="D673" s="510" t="s">
        <v>183</v>
      </c>
      <c r="E673" s="512" t="s">
        <v>184</v>
      </c>
      <c r="F673" s="510" t="s">
        <v>185</v>
      </c>
      <c r="G673">
        <f>IF(getRGB1($C673)="FFFFFF",0,1)+IF(getRGB1($D673)="FFFFFF",0,2)+IF(getRGB1($E673)="FFFFFF",0,3)+IF(getRGB1($F673)="FFFFFF",0,4)</f>
        <v>1</v>
      </c>
    </row>
    <row r="674" spans="1:7" ht="60">
      <c r="A674" t="s">
        <v>7405</v>
      </c>
      <c r="B674" s="316" t="s">
        <v>186</v>
      </c>
      <c r="C674" s="510" t="s">
        <v>187</v>
      </c>
      <c r="D674" s="510" t="s">
        <v>188</v>
      </c>
      <c r="E674" s="513" t="s">
        <v>189</v>
      </c>
      <c r="F674" s="510" t="s">
        <v>190</v>
      </c>
      <c r="G674">
        <f>IF(getRGB1($C674)="FFFFFF",0,1)+IF(getRGB1($D674)="FFFFFF",0,2)+IF(getRGB1($E674)="FFFFFF",0,3)+IF(getRGB1($F674)="FFFFFF",0,4)</f>
        <v>3</v>
      </c>
    </row>
    <row r="675" spans="1:7" ht="30">
      <c r="A675" t="s">
        <v>7405</v>
      </c>
      <c r="B675" s="316" t="s">
        <v>191</v>
      </c>
      <c r="C675" s="510" t="s">
        <v>192</v>
      </c>
      <c r="D675" s="510" t="s">
        <v>193</v>
      </c>
      <c r="E675" s="512" t="s">
        <v>194</v>
      </c>
      <c r="F675" s="511" t="s">
        <v>195</v>
      </c>
      <c r="G675">
        <f>IF(getRGB1($C675)="FFFFFF",0,1)+IF(getRGB1($D675)="FFFFFF",0,2)+IF(getRGB1($E675)="FFFFFF",0,3)+IF(getRGB1($F675)="FFFFFF",0,4)</f>
        <v>4</v>
      </c>
    </row>
    <row r="676" spans="1:7" ht="30">
      <c r="A676" t="s">
        <v>7405</v>
      </c>
      <c r="B676" s="316" t="s">
        <v>196</v>
      </c>
      <c r="C676" s="510" t="s">
        <v>74</v>
      </c>
      <c r="D676" s="511" t="s">
        <v>137</v>
      </c>
      <c r="E676" s="512" t="s">
        <v>76</v>
      </c>
      <c r="F676" s="510" t="s">
        <v>179</v>
      </c>
      <c r="G676">
        <f>IF(getRGB1($C676)="FFFFFF",0,1)+IF(getRGB1($D676)="FFFFFF",0,2)+IF(getRGB1($E676)="FFFFFF",0,3)+IF(getRGB1($F676)="FFFFFF",0,4)</f>
        <v>2</v>
      </c>
    </row>
    <row r="677" spans="1:7" ht="30">
      <c r="A677" t="s">
        <v>7405</v>
      </c>
      <c r="B677" s="316" t="s">
        <v>197</v>
      </c>
      <c r="C677" s="510" t="s">
        <v>198</v>
      </c>
      <c r="D677" s="511" t="s">
        <v>199</v>
      </c>
      <c r="E677" s="515" t="s">
        <v>200</v>
      </c>
      <c r="F677" s="514" t="s">
        <v>61</v>
      </c>
      <c r="G677">
        <f>IF(getRGB1($C677)="FFFFFF",0,1)+IF(getRGB1($D677)="FFFFFF",0,2)+IF(getRGB1($E677)="FFFFFF",0,3)+IF(getRGB1($F677)="FFFFFF",0,4)</f>
        <v>2</v>
      </c>
    </row>
    <row r="678" spans="1:7" ht="30">
      <c r="A678" t="s">
        <v>7405</v>
      </c>
      <c r="B678" s="316" t="s">
        <v>201</v>
      </c>
      <c r="C678" s="514" t="s">
        <v>202</v>
      </c>
      <c r="D678" s="514" t="s">
        <v>203</v>
      </c>
      <c r="E678" s="513" t="s">
        <v>204</v>
      </c>
      <c r="F678" s="514" t="s">
        <v>205</v>
      </c>
      <c r="G678">
        <f>IF(getRGB1($C678)="FFFFFF",0,1)+IF(getRGB1($D678)="FFFFFF",0,2)+IF(getRGB1($E678)="FFFFFF",0,3)+IF(getRGB1($F678)="FFFFFF",0,4)</f>
        <v>3</v>
      </c>
    </row>
    <row r="679" spans="1:7" ht="135">
      <c r="A679" t="s">
        <v>7405</v>
      </c>
      <c r="B679" s="316" t="s">
        <v>7406</v>
      </c>
      <c r="C679" s="514" t="s">
        <v>206</v>
      </c>
      <c r="D679" s="514" t="s">
        <v>207</v>
      </c>
      <c r="E679" s="513" t="s">
        <v>208</v>
      </c>
      <c r="F679" s="514" t="s">
        <v>209</v>
      </c>
      <c r="G679">
        <f>IF(getRGB1($C679)="FFFFFF",0,1)+IF(getRGB1($D679)="FFFFFF",0,2)+IF(getRGB1($E679)="FFFFFF",0,3)+IF(getRGB1($F679)="FFFFFF",0,4)</f>
        <v>3</v>
      </c>
    </row>
    <row r="680" spans="1:7" ht="30">
      <c r="A680" t="s">
        <v>7405</v>
      </c>
      <c r="B680" s="316" t="s">
        <v>210</v>
      </c>
      <c r="C680" s="511">
        <v>10</v>
      </c>
      <c r="D680" s="514">
        <v>90</v>
      </c>
      <c r="E680" s="515">
        <v>45</v>
      </c>
      <c r="F680" s="514">
        <v>5</v>
      </c>
      <c r="G680">
        <f>IF(getRGB1($C680)="FFFFFF",0,1)+IF(getRGB1($D680)="FFFFFF",0,2)+IF(getRGB1($E680)="FFFFFF",0,3)+IF(getRGB1($F680)="FFFFFF",0,4)</f>
        <v>1</v>
      </c>
    </row>
    <row r="681" spans="1:7" ht="30">
      <c r="A681" t="s">
        <v>7405</v>
      </c>
      <c r="B681" s="316" t="s">
        <v>211</v>
      </c>
      <c r="C681" s="514" t="s">
        <v>212</v>
      </c>
      <c r="D681" s="514" t="s">
        <v>213</v>
      </c>
      <c r="E681" s="513" t="s">
        <v>214</v>
      </c>
      <c r="F681" s="514" t="s">
        <v>209</v>
      </c>
      <c r="G681">
        <f>IF(getRGB1($C681)="FFFFFF",0,1)+IF(getRGB1($D681)="FFFFFF",0,2)+IF(getRGB1($E681)="FFFFFF",0,3)+IF(getRGB1($F681)="FFFFFF",0,4)</f>
        <v>3</v>
      </c>
    </row>
    <row r="682" spans="1:7">
      <c r="A682" t="s">
        <v>7405</v>
      </c>
      <c r="B682" s="316" t="s">
        <v>215</v>
      </c>
      <c r="C682" s="514" t="s">
        <v>216</v>
      </c>
      <c r="D682" s="511" t="s">
        <v>108</v>
      </c>
      <c r="E682" s="515" t="s">
        <v>217</v>
      </c>
      <c r="F682" s="514" t="s">
        <v>209</v>
      </c>
      <c r="G682">
        <f>IF(getRGB1($C682)="FFFFFF",0,1)+IF(getRGB1($D682)="FFFFFF",0,2)+IF(getRGB1($E682)="FFFFFF",0,3)+IF(getRGB1($F682)="FFFFFF",0,4)</f>
        <v>2</v>
      </c>
    </row>
    <row r="683" spans="1:7" ht="75">
      <c r="A683" t="s">
        <v>7405</v>
      </c>
      <c r="B683" s="316" t="s">
        <v>218</v>
      </c>
      <c r="C683" s="514" t="s">
        <v>219</v>
      </c>
      <c r="D683" s="511" t="s">
        <v>220</v>
      </c>
      <c r="E683" s="515" t="s">
        <v>221</v>
      </c>
      <c r="F683" s="514" t="s">
        <v>209</v>
      </c>
      <c r="G683">
        <f>IF(getRGB1($C683)="FFFFFF",0,1)+IF(getRGB1($D683)="FFFFFF",0,2)+IF(getRGB1($E683)="FFFFFF",0,3)+IF(getRGB1($F683)="FFFFFF",0,4)</f>
        <v>2</v>
      </c>
    </row>
    <row r="684" spans="1:7" ht="60">
      <c r="A684" t="s">
        <v>7405</v>
      </c>
      <c r="B684" s="316" t="s">
        <v>7407</v>
      </c>
      <c r="C684" s="514">
        <v>4</v>
      </c>
      <c r="D684" s="514">
        <v>1</v>
      </c>
      <c r="E684" s="513" t="s">
        <v>222</v>
      </c>
      <c r="F684" s="516" t="s">
        <v>223</v>
      </c>
      <c r="G684">
        <f>IF(getRGB1($C684)="FFFFFF",0,1)+IF(getRGB1($D684)="FFFFFF",0,2)+IF(getRGB1($E684)="FFFFFF",0,3)+IF(getRGB1($F684)="FFFFFF",0,4)</f>
        <v>3</v>
      </c>
    </row>
    <row r="685" spans="1:7" ht="75">
      <c r="A685" t="s">
        <v>7405</v>
      </c>
      <c r="B685" s="316" t="s">
        <v>224</v>
      </c>
      <c r="C685" s="530" t="s">
        <v>225</v>
      </c>
      <c r="D685" s="530" t="s">
        <v>226</v>
      </c>
      <c r="E685" s="531" t="s">
        <v>227</v>
      </c>
      <c r="F685" s="514" t="s">
        <v>209</v>
      </c>
      <c r="G685">
        <f>IF(getRGB1($C685)="FFFFFF",0,1)+IF(getRGB1($D685)="FFFFFF",0,2)+IF(getRGB1($E685)="FFFFFF",0,3)+IF(getRGB1($F685)="FFFFFF",0,4)</f>
        <v>3</v>
      </c>
    </row>
    <row r="686" spans="1:7" ht="30">
      <c r="A686" t="s">
        <v>7405</v>
      </c>
      <c r="B686" s="316" t="s">
        <v>228</v>
      </c>
      <c r="C686" s="519" t="s">
        <v>229</v>
      </c>
      <c r="D686" s="514" t="s">
        <v>230</v>
      </c>
      <c r="E686" s="513" t="s">
        <v>231</v>
      </c>
      <c r="F686" s="514" t="s">
        <v>232</v>
      </c>
      <c r="G686">
        <f>IF(getRGB1($C686)="FFFFFF",0,1)+IF(getRGB1($D686)="FFFFFF",0,2)+IF(getRGB1($E686)="FFFFFF",0,3)+IF(getRGB1($F686)="FFFFFF",0,4)</f>
        <v>3</v>
      </c>
    </row>
    <row r="687" spans="1:7" ht="135">
      <c r="A687" t="s">
        <v>7405</v>
      </c>
      <c r="B687" s="316" t="s">
        <v>7408</v>
      </c>
      <c r="C687" s="514" t="s">
        <v>233</v>
      </c>
      <c r="D687" s="514" t="s">
        <v>234</v>
      </c>
      <c r="E687" s="515" t="s">
        <v>235</v>
      </c>
      <c r="F687" s="511" t="s">
        <v>236</v>
      </c>
      <c r="G687">
        <f>IF(getRGB1($C687)="FFFFFF",0,1)+IF(getRGB1($D687)="FFFFFF",0,2)+IF(getRGB1($E687)="FFFFFF",0,3)+IF(getRGB1($F687)="FFFFFF",0,4)</f>
        <v>4</v>
      </c>
    </row>
    <row r="688" spans="1:7" ht="150">
      <c r="A688" t="s">
        <v>7405</v>
      </c>
      <c r="B688" s="316" t="s">
        <v>7409</v>
      </c>
      <c r="C688" s="514" t="s">
        <v>237</v>
      </c>
      <c r="D688" s="511">
        <v>2</v>
      </c>
      <c r="E688" s="515" t="s">
        <v>238</v>
      </c>
      <c r="F688" s="514" t="s">
        <v>239</v>
      </c>
      <c r="G688">
        <f>IF(getRGB1($C688)="FFFFFF",0,1)+IF(getRGB1($D688)="FFFFFF",0,2)+IF(getRGB1($E688)="FFFFFF",0,3)+IF(getRGB1($F688)="FFFFFF",0,4)</f>
        <v>2</v>
      </c>
    </row>
    <row r="689" spans="1:7" ht="120">
      <c r="A689" t="s">
        <v>7405</v>
      </c>
      <c r="B689" s="316" t="s">
        <v>7410</v>
      </c>
      <c r="C689" s="686" t="s">
        <v>240</v>
      </c>
      <c r="D689" s="686" t="s">
        <v>241</v>
      </c>
      <c r="E689" s="533" t="s">
        <v>242</v>
      </c>
      <c r="F689" s="687" t="s">
        <v>236</v>
      </c>
      <c r="G689">
        <f>IF(getRGB1($C689)="FFFFFF",0,1)+IF(getRGB1($D689)="FFFFFF",0,2)+IF(getRGB1($E689)="FFFFFF",0,3)+IF(getRGB1($F689)="FFFFFF",0,4)</f>
        <v>3</v>
      </c>
    </row>
    <row r="690" spans="1:7" ht="120">
      <c r="A690" t="s">
        <v>7405</v>
      </c>
      <c r="B690" s="316" t="s">
        <v>7411</v>
      </c>
      <c r="C690" s="516" t="s">
        <v>239</v>
      </c>
      <c r="D690" s="516" t="s">
        <v>243</v>
      </c>
      <c r="E690" s="513" t="s">
        <v>244</v>
      </c>
      <c r="F690" s="516" t="s">
        <v>245</v>
      </c>
      <c r="G690">
        <f>IF(getRGB1($C690)="FFFFFF",0,1)+IF(getRGB1($D690)="FFFFFF",0,2)+IF(getRGB1($E690)="FFFFFF",0,3)+IF(getRGB1($F690)="FFFFFF",0,4)</f>
        <v>3</v>
      </c>
    </row>
    <row r="691" spans="1:7" ht="30">
      <c r="A691" t="s">
        <v>7405</v>
      </c>
      <c r="B691" s="316" t="s">
        <v>246</v>
      </c>
      <c r="C691" s="511" t="s">
        <v>247</v>
      </c>
      <c r="D691" s="514" t="s">
        <v>248</v>
      </c>
      <c r="E691" s="515" t="s">
        <v>249</v>
      </c>
      <c r="F691" s="514" t="s">
        <v>250</v>
      </c>
      <c r="G691">
        <f>IF(getRGB1($C691)="FFFFFF",0,1)+IF(getRGB1($D691)="FFFFFF",0,2)+IF(getRGB1($E691)="FFFFFF",0,3)+IF(getRGB1($F691)="FFFFFF",0,4)</f>
        <v>1</v>
      </c>
    </row>
    <row r="692" spans="1:7" ht="45">
      <c r="A692" t="s">
        <v>7405</v>
      </c>
      <c r="B692" s="316" t="s">
        <v>251</v>
      </c>
      <c r="C692" s="514">
        <v>1</v>
      </c>
      <c r="D692" s="516">
        <v>3</v>
      </c>
      <c r="E692" s="515" t="s">
        <v>239</v>
      </c>
      <c r="F692" s="511" t="s">
        <v>252</v>
      </c>
      <c r="G692">
        <f>IF(getRGB1($C692)="FFFFFF",0,1)+IF(getRGB1($D692)="FFFFFF",0,2)+IF(getRGB1($E692)="FFFFFF",0,3)+IF(getRGB1($F692)="FFFFFF",0,4)</f>
        <v>4</v>
      </c>
    </row>
    <row r="693" spans="1:7" ht="60">
      <c r="A693" t="s">
        <v>7405</v>
      </c>
      <c r="B693" s="316" t="s">
        <v>253</v>
      </c>
      <c r="C693" s="511" t="s">
        <v>254</v>
      </c>
      <c r="D693" s="514" t="s">
        <v>8</v>
      </c>
      <c r="E693" s="515">
        <v>95</v>
      </c>
      <c r="F693" s="514" t="s">
        <v>209</v>
      </c>
      <c r="G693">
        <f>IF(getRGB1($C693)="FFFFFF",0,1)+IF(getRGB1($D693)="FFFFFF",0,2)+IF(getRGB1($E693)="FFFFFF",0,3)+IF(getRGB1($F693)="FFFFFF",0,4)</f>
        <v>1</v>
      </c>
    </row>
    <row r="694" spans="1:7" ht="30">
      <c r="A694" t="s">
        <v>7405</v>
      </c>
      <c r="B694" s="316" t="s">
        <v>255</v>
      </c>
      <c r="C694" s="514" t="s">
        <v>256</v>
      </c>
      <c r="D694" s="511" t="s">
        <v>257</v>
      </c>
      <c r="E694" s="515" t="s">
        <v>258</v>
      </c>
      <c r="F694" s="514" t="s">
        <v>259</v>
      </c>
      <c r="G694">
        <f>IF(getRGB1($C694)="FFFFFF",0,1)+IF(getRGB1($D694)="FFFFFF",0,2)+IF(getRGB1($E694)="FFFFFF",0,3)+IF(getRGB1($F694)="FFFFFF",0,4)</f>
        <v>2</v>
      </c>
    </row>
    <row r="695" spans="1:7" ht="30">
      <c r="A695" t="s">
        <v>7405</v>
      </c>
      <c r="B695" s="316" t="s">
        <v>260</v>
      </c>
      <c r="C695" s="514" t="s">
        <v>261</v>
      </c>
      <c r="D695" s="511" t="s">
        <v>262</v>
      </c>
      <c r="E695" s="515" t="s">
        <v>263</v>
      </c>
      <c r="F695" s="514" t="s">
        <v>264</v>
      </c>
      <c r="G695">
        <f>IF(getRGB1($C695)="FFFFFF",0,1)+IF(getRGB1($D695)="FFFFFF",0,2)+IF(getRGB1($E695)="FFFFFF",0,3)+IF(getRGB1($F695)="FFFFFF",0,4)</f>
        <v>2</v>
      </c>
    </row>
    <row r="696" spans="1:7" ht="45">
      <c r="A696" t="s">
        <v>7405</v>
      </c>
      <c r="B696" s="316" t="s">
        <v>265</v>
      </c>
      <c r="C696" s="511" t="s">
        <v>73</v>
      </c>
      <c r="D696" s="514" t="s">
        <v>76</v>
      </c>
      <c r="E696" s="515" t="s">
        <v>74</v>
      </c>
      <c r="F696" s="514" t="s">
        <v>266</v>
      </c>
      <c r="G696">
        <f>IF(getRGB1($C696)="FFFFFF",0,1)+IF(getRGB1($D696)="FFFFFF",0,2)+IF(getRGB1($E696)="FFFFFF",0,3)+IF(getRGB1($F696)="FFFFFF",0,4)</f>
        <v>1</v>
      </c>
    </row>
    <row r="697" spans="1:7" ht="30">
      <c r="A697" t="s">
        <v>7405</v>
      </c>
      <c r="B697" s="316" t="s">
        <v>267</v>
      </c>
      <c r="C697" s="514" t="s">
        <v>180</v>
      </c>
      <c r="D697" s="511" t="s">
        <v>73</v>
      </c>
      <c r="E697" s="515" t="s">
        <v>76</v>
      </c>
      <c r="F697" s="514" t="s">
        <v>266</v>
      </c>
      <c r="G697">
        <f>IF(getRGB1($C697)="FFFFFF",0,1)+IF(getRGB1($D697)="FFFFFF",0,2)+IF(getRGB1($E697)="FFFFFF",0,3)+IF(getRGB1($F697)="FFFFFF",0,4)</f>
        <v>2</v>
      </c>
    </row>
    <row r="698" spans="1:7" ht="45">
      <c r="A698" t="s">
        <v>7405</v>
      </c>
      <c r="B698" s="316" t="s">
        <v>268</v>
      </c>
      <c r="C698" s="514" t="s">
        <v>76</v>
      </c>
      <c r="D698" s="514" t="s">
        <v>266</v>
      </c>
      <c r="E698" s="513" t="s">
        <v>73</v>
      </c>
      <c r="F698" s="514" t="s">
        <v>74</v>
      </c>
      <c r="G698">
        <f>IF(getRGB1($C698)="FFFFFF",0,1)+IF(getRGB1($D698)="FFFFFF",0,2)+IF(getRGB1($E698)="FFFFFF",0,3)+IF(getRGB1($F698)="FFFFFF",0,4)</f>
        <v>3</v>
      </c>
    </row>
    <row r="699" spans="1:7" ht="45">
      <c r="A699" t="s">
        <v>7405</v>
      </c>
      <c r="B699" s="316" t="s">
        <v>8748</v>
      </c>
      <c r="C699" s="514" t="s">
        <v>74</v>
      </c>
      <c r="D699" s="514" t="s">
        <v>266</v>
      </c>
      <c r="E699" s="513" t="s">
        <v>76</v>
      </c>
      <c r="F699" s="514" t="s">
        <v>270</v>
      </c>
      <c r="G699">
        <f>IF(getRGB1($C699)="FFFFFF",0,1)+IF(getRGB1($D699)="FFFFFF",0,2)+IF(getRGB1($E699)="FFFFFF",0,3)+IF(getRGB1($F699)="FFFFFF",0,4)</f>
        <v>3</v>
      </c>
    </row>
    <row r="700" spans="1:7" ht="30">
      <c r="A700" t="s">
        <v>7405</v>
      </c>
      <c r="B700" s="316" t="s">
        <v>271</v>
      </c>
      <c r="C700" s="534" t="s">
        <v>272</v>
      </c>
      <c r="D700" s="534" t="s">
        <v>273</v>
      </c>
      <c r="E700" s="535" t="s">
        <v>274</v>
      </c>
      <c r="F700" s="514" t="s">
        <v>275</v>
      </c>
      <c r="G700">
        <f>IF(getRGB1($C700)="FFFFFF",0,1)+IF(getRGB1($D700)="FFFFFF",0,2)+IF(getRGB1($E700)="FFFFFF",0,3)+IF(getRGB1($F700)="FFFFFF",0,4)</f>
        <v>3</v>
      </c>
    </row>
    <row r="701" spans="1:7" ht="30">
      <c r="A701" t="s">
        <v>7405</v>
      </c>
      <c r="B701" s="316" t="s">
        <v>276</v>
      </c>
      <c r="C701" s="514">
        <v>2</v>
      </c>
      <c r="D701" s="514">
        <v>10</v>
      </c>
      <c r="E701" s="513">
        <v>1</v>
      </c>
      <c r="F701" s="514">
        <v>5</v>
      </c>
      <c r="G701">
        <f>IF(getRGB1($C701)="FFFFFF",0,1)+IF(getRGB1($D701)="FFFFFF",0,2)+IF(getRGB1($E701)="FFFFFF",0,3)+IF(getRGB1($F701)="FFFFFF",0,4)</f>
        <v>3</v>
      </c>
    </row>
    <row r="702" spans="1:7" ht="45">
      <c r="A702" t="s">
        <v>7405</v>
      </c>
      <c r="B702" s="316" t="s">
        <v>277</v>
      </c>
      <c r="C702" s="514" t="s">
        <v>278</v>
      </c>
      <c r="D702" s="511" t="s">
        <v>279</v>
      </c>
      <c r="E702" s="515" t="s">
        <v>280</v>
      </c>
      <c r="F702" s="514" t="s">
        <v>209</v>
      </c>
      <c r="G702">
        <f>IF(getRGB1($C702)="FFFFFF",0,1)+IF(getRGB1($D702)="FFFFFF",0,2)+IF(getRGB1($E702)="FFFFFF",0,3)+IF(getRGB1($F702)="FFFFFF",0,4)</f>
        <v>2</v>
      </c>
    </row>
    <row r="703" spans="1:7" ht="30">
      <c r="A703" t="s">
        <v>7405</v>
      </c>
      <c r="B703" s="126" t="s">
        <v>281</v>
      </c>
      <c r="C703" s="511" t="s">
        <v>73</v>
      </c>
      <c r="D703" s="514" t="s">
        <v>282</v>
      </c>
      <c r="E703" s="515" t="s">
        <v>283</v>
      </c>
      <c r="F703" s="514" t="s">
        <v>284</v>
      </c>
      <c r="G703">
        <f>IF(getRGB1($C703)="FFFFFF",0,1)+IF(getRGB1($D703)="FFFFFF",0,2)+IF(getRGB1($E703)="FFFFFF",0,3)+IF(getRGB1($F703)="FFFFFF",0,4)</f>
        <v>1</v>
      </c>
    </row>
    <row r="704" spans="1:7" ht="30">
      <c r="A704" t="s">
        <v>7405</v>
      </c>
      <c r="B704" s="126" t="s">
        <v>285</v>
      </c>
      <c r="C704" s="511" t="b">
        <v>1</v>
      </c>
      <c r="D704" s="514" t="b">
        <v>0</v>
      </c>
      <c r="E704" s="514"/>
      <c r="F704" s="514"/>
      <c r="G704">
        <f>IF(getRGB1($C704)="FFFFFF",0,1)+IF(getRGB1($D704)="FFFFFF",0,2)+IF(getRGB1($E704)="FFFFFF",0,3)+IF(getRGB1($F704)="FFFFFF",0,4)</f>
        <v>1</v>
      </c>
    </row>
    <row r="705" spans="1:7" ht="30">
      <c r="A705" t="s">
        <v>7405</v>
      </c>
      <c r="B705" s="126" t="s">
        <v>286</v>
      </c>
      <c r="C705" s="514">
        <v>1</v>
      </c>
      <c r="D705" s="514">
        <v>2</v>
      </c>
      <c r="E705" s="511">
        <v>3</v>
      </c>
      <c r="F705" s="514">
        <v>4</v>
      </c>
      <c r="G705">
        <f>IF(getRGB1($C705)="FFFFFF",0,1)+IF(getRGB1($D705)="FFFFFF",0,2)+IF(getRGB1($E705)="FFFFFF",0,3)+IF(getRGB1($F705)="FFFFFF",0,4)</f>
        <v>3</v>
      </c>
    </row>
    <row r="706" spans="1:7" ht="45">
      <c r="A706" t="s">
        <v>7405</v>
      </c>
      <c r="B706" s="126" t="s">
        <v>287</v>
      </c>
      <c r="C706" s="514" t="s">
        <v>288</v>
      </c>
      <c r="D706" s="514" t="s">
        <v>289</v>
      </c>
      <c r="E706" s="514" t="s">
        <v>290</v>
      </c>
      <c r="F706" s="511" t="s">
        <v>250</v>
      </c>
      <c r="G706">
        <f>IF(getRGB1($C706)="FFFFFF",0,1)+IF(getRGB1($D706)="FFFFFF",0,2)+IF(getRGB1($E706)="FFFFFF",0,3)+IF(getRGB1($F706)="FFFFFF",0,4)</f>
        <v>4</v>
      </c>
    </row>
    <row r="707" spans="1:7" ht="30">
      <c r="A707" t="s">
        <v>7405</v>
      </c>
      <c r="B707" s="126" t="s">
        <v>291</v>
      </c>
      <c r="C707" s="514">
        <v>7</v>
      </c>
      <c r="D707" s="514">
        <v>5</v>
      </c>
      <c r="E707" s="511">
        <v>1</v>
      </c>
      <c r="F707" s="514">
        <v>2</v>
      </c>
      <c r="G707">
        <f>IF(getRGB1($C707)="FFFFFF",0,1)+IF(getRGB1($D707)="FFFFFF",0,2)+IF(getRGB1($E707)="FFFFFF",0,3)+IF(getRGB1($F707)="FFFFFF",0,4)</f>
        <v>3</v>
      </c>
    </row>
    <row r="708" spans="1:7" ht="60">
      <c r="A708" t="s">
        <v>7405</v>
      </c>
      <c r="B708" s="126" t="s">
        <v>292</v>
      </c>
      <c r="C708" s="511" t="s">
        <v>293</v>
      </c>
      <c r="D708" s="514" t="s">
        <v>294</v>
      </c>
      <c r="E708" s="516" t="s">
        <v>295</v>
      </c>
      <c r="F708" s="514" t="s">
        <v>296</v>
      </c>
      <c r="G708">
        <f>IF(getRGB1($C708)="FFFFFF",0,1)+IF(getRGB1($D708)="FFFFFF",0,2)+IF(getRGB1($E708)="FFFFFF",0,3)+IF(getRGB1($F708)="FFFFFF",0,4)</f>
        <v>1</v>
      </c>
    </row>
    <row r="709" spans="1:7" ht="45">
      <c r="A709" t="s">
        <v>7405</v>
      </c>
      <c r="B709" s="126" t="s">
        <v>297</v>
      </c>
      <c r="C709" s="514">
        <v>1</v>
      </c>
      <c r="D709" s="511" t="s">
        <v>239</v>
      </c>
      <c r="E709" s="514">
        <v>3</v>
      </c>
      <c r="F709" s="514" t="s">
        <v>298</v>
      </c>
      <c r="G709">
        <f>IF(getRGB1($C709)="FFFFFF",0,1)+IF(getRGB1($D709)="FFFFFF",0,2)+IF(getRGB1($E709)="FFFFFF",0,3)+IF(getRGB1($F709)="FFFFFF",0,4)</f>
        <v>2</v>
      </c>
    </row>
    <row r="710" spans="1:7" ht="75">
      <c r="A710" t="s">
        <v>7405</v>
      </c>
      <c r="B710" s="126" t="s">
        <v>299</v>
      </c>
      <c r="C710" s="514" t="s">
        <v>300</v>
      </c>
      <c r="D710" s="514" t="s">
        <v>301</v>
      </c>
      <c r="E710" s="511" t="s">
        <v>283</v>
      </c>
      <c r="F710" s="514" t="s">
        <v>302</v>
      </c>
      <c r="G710">
        <f>IF(getRGB1($C710)="FFFFFF",0,1)+IF(getRGB1($D710)="FFFFFF",0,2)+IF(getRGB1($E710)="FFFFFF",0,3)+IF(getRGB1($F710)="FFFFFF",0,4)</f>
        <v>3</v>
      </c>
    </row>
    <row r="711" spans="1:7" ht="60">
      <c r="A711" t="s">
        <v>7405</v>
      </c>
      <c r="B711" s="688" t="s">
        <v>303</v>
      </c>
      <c r="C711" s="687" t="s">
        <v>304</v>
      </c>
      <c r="D711" s="687" t="s">
        <v>305</v>
      </c>
      <c r="E711" s="687" t="s">
        <v>306</v>
      </c>
      <c r="F711" s="687" t="s">
        <v>209</v>
      </c>
      <c r="G711">
        <f>IF(getRGB1($C711)="FFFFFF",0,1)+IF(getRGB1($D711)="FFFFFF",0,2)+IF(getRGB1($E711)="FFFFFF",0,3)+IF(getRGB1($F711)="FFFFFF",0,4)</f>
        <v>0</v>
      </c>
    </row>
    <row r="712" spans="1:7" ht="45">
      <c r="A712" t="s">
        <v>7405</v>
      </c>
      <c r="B712" s="688" t="s">
        <v>307</v>
      </c>
      <c r="C712" s="687" t="s">
        <v>308</v>
      </c>
      <c r="D712" s="687" t="s">
        <v>309</v>
      </c>
      <c r="E712" s="687" t="s">
        <v>92</v>
      </c>
      <c r="F712" s="687" t="s">
        <v>310</v>
      </c>
      <c r="G712">
        <f>IF(getRGB1($C712)="FFFFFF",0,1)+IF(getRGB1($D712)="FFFFFF",0,2)+IF(getRGB1($E712)="FFFFFF",0,3)+IF(getRGB1($F712)="FFFFFF",0,4)</f>
        <v>0</v>
      </c>
    </row>
    <row r="713" spans="1:7" ht="60">
      <c r="A713" t="s">
        <v>7405</v>
      </c>
      <c r="B713" s="126" t="s">
        <v>311</v>
      </c>
      <c r="C713" s="514" t="s">
        <v>312</v>
      </c>
      <c r="D713" s="511" t="s">
        <v>313</v>
      </c>
      <c r="E713" s="514" t="s">
        <v>314</v>
      </c>
      <c r="F713" s="514" t="s">
        <v>61</v>
      </c>
      <c r="G713">
        <f>IF(getRGB1($C713)="FFFFFF",0,1)+IF(getRGB1($D713)="FFFFFF",0,2)+IF(getRGB1($E713)="FFFFFF",0,3)+IF(getRGB1($F713)="FFFFFF",0,4)</f>
        <v>2</v>
      </c>
    </row>
    <row r="714" spans="1:7" ht="75.75">
      <c r="A714" t="s">
        <v>7405</v>
      </c>
      <c r="B714" s="126" t="s">
        <v>7412</v>
      </c>
      <c r="C714" s="536">
        <v>1.25</v>
      </c>
      <c r="D714" s="532">
        <v>1.2</v>
      </c>
      <c r="E714" s="532">
        <v>1</v>
      </c>
      <c r="F714" s="532" t="s">
        <v>61</v>
      </c>
      <c r="G714">
        <f>IF(getRGB1($C714)="FFFFFF",0,1)+IF(getRGB1($D714)="FFFFFF",0,2)+IF(getRGB1($E714)="FFFFFF",0,3)+IF(getRGB1($F714)="FFFFFF",0,4)</f>
        <v>1</v>
      </c>
    </row>
    <row r="715" spans="1:7" ht="30">
      <c r="A715" t="s">
        <v>7405</v>
      </c>
      <c r="B715" s="126" t="s">
        <v>315</v>
      </c>
      <c r="C715" s="516">
        <v>1</v>
      </c>
      <c r="D715" s="514">
        <v>2</v>
      </c>
      <c r="E715" s="511">
        <v>3</v>
      </c>
      <c r="F715" s="514">
        <v>4</v>
      </c>
      <c r="G715">
        <f>IF(getRGB1($C715)="FFFFFF",0,1)+IF(getRGB1($D715)="FFFFFF",0,2)+IF(getRGB1($E715)="FFFFFF",0,3)+IF(getRGB1($F715)="FFFFFF",0,4)</f>
        <v>3</v>
      </c>
    </row>
    <row r="716" spans="1:7" ht="30">
      <c r="A716" t="s">
        <v>7405</v>
      </c>
      <c r="B716" s="126" t="s">
        <v>316</v>
      </c>
      <c r="C716" s="511" t="b">
        <v>1</v>
      </c>
      <c r="D716" s="514" t="b">
        <v>0</v>
      </c>
      <c r="E716" s="514"/>
      <c r="F716" s="514"/>
      <c r="G716">
        <f>IF(getRGB1($C716)="FFFFFF",0,1)+IF(getRGB1($D716)="FFFFFF",0,2)+IF(getRGB1($E716)="FFFFFF",0,3)+IF(getRGB1($F716)="FFFFFF",0,4)</f>
        <v>1</v>
      </c>
    </row>
    <row r="717" spans="1:7" ht="45">
      <c r="A717" t="s">
        <v>7405</v>
      </c>
      <c r="B717" s="126" t="s">
        <v>317</v>
      </c>
      <c r="C717" s="514" t="s">
        <v>308</v>
      </c>
      <c r="D717" s="514" t="s">
        <v>309</v>
      </c>
      <c r="E717" s="511" t="s">
        <v>92</v>
      </c>
      <c r="F717" s="514" t="s">
        <v>310</v>
      </c>
      <c r="G717">
        <f>IF(getRGB1($C717)="FFFFFF",0,1)+IF(getRGB1($D717)="FFFFFF",0,2)+IF(getRGB1($E717)="FFFFFF",0,3)+IF(getRGB1($F717)="FFFFFF",0,4)</f>
        <v>3</v>
      </c>
    </row>
    <row r="718" spans="1:7" ht="90">
      <c r="A718" t="s">
        <v>7405</v>
      </c>
      <c r="B718" s="316" t="s">
        <v>7413</v>
      </c>
      <c r="C718" s="516">
        <v>1</v>
      </c>
      <c r="D718" s="511">
        <v>2</v>
      </c>
      <c r="E718" s="514" t="s">
        <v>295</v>
      </c>
      <c r="F718" s="514" t="s">
        <v>318</v>
      </c>
      <c r="G718">
        <f>IF(getRGB1($C718)="FFFFFF",0,1)+IF(getRGB1($D718)="FFFFFF",0,2)+IF(getRGB1($E718)="FFFFFF",0,3)+IF(getRGB1($F718)="FFFFFF",0,4)</f>
        <v>2</v>
      </c>
    </row>
    <row r="719" spans="1:7" ht="135">
      <c r="A719" t="s">
        <v>7405</v>
      </c>
      <c r="B719" s="316" t="s">
        <v>319</v>
      </c>
      <c r="C719" s="514" t="s">
        <v>320</v>
      </c>
      <c r="D719" s="514" t="s">
        <v>321</v>
      </c>
      <c r="E719" s="514" t="s">
        <v>322</v>
      </c>
      <c r="F719" s="536" t="s">
        <v>323</v>
      </c>
      <c r="G719">
        <f>IF(getRGB1($C719)="FFFFFF",0,1)+IF(getRGB1($D719)="FFFFFF",0,2)+IF(getRGB1($E719)="FFFFFF",0,3)+IF(getRGB1($F719)="FFFFFF",0,4)</f>
        <v>4</v>
      </c>
    </row>
    <row r="720" spans="1:7" ht="75">
      <c r="A720" t="s">
        <v>7405</v>
      </c>
      <c r="B720" s="316" t="s">
        <v>324</v>
      </c>
      <c r="C720" s="514" t="s">
        <v>325</v>
      </c>
      <c r="D720" s="511" t="s">
        <v>326</v>
      </c>
      <c r="E720" s="514" t="s">
        <v>327</v>
      </c>
      <c r="F720" s="514" t="s">
        <v>328</v>
      </c>
      <c r="G720">
        <f>IF(getRGB1($C720)="FFFFFF",0,1)+IF(getRGB1($D720)="FFFFFF",0,2)+IF(getRGB1($E720)="FFFFFF",0,3)+IF(getRGB1($F720)="FFFFFF",0,4)</f>
        <v>2</v>
      </c>
    </row>
    <row r="721" spans="1:7" ht="75">
      <c r="A721" t="s">
        <v>7405</v>
      </c>
      <c r="B721" s="316" t="s">
        <v>329</v>
      </c>
      <c r="C721" s="511" t="s">
        <v>330</v>
      </c>
      <c r="D721" s="516" t="s">
        <v>331</v>
      </c>
      <c r="E721" s="516" t="s">
        <v>332</v>
      </c>
      <c r="F721" s="514" t="s">
        <v>333</v>
      </c>
      <c r="G721">
        <f>IF(getRGB1($C721)="FFFFFF",0,1)+IF(getRGB1($D721)="FFFFFF",0,2)+IF(getRGB1($E721)="FFFFFF",0,3)+IF(getRGB1($F721)="FFFFFF",0,4)</f>
        <v>1</v>
      </c>
    </row>
    <row r="722" spans="1:7" ht="60">
      <c r="A722" t="s">
        <v>7405</v>
      </c>
      <c r="B722" s="316" t="s">
        <v>334</v>
      </c>
      <c r="C722" s="514" t="s">
        <v>335</v>
      </c>
      <c r="D722" s="514" t="s">
        <v>336</v>
      </c>
      <c r="E722" s="537" t="s">
        <v>337</v>
      </c>
      <c r="F722" s="511" t="s">
        <v>338</v>
      </c>
      <c r="G722">
        <f>IF(getRGB1($C722)="FFFFFF",0,1)+IF(getRGB1($D722)="FFFFFF",0,2)+IF(getRGB1($E722)="FFFFFF",0,3)+IF(getRGB1($F722)="FFFFFF",0,4)</f>
        <v>4</v>
      </c>
    </row>
    <row r="723" spans="1:7" ht="75">
      <c r="A723" t="s">
        <v>7405</v>
      </c>
      <c r="B723" s="316" t="s">
        <v>339</v>
      </c>
      <c r="C723" s="514" t="s">
        <v>340</v>
      </c>
      <c r="D723" s="514" t="s">
        <v>341</v>
      </c>
      <c r="E723" s="514" t="s">
        <v>342</v>
      </c>
      <c r="F723" s="511" t="s">
        <v>343</v>
      </c>
      <c r="G723">
        <f>IF(getRGB1($C723)="FFFFFF",0,1)+IF(getRGB1($D723)="FFFFFF",0,2)+IF(getRGB1($E723)="FFFFFF",0,3)+IF(getRGB1($F723)="FFFFFF",0,4)</f>
        <v>4</v>
      </c>
    </row>
    <row r="724" spans="1:7" ht="90">
      <c r="A724" t="s">
        <v>7405</v>
      </c>
      <c r="B724" s="316" t="s">
        <v>344</v>
      </c>
      <c r="C724" s="514" t="s">
        <v>345</v>
      </c>
      <c r="D724" s="514" t="s">
        <v>346</v>
      </c>
      <c r="E724" s="511" t="s">
        <v>347</v>
      </c>
      <c r="F724" s="514" t="s">
        <v>348</v>
      </c>
      <c r="G724">
        <f>IF(getRGB1($C724)="FFFFFF",0,1)+IF(getRGB1($D724)="FFFFFF",0,2)+IF(getRGB1($E724)="FFFFFF",0,3)+IF(getRGB1($F724)="FFFFFF",0,4)</f>
        <v>3</v>
      </c>
    </row>
    <row r="725" spans="1:7" ht="75">
      <c r="A725" t="s">
        <v>7405</v>
      </c>
      <c r="B725" s="316" t="s">
        <v>349</v>
      </c>
      <c r="C725" s="514" t="s">
        <v>340</v>
      </c>
      <c r="D725" s="514" t="s">
        <v>350</v>
      </c>
      <c r="E725" s="514" t="s">
        <v>342</v>
      </c>
      <c r="F725" s="514" t="s">
        <v>351</v>
      </c>
      <c r="G725">
        <f>IF(getRGB1($C725)="FFFFFF",0,1)+IF(getRGB1($D725)="FFFFFF",0,2)+IF(getRGB1($E725)="FFFFFF",0,3)+IF(getRGB1($F725)="FFFFFF",0,4)</f>
        <v>0</v>
      </c>
    </row>
    <row r="726" spans="1:7" ht="90">
      <c r="A726" t="s">
        <v>7405</v>
      </c>
      <c r="B726" s="316" t="s">
        <v>8749</v>
      </c>
      <c r="C726" s="514" t="s">
        <v>353</v>
      </c>
      <c r="D726" s="511" t="s">
        <v>354</v>
      </c>
      <c r="E726" s="514" t="s">
        <v>355</v>
      </c>
      <c r="F726" s="514" t="s">
        <v>209</v>
      </c>
      <c r="G726">
        <f>IF(getRGB1($C726)="FFFFFF",0,1)+IF(getRGB1($D726)="FFFFFF",0,2)+IF(getRGB1($E726)="FFFFFF",0,3)+IF(getRGB1($F726)="FFFFFF",0,4)</f>
        <v>2</v>
      </c>
    </row>
    <row r="727" spans="1:7" ht="60">
      <c r="A727" t="s">
        <v>7405</v>
      </c>
      <c r="B727" s="316" t="s">
        <v>356</v>
      </c>
      <c r="C727" s="514" t="s">
        <v>357</v>
      </c>
      <c r="D727" s="514" t="s">
        <v>358</v>
      </c>
      <c r="E727" s="514" t="s">
        <v>359</v>
      </c>
      <c r="F727" s="511" t="s">
        <v>360</v>
      </c>
      <c r="G727">
        <f>IF(getRGB1($C727)="FFFFFF",0,1)+IF(getRGB1($D727)="FFFFFF",0,2)+IF(getRGB1($E727)="FFFFFF",0,3)+IF(getRGB1($F727)="FFFFFF",0,4)</f>
        <v>4</v>
      </c>
    </row>
    <row r="728" spans="1:7" ht="60">
      <c r="A728" t="s">
        <v>7405</v>
      </c>
      <c r="B728" s="316" t="s">
        <v>361</v>
      </c>
      <c r="C728" s="514">
        <v>20</v>
      </c>
      <c r="D728" s="514">
        <v>120</v>
      </c>
      <c r="E728" s="511">
        <v>100</v>
      </c>
      <c r="F728" s="514">
        <v>110</v>
      </c>
      <c r="G728">
        <f>IF(getRGB1($C728)="FFFFFF",0,1)+IF(getRGB1($D728)="FFFFFF",0,2)+IF(getRGB1($E728)="FFFFFF",0,3)+IF(getRGB1($F728)="FFFFFF",0,4)</f>
        <v>3</v>
      </c>
    </row>
    <row r="729" spans="1:7" ht="105">
      <c r="A729" t="s">
        <v>7405</v>
      </c>
      <c r="B729" s="316" t="s">
        <v>8750</v>
      </c>
      <c r="C729" s="514" t="s">
        <v>363</v>
      </c>
      <c r="D729" s="511" t="s">
        <v>364</v>
      </c>
      <c r="E729" s="514" t="s">
        <v>365</v>
      </c>
      <c r="F729" s="514" t="s">
        <v>366</v>
      </c>
      <c r="G729">
        <f>IF(getRGB1($C729)="FFFFFF",0,1)+IF(getRGB1($D729)="FFFFFF",0,2)+IF(getRGB1($E729)="FFFFFF",0,3)+IF(getRGB1($F729)="FFFFFF",0,4)</f>
        <v>2</v>
      </c>
    </row>
    <row r="730" spans="1:7" ht="90">
      <c r="A730" t="s">
        <v>7405</v>
      </c>
      <c r="B730" s="316" t="s">
        <v>367</v>
      </c>
      <c r="C730" s="514" t="s">
        <v>368</v>
      </c>
      <c r="D730" s="514" t="s">
        <v>369</v>
      </c>
      <c r="E730" s="511" t="s">
        <v>370</v>
      </c>
      <c r="F730" s="514" t="s">
        <v>209</v>
      </c>
      <c r="G730">
        <f>IF(getRGB1($C730)="FFFFFF",0,1)+IF(getRGB1($D730)="FFFFFF",0,2)+IF(getRGB1($E730)="FFFFFF",0,3)+IF(getRGB1($F730)="FFFFFF",0,4)</f>
        <v>3</v>
      </c>
    </row>
    <row r="731" spans="1:7" ht="45">
      <c r="A731" t="s">
        <v>7405</v>
      </c>
      <c r="B731" s="316" t="s">
        <v>371</v>
      </c>
      <c r="C731" s="514" t="s">
        <v>372</v>
      </c>
      <c r="D731" s="511" t="s">
        <v>373</v>
      </c>
      <c r="E731" s="514" t="s">
        <v>374</v>
      </c>
      <c r="F731" s="514" t="s">
        <v>375</v>
      </c>
      <c r="G731">
        <f>IF(getRGB1($C731)="FFFFFF",0,1)+IF(getRGB1($D731)="FFFFFF",0,2)+IF(getRGB1($E731)="FFFFFF",0,3)+IF(getRGB1($F731)="FFFFFF",0,4)</f>
        <v>2</v>
      </c>
    </row>
    <row r="732" spans="1:7" ht="30">
      <c r="A732" t="s">
        <v>7405</v>
      </c>
      <c r="B732" s="126" t="s">
        <v>376</v>
      </c>
      <c r="C732" s="511" t="b">
        <v>1</v>
      </c>
      <c r="D732" s="514" t="b">
        <v>0</v>
      </c>
      <c r="E732" s="514"/>
      <c r="F732" s="514"/>
      <c r="G732">
        <f>IF(getRGB1($C732)="FFFFFF",0,1)+IF(getRGB1($D732)="FFFFFF",0,2)+IF(getRGB1($E732)="FFFFFF",0,3)+IF(getRGB1($F732)="FFFFFF",0,4)</f>
        <v>1</v>
      </c>
    </row>
    <row r="733" spans="1:7" ht="45">
      <c r="A733" t="s">
        <v>7405</v>
      </c>
      <c r="B733" s="126" t="s">
        <v>377</v>
      </c>
      <c r="C733" s="514" t="b">
        <v>0</v>
      </c>
      <c r="D733" s="511" t="b">
        <v>1</v>
      </c>
      <c r="E733" s="514"/>
      <c r="F733" s="514"/>
      <c r="G733">
        <f>IF(getRGB1($C733)="FFFFFF",0,1)+IF(getRGB1($D733)="FFFFFF",0,2)+IF(getRGB1($E733)="FFFFFF",0,3)+IF(getRGB1($F733)="FFFFFF",0,4)</f>
        <v>2</v>
      </c>
    </row>
    <row r="734" spans="1:7" ht="30">
      <c r="A734" t="s">
        <v>7405</v>
      </c>
      <c r="B734" s="126" t="s">
        <v>378</v>
      </c>
      <c r="C734" s="514" t="s">
        <v>379</v>
      </c>
      <c r="D734" s="514" t="s">
        <v>380</v>
      </c>
      <c r="E734" s="511" t="s">
        <v>381</v>
      </c>
      <c r="F734" s="514" t="s">
        <v>209</v>
      </c>
      <c r="G734">
        <f>IF(getRGB1($C734)="FFFFFF",0,1)+IF(getRGB1($D734)="FFFFFF",0,2)+IF(getRGB1($E734)="FFFFFF",0,3)+IF(getRGB1($F734)="FFFFFF",0,4)</f>
        <v>3</v>
      </c>
    </row>
    <row r="735" spans="1:7" ht="75">
      <c r="A735" t="s">
        <v>7405</v>
      </c>
      <c r="B735" s="126" t="s">
        <v>382</v>
      </c>
      <c r="C735" s="511" t="s">
        <v>383</v>
      </c>
      <c r="D735" s="514" t="s">
        <v>384</v>
      </c>
      <c r="E735" s="514" t="s">
        <v>385</v>
      </c>
      <c r="F735" s="514" t="s">
        <v>209</v>
      </c>
      <c r="G735">
        <f>IF(getRGB1($C735)="FFFFFF",0,1)+IF(getRGB1($D735)="FFFFFF",0,2)+IF(getRGB1($E735)="FFFFFF",0,3)+IF(getRGB1($F735)="FFFFFF",0,4)</f>
        <v>1</v>
      </c>
    </row>
    <row r="736" spans="1:7" ht="30">
      <c r="A736" t="s">
        <v>7405</v>
      </c>
      <c r="B736" s="126" t="s">
        <v>386</v>
      </c>
      <c r="C736" s="514" t="s">
        <v>387</v>
      </c>
      <c r="D736" s="511" t="s">
        <v>388</v>
      </c>
      <c r="E736" s="514" t="s">
        <v>389</v>
      </c>
      <c r="F736" s="514" t="s">
        <v>209</v>
      </c>
      <c r="G736">
        <f>IF(getRGB1($C736)="FFFFFF",0,1)+IF(getRGB1($D736)="FFFFFF",0,2)+IF(getRGB1($E736)="FFFFFF",0,3)+IF(getRGB1($F736)="FFFFFF",0,4)</f>
        <v>2</v>
      </c>
    </row>
    <row r="737" spans="1:7" ht="75">
      <c r="A737" t="s">
        <v>7405</v>
      </c>
      <c r="B737" s="126" t="s">
        <v>390</v>
      </c>
      <c r="C737" s="514" t="s">
        <v>391</v>
      </c>
      <c r="D737" s="514" t="s">
        <v>392</v>
      </c>
      <c r="E737" s="511" t="s">
        <v>393</v>
      </c>
      <c r="F737" s="514" t="s">
        <v>394</v>
      </c>
      <c r="G737">
        <f>IF(getRGB1($C737)="FFFFFF",0,1)+IF(getRGB1($D737)="FFFFFF",0,2)+IF(getRGB1($E737)="FFFFFF",0,3)+IF(getRGB1($F737)="FFFFFF",0,4)</f>
        <v>3</v>
      </c>
    </row>
    <row r="738" spans="1:7" ht="45">
      <c r="A738" t="s">
        <v>7405</v>
      </c>
      <c r="B738" s="126" t="s">
        <v>395</v>
      </c>
      <c r="C738" s="514" t="s">
        <v>396</v>
      </c>
      <c r="D738" s="511" t="s">
        <v>397</v>
      </c>
      <c r="E738" s="514" t="s">
        <v>398</v>
      </c>
      <c r="F738" s="514" t="s">
        <v>399</v>
      </c>
      <c r="G738">
        <f>IF(getRGB1($C738)="FFFFFF",0,1)+IF(getRGB1($D738)="FFFFFF",0,2)+IF(getRGB1($E738)="FFFFFF",0,3)+IF(getRGB1($F738)="FFFFFF",0,4)</f>
        <v>2</v>
      </c>
    </row>
    <row r="739" spans="1:7" ht="45">
      <c r="A739" t="s">
        <v>7405</v>
      </c>
      <c r="B739" s="126" t="s">
        <v>400</v>
      </c>
      <c r="C739" s="514" t="s">
        <v>401</v>
      </c>
      <c r="D739" s="514" t="s">
        <v>402</v>
      </c>
      <c r="E739" s="511" t="s">
        <v>403</v>
      </c>
      <c r="F739" s="514" t="s">
        <v>209</v>
      </c>
      <c r="G739">
        <f>IF(getRGB1($C739)="FFFFFF",0,1)+IF(getRGB1($D739)="FFFFFF",0,2)+IF(getRGB1($E739)="FFFFFF",0,3)+IF(getRGB1($F739)="FFFFFF",0,4)</f>
        <v>3</v>
      </c>
    </row>
    <row r="740" spans="1:7" ht="90">
      <c r="A740" t="s">
        <v>7405</v>
      </c>
      <c r="B740" s="126" t="s">
        <v>404</v>
      </c>
      <c r="C740" s="514" t="s">
        <v>405</v>
      </c>
      <c r="D740" s="514" t="s">
        <v>406</v>
      </c>
      <c r="E740" s="511" t="s">
        <v>407</v>
      </c>
      <c r="F740" s="514" t="s">
        <v>209</v>
      </c>
      <c r="G740">
        <f>IF(getRGB1($C740)="FFFFFF",0,1)+IF(getRGB1($D740)="FFFFFF",0,2)+IF(getRGB1($E740)="FFFFFF",0,3)+IF(getRGB1($F740)="FFFFFF",0,4)</f>
        <v>3</v>
      </c>
    </row>
    <row r="741" spans="1:7" ht="30">
      <c r="A741" t="s">
        <v>7405</v>
      </c>
      <c r="B741" s="126" t="s">
        <v>408</v>
      </c>
      <c r="C741" s="511" t="b">
        <v>1</v>
      </c>
      <c r="D741" s="514" t="b">
        <v>0</v>
      </c>
      <c r="E741" s="514"/>
      <c r="F741" s="514"/>
      <c r="G741">
        <f>IF(getRGB1($C741)="FFFFFF",0,1)+IF(getRGB1($D741)="FFFFFF",0,2)+IF(getRGB1($E741)="FFFFFF",0,3)+IF(getRGB1($F741)="FFFFFF",0,4)</f>
        <v>1</v>
      </c>
    </row>
    <row r="742" spans="1:7" ht="45">
      <c r="A742" t="s">
        <v>7405</v>
      </c>
      <c r="B742" s="126" t="s">
        <v>409</v>
      </c>
      <c r="C742" s="511" t="s">
        <v>410</v>
      </c>
      <c r="D742" s="514" t="s">
        <v>411</v>
      </c>
      <c r="E742" s="514" t="s">
        <v>412</v>
      </c>
      <c r="F742" s="514" t="s">
        <v>209</v>
      </c>
      <c r="G742">
        <f>IF(getRGB1($C742)="FFFFFF",0,1)+IF(getRGB1($D742)="FFFFFF",0,2)+IF(getRGB1($E742)="FFFFFF",0,3)+IF(getRGB1($F742)="FFFFFF",0,4)</f>
        <v>1</v>
      </c>
    </row>
    <row r="743" spans="1:7" ht="45">
      <c r="A743" t="s">
        <v>7405</v>
      </c>
      <c r="B743" s="126" t="s">
        <v>413</v>
      </c>
      <c r="C743" s="514" t="s">
        <v>414</v>
      </c>
      <c r="D743" s="511" t="s">
        <v>415</v>
      </c>
      <c r="E743" s="514" t="s">
        <v>416</v>
      </c>
      <c r="F743" s="514" t="s">
        <v>417</v>
      </c>
      <c r="G743">
        <f>IF(getRGB1($C743)="FFFFFF",0,1)+IF(getRGB1($D743)="FFFFFF",0,2)+IF(getRGB1($E743)="FFFFFF",0,3)+IF(getRGB1($F743)="FFFFFF",0,4)</f>
        <v>2</v>
      </c>
    </row>
    <row r="744" spans="1:7" ht="60">
      <c r="A744" t="s">
        <v>7405</v>
      </c>
      <c r="B744" s="126" t="s">
        <v>418</v>
      </c>
      <c r="C744" s="511" t="s">
        <v>419</v>
      </c>
      <c r="D744" s="514" t="s">
        <v>420</v>
      </c>
      <c r="E744" s="514" t="s">
        <v>421</v>
      </c>
      <c r="F744" s="514" t="s">
        <v>422</v>
      </c>
      <c r="G744">
        <f>IF(getRGB1($C744)="FFFFFF",0,1)+IF(getRGB1($D744)="FFFFFF",0,2)+IF(getRGB1($E744)="FFFFFF",0,3)+IF(getRGB1($F744)="FFFFFF",0,4)</f>
        <v>1</v>
      </c>
    </row>
    <row r="745" spans="1:7" ht="30">
      <c r="A745" t="s">
        <v>7405</v>
      </c>
      <c r="B745" s="126" t="s">
        <v>423</v>
      </c>
      <c r="C745" s="514" t="b">
        <v>0</v>
      </c>
      <c r="D745" s="511" t="b">
        <v>1</v>
      </c>
      <c r="E745" s="514"/>
      <c r="F745" s="514"/>
      <c r="G745">
        <f>IF(getRGB1($C745)="FFFFFF",0,1)+IF(getRGB1($D745)="FFFFFF",0,2)+IF(getRGB1($E745)="FFFFFF",0,3)+IF(getRGB1($F745)="FFFFFF",0,4)</f>
        <v>2</v>
      </c>
    </row>
    <row r="746" spans="1:7" ht="60">
      <c r="A746" t="s">
        <v>7405</v>
      </c>
      <c r="B746" s="126" t="s">
        <v>424</v>
      </c>
      <c r="C746" s="514" t="s">
        <v>425</v>
      </c>
      <c r="D746" s="511" t="s">
        <v>426</v>
      </c>
      <c r="E746" s="514" t="s">
        <v>427</v>
      </c>
      <c r="F746" s="514" t="s">
        <v>428</v>
      </c>
      <c r="G746">
        <f>IF(getRGB1($C746)="FFFFFF",0,1)+IF(getRGB1($D746)="FFFFFF",0,2)+IF(getRGB1($E746)="FFFFFF",0,3)+IF(getRGB1($F746)="FFFFFF",0,4)</f>
        <v>2</v>
      </c>
    </row>
    <row r="747" spans="1:7" ht="30">
      <c r="A747" t="s">
        <v>7405</v>
      </c>
      <c r="B747" s="126" t="s">
        <v>429</v>
      </c>
      <c r="C747" s="511" t="s">
        <v>430</v>
      </c>
      <c r="D747" s="514" t="s">
        <v>430</v>
      </c>
      <c r="E747" s="514" t="s">
        <v>431</v>
      </c>
      <c r="F747" s="514" t="s">
        <v>432</v>
      </c>
      <c r="G747">
        <f>IF(getRGB1($C747)="FFFFFF",0,1)+IF(getRGB1($D747)="FFFFFF",0,2)+IF(getRGB1($E747)="FFFFFF",0,3)+IF(getRGB1($F747)="FFFFFF",0,4)</f>
        <v>1</v>
      </c>
    </row>
    <row r="748" spans="1:7" ht="105">
      <c r="A748" t="s">
        <v>7405</v>
      </c>
      <c r="B748" s="126" t="s">
        <v>433</v>
      </c>
      <c r="C748" s="514" t="s">
        <v>434</v>
      </c>
      <c r="D748" s="514" t="s">
        <v>435</v>
      </c>
      <c r="E748" s="514" t="s">
        <v>436</v>
      </c>
      <c r="F748" s="511" t="s">
        <v>437</v>
      </c>
      <c r="G748">
        <f>IF(getRGB1($C748)="FFFFFF",0,1)+IF(getRGB1($D748)="FFFFFF",0,2)+IF(getRGB1($E748)="FFFFFF",0,3)+IF(getRGB1($F748)="FFFFFF",0,4)</f>
        <v>4</v>
      </c>
    </row>
    <row r="749" spans="1:7" ht="45">
      <c r="A749" t="s">
        <v>7405</v>
      </c>
      <c r="B749" s="126" t="s">
        <v>438</v>
      </c>
      <c r="C749" s="514" t="s">
        <v>439</v>
      </c>
      <c r="D749" s="514" t="s">
        <v>440</v>
      </c>
      <c r="E749" s="511" t="s">
        <v>441</v>
      </c>
      <c r="F749" s="514" t="s">
        <v>209</v>
      </c>
      <c r="G749">
        <f>IF(getRGB1($C749)="FFFFFF",0,1)+IF(getRGB1($D749)="FFFFFF",0,2)+IF(getRGB1($E749)="FFFFFF",0,3)+IF(getRGB1($F749)="FFFFFF",0,4)</f>
        <v>3</v>
      </c>
    </row>
    <row r="750" spans="1:7" ht="45">
      <c r="A750" t="s">
        <v>7405</v>
      </c>
      <c r="B750" s="126" t="s">
        <v>442</v>
      </c>
      <c r="C750" s="514" t="s">
        <v>443</v>
      </c>
      <c r="D750" s="514"/>
      <c r="E750" s="514"/>
      <c r="F750" s="514"/>
      <c r="G750">
        <f>IF(getRGB1($C750)="FFFFFF",0,1)+IF(getRGB1($D750)="FFFFFF",0,2)+IF(getRGB1($E750)="FFFFFF",0,3)+IF(getRGB1($F750)="FFFFFF",0,4)</f>
        <v>0</v>
      </c>
    </row>
    <row r="751" spans="1:7" ht="30">
      <c r="A751" t="s">
        <v>7405</v>
      </c>
      <c r="B751" s="126" t="s">
        <v>444</v>
      </c>
      <c r="C751" s="511" t="s">
        <v>445</v>
      </c>
      <c r="D751" s="514" t="s">
        <v>446</v>
      </c>
      <c r="E751" s="514" t="s">
        <v>447</v>
      </c>
      <c r="F751" s="514" t="s">
        <v>448</v>
      </c>
      <c r="G751">
        <f>IF(getRGB1($C751)="FFFFFF",0,1)+IF(getRGB1($D751)="FFFFFF",0,2)+IF(getRGB1($E751)="FFFFFF",0,3)+IF(getRGB1($F751)="FFFFFF",0,4)</f>
        <v>1</v>
      </c>
    </row>
    <row r="752" spans="1:7" ht="45">
      <c r="A752" t="s">
        <v>7405</v>
      </c>
      <c r="B752" s="126" t="s">
        <v>449</v>
      </c>
      <c r="C752" s="514" t="s">
        <v>205</v>
      </c>
      <c r="D752" s="514" t="s">
        <v>450</v>
      </c>
      <c r="E752" s="511" t="s">
        <v>451</v>
      </c>
      <c r="F752" s="514" t="s">
        <v>452</v>
      </c>
      <c r="G752">
        <f>IF(getRGB1($C752)="FFFFFF",0,1)+IF(getRGB1($D752)="FFFFFF",0,2)+IF(getRGB1($E752)="FFFFFF",0,3)+IF(getRGB1($F752)="FFFFFF",0,4)</f>
        <v>3</v>
      </c>
    </row>
    <row r="753" spans="1:7" ht="30">
      <c r="A753" t="s">
        <v>7405</v>
      </c>
      <c r="B753" s="126" t="s">
        <v>453</v>
      </c>
      <c r="C753" s="514" t="s">
        <v>454</v>
      </c>
      <c r="D753" s="514" t="s">
        <v>455</v>
      </c>
      <c r="E753" s="514" t="s">
        <v>456</v>
      </c>
      <c r="F753" s="511" t="s">
        <v>457</v>
      </c>
      <c r="G753">
        <f>IF(getRGB1($C753)="FFFFFF",0,1)+IF(getRGB1($D753)="FFFFFF",0,2)+IF(getRGB1($E753)="FFFFFF",0,3)+IF(getRGB1($F753)="FFFFFF",0,4)</f>
        <v>4</v>
      </c>
    </row>
    <row r="754" spans="1:7">
      <c r="A754" t="s">
        <v>7405</v>
      </c>
      <c r="B754" s="126" t="s">
        <v>458</v>
      </c>
      <c r="C754" s="511" t="s">
        <v>459</v>
      </c>
      <c r="D754" s="514" t="s">
        <v>460</v>
      </c>
      <c r="E754" s="514" t="s">
        <v>461</v>
      </c>
      <c r="F754" s="514" t="s">
        <v>462</v>
      </c>
      <c r="G754">
        <f>IF(getRGB1($C754)="FFFFFF",0,1)+IF(getRGB1($D754)="FFFFFF",0,2)+IF(getRGB1($E754)="FFFFFF",0,3)+IF(getRGB1($F754)="FFFFFF",0,4)</f>
        <v>1</v>
      </c>
    </row>
    <row r="755" spans="1:7" ht="75">
      <c r="A755" t="s">
        <v>7405</v>
      </c>
      <c r="B755" s="126" t="s">
        <v>463</v>
      </c>
      <c r="C755" s="511" t="b">
        <v>1</v>
      </c>
      <c r="D755" s="514" t="b">
        <v>0</v>
      </c>
      <c r="E755" s="514"/>
      <c r="F755" s="514"/>
      <c r="G755">
        <f>IF(getRGB1($C755)="FFFFFF",0,1)+IF(getRGB1($D755)="FFFFFF",0,2)+IF(getRGB1($E755)="FFFFFF",0,3)+IF(getRGB1($F755)="FFFFFF",0,4)</f>
        <v>1</v>
      </c>
    </row>
    <row r="756" spans="1:7" ht="45">
      <c r="A756" t="s">
        <v>7405</v>
      </c>
      <c r="B756" s="126" t="s">
        <v>464</v>
      </c>
      <c r="C756" s="511" t="s">
        <v>465</v>
      </c>
      <c r="D756" s="514" t="s">
        <v>466</v>
      </c>
      <c r="E756" s="514" t="s">
        <v>467</v>
      </c>
      <c r="F756" s="514" t="s">
        <v>468</v>
      </c>
      <c r="G756">
        <f>IF(getRGB1($C756)="FFFFFF",0,1)+IF(getRGB1($D756)="FFFFFF",0,2)+IF(getRGB1($E756)="FFFFFF",0,3)+IF(getRGB1($F756)="FFFFFF",0,4)</f>
        <v>1</v>
      </c>
    </row>
    <row r="757" spans="1:7" ht="45">
      <c r="A757" t="s">
        <v>7405</v>
      </c>
      <c r="B757" s="126" t="s">
        <v>469</v>
      </c>
      <c r="C757" s="514" t="s">
        <v>470</v>
      </c>
      <c r="D757" s="514" t="s">
        <v>471</v>
      </c>
      <c r="E757" s="511" t="s">
        <v>472</v>
      </c>
      <c r="F757" s="514" t="s">
        <v>468</v>
      </c>
      <c r="G757">
        <f>IF(getRGB1($C757)="FFFFFF",0,1)+IF(getRGB1($D757)="FFFFFF",0,2)+IF(getRGB1($E757)="FFFFFF",0,3)+IF(getRGB1($F757)="FFFFFF",0,4)</f>
        <v>3</v>
      </c>
    </row>
    <row r="758" spans="1:7" ht="60">
      <c r="A758" t="s">
        <v>7405</v>
      </c>
      <c r="B758" s="126" t="s">
        <v>473</v>
      </c>
      <c r="C758" s="514" t="s">
        <v>474</v>
      </c>
      <c r="D758" s="511" t="s">
        <v>475</v>
      </c>
      <c r="E758" s="514" t="s">
        <v>476</v>
      </c>
      <c r="F758" s="514" t="s">
        <v>468</v>
      </c>
      <c r="G758">
        <f>IF(getRGB1($C758)="FFFFFF",0,1)+IF(getRGB1($D758)="FFFFFF",0,2)+IF(getRGB1($E758)="FFFFFF",0,3)+IF(getRGB1($F758)="FFFFFF",0,4)</f>
        <v>2</v>
      </c>
    </row>
    <row r="759" spans="1:7" ht="45">
      <c r="A759" t="s">
        <v>7405</v>
      </c>
      <c r="B759" s="126" t="s">
        <v>477</v>
      </c>
      <c r="C759" s="511" t="s">
        <v>478</v>
      </c>
      <c r="D759" s="514" t="s">
        <v>479</v>
      </c>
      <c r="E759" s="514" t="s">
        <v>480</v>
      </c>
      <c r="F759" s="514" t="s">
        <v>468</v>
      </c>
      <c r="G759">
        <f>IF(getRGB1($C759)="FFFFFF",0,1)+IF(getRGB1($D759)="FFFFFF",0,2)+IF(getRGB1($E759)="FFFFFF",0,3)+IF(getRGB1($F759)="FFFFFF",0,4)</f>
        <v>1</v>
      </c>
    </row>
    <row r="760" spans="1:7" ht="45">
      <c r="A760" t="s">
        <v>7405</v>
      </c>
      <c r="B760" s="126" t="s">
        <v>481</v>
      </c>
      <c r="C760" s="514" t="s">
        <v>482</v>
      </c>
      <c r="D760" s="511" t="s">
        <v>483</v>
      </c>
      <c r="E760" s="514" t="s">
        <v>484</v>
      </c>
      <c r="F760" s="514" t="s">
        <v>485</v>
      </c>
      <c r="G760">
        <f>IF(getRGB1($C760)="FFFFFF",0,1)+IF(getRGB1($D760)="FFFFFF",0,2)+IF(getRGB1($E760)="FFFFFF",0,3)+IF(getRGB1($F760)="FFFFFF",0,4)</f>
        <v>2</v>
      </c>
    </row>
    <row r="761" spans="1:7" ht="135">
      <c r="A761" t="s">
        <v>7405</v>
      </c>
      <c r="B761" s="126" t="s">
        <v>486</v>
      </c>
      <c r="C761" s="511" t="s">
        <v>234</v>
      </c>
      <c r="D761" s="514" t="s">
        <v>434</v>
      </c>
      <c r="E761" s="514" t="s">
        <v>487</v>
      </c>
      <c r="F761" s="514" t="s">
        <v>488</v>
      </c>
      <c r="G761">
        <f>IF(getRGB1($C761)="FFFFFF",0,1)+IF(getRGB1($D761)="FFFFFF",0,2)+IF(getRGB1($E761)="FFFFFF",0,3)+IF(getRGB1($F761)="FFFFFF",0,4)</f>
        <v>1</v>
      </c>
    </row>
    <row r="762" spans="1:7" ht="30">
      <c r="A762" t="s">
        <v>7405</v>
      </c>
      <c r="B762" s="126" t="s">
        <v>489</v>
      </c>
      <c r="C762" s="511" t="s">
        <v>490</v>
      </c>
      <c r="D762" s="514" t="s">
        <v>74</v>
      </c>
      <c r="E762" s="514" t="s">
        <v>76</v>
      </c>
      <c r="F762" s="514" t="s">
        <v>73</v>
      </c>
      <c r="G762">
        <f>IF(getRGB1($C762)="FFFFFF",0,1)+IF(getRGB1($D762)="FFFFFF",0,2)+IF(getRGB1($E762)="FFFFFF",0,3)+IF(getRGB1($F762)="FFFFFF",0,4)</f>
        <v>1</v>
      </c>
    </row>
    <row r="763" spans="1:7" ht="60">
      <c r="A763" t="s">
        <v>7405</v>
      </c>
      <c r="B763" s="126" t="s">
        <v>491</v>
      </c>
      <c r="C763" s="511" t="b">
        <v>1</v>
      </c>
      <c r="D763" s="514" t="b">
        <v>0</v>
      </c>
      <c r="E763" s="514"/>
      <c r="F763" s="514"/>
      <c r="G763">
        <f>IF(getRGB1($C763)="FFFFFF",0,1)+IF(getRGB1($D763)="FFFFFF",0,2)+IF(getRGB1($E763)="FFFFFF",0,3)+IF(getRGB1($F763)="FFFFFF",0,4)</f>
        <v>1</v>
      </c>
    </row>
    <row r="764" spans="1:7" ht="30">
      <c r="A764" t="s">
        <v>7405</v>
      </c>
      <c r="B764" s="126" t="s">
        <v>492</v>
      </c>
      <c r="C764" s="511" t="s">
        <v>493</v>
      </c>
      <c r="D764" s="514" t="s">
        <v>494</v>
      </c>
      <c r="E764" s="514" t="s">
        <v>495</v>
      </c>
      <c r="F764" s="514" t="s">
        <v>66</v>
      </c>
      <c r="G764">
        <f>IF(getRGB1($C764)="FFFFFF",0,1)+IF(getRGB1($D764)="FFFFFF",0,2)+IF(getRGB1($E764)="FFFFFF",0,3)+IF(getRGB1($F764)="FFFFFF",0,4)</f>
        <v>1</v>
      </c>
    </row>
    <row r="765" spans="1:7" ht="45">
      <c r="A765" t="s">
        <v>7405</v>
      </c>
      <c r="B765" s="126" t="s">
        <v>496</v>
      </c>
      <c r="C765" s="511" t="s">
        <v>497</v>
      </c>
      <c r="D765" s="514" t="s">
        <v>498</v>
      </c>
      <c r="E765" s="514" t="s">
        <v>499</v>
      </c>
      <c r="F765" s="514" t="s">
        <v>61</v>
      </c>
      <c r="G765">
        <f>IF(getRGB1($C765)="FFFFFF",0,1)+IF(getRGB1($D765)="FFFFFF",0,2)+IF(getRGB1($E765)="FFFFFF",0,3)+IF(getRGB1($F765)="FFFFFF",0,4)</f>
        <v>1</v>
      </c>
    </row>
    <row r="766" spans="1:7" ht="60">
      <c r="A766" t="s">
        <v>7405</v>
      </c>
      <c r="B766" s="126" t="s">
        <v>500</v>
      </c>
      <c r="C766" s="511" t="s">
        <v>501</v>
      </c>
      <c r="D766" s="514" t="s">
        <v>502</v>
      </c>
      <c r="E766" s="514" t="s">
        <v>503</v>
      </c>
      <c r="F766" s="514" t="s">
        <v>504</v>
      </c>
      <c r="G766">
        <f>IF(getRGB1($C766)="FFFFFF",0,1)+IF(getRGB1($D766)="FFFFFF",0,2)+IF(getRGB1($E766)="FFFFFF",0,3)+IF(getRGB1($F766)="FFFFFF",0,4)</f>
        <v>1</v>
      </c>
    </row>
    <row r="767" spans="1:7" ht="60">
      <c r="A767" t="s">
        <v>7405</v>
      </c>
      <c r="B767" s="126" t="s">
        <v>505</v>
      </c>
      <c r="C767" s="511" t="s">
        <v>506</v>
      </c>
      <c r="D767" s="514" t="s">
        <v>507</v>
      </c>
      <c r="E767" s="514" t="s">
        <v>508</v>
      </c>
      <c r="F767" s="514" t="s">
        <v>509</v>
      </c>
      <c r="G767">
        <f>IF(getRGB1($C767)="FFFFFF",0,1)+IF(getRGB1($D767)="FFFFFF",0,2)+IF(getRGB1($E767)="FFFFFF",0,3)+IF(getRGB1($F767)="FFFFFF",0,4)</f>
        <v>1</v>
      </c>
    </row>
    <row r="768" spans="1:7" ht="45">
      <c r="A768" t="s">
        <v>7405</v>
      </c>
      <c r="B768" s="126" t="s">
        <v>510</v>
      </c>
      <c r="C768" s="511" t="b">
        <v>1</v>
      </c>
      <c r="D768" s="514" t="b">
        <v>0</v>
      </c>
      <c r="E768" s="514"/>
      <c r="F768" s="514"/>
      <c r="G768">
        <f>IF(getRGB1($C768)="FFFFFF",0,1)+IF(getRGB1($D768)="FFFFFF",0,2)+IF(getRGB1($E768)="FFFFFF",0,3)+IF(getRGB1($F768)="FFFFFF",0,4)</f>
        <v>1</v>
      </c>
    </row>
    <row r="769" spans="1:7" ht="31.5">
      <c r="A769" t="s">
        <v>7414</v>
      </c>
      <c r="B769" s="538" t="s">
        <v>1918</v>
      </c>
      <c r="C769" s="538" t="s">
        <v>1919</v>
      </c>
      <c r="D769" s="538" t="s">
        <v>1920</v>
      </c>
      <c r="E769" s="538" t="s">
        <v>1921</v>
      </c>
      <c r="F769" s="539" t="s">
        <v>1922</v>
      </c>
      <c r="G769">
        <f>IF(getRGB1($C769)="FFFFFF",0,1)+IF(getRGB1($D769)="FFFFFF",0,2)+IF(getRGB1($E769)="FFFFFF",0,3)+IF(getRGB1($F769)="FFFFFF",0,4)</f>
        <v>4</v>
      </c>
    </row>
    <row r="770" spans="1:7" ht="47.25">
      <c r="A770" t="s">
        <v>7414</v>
      </c>
      <c r="B770" s="538" t="s">
        <v>7415</v>
      </c>
      <c r="C770" s="540">
        <v>3</v>
      </c>
      <c r="D770" s="540">
        <v>12</v>
      </c>
      <c r="E770" s="540">
        <v>6</v>
      </c>
      <c r="F770" s="541">
        <v>1</v>
      </c>
      <c r="G770">
        <f>IF(getRGB1($C770)="FFFFFF",0,1)+IF(getRGB1($D770)="FFFFFF",0,2)+IF(getRGB1($E770)="FFFFFF",0,3)+IF(getRGB1($F770)="FFFFFF",0,4)</f>
        <v>4</v>
      </c>
    </row>
    <row r="771" spans="1:7" ht="31.5">
      <c r="A771" t="s">
        <v>7414</v>
      </c>
      <c r="B771" s="538" t="s">
        <v>1928</v>
      </c>
      <c r="C771" s="538" t="s">
        <v>1929</v>
      </c>
      <c r="D771" s="539" t="s">
        <v>1930</v>
      </c>
      <c r="E771" s="538" t="s">
        <v>1931</v>
      </c>
      <c r="F771" s="538" t="s">
        <v>1932</v>
      </c>
      <c r="G771">
        <f>IF(getRGB1($C771)="FFFFFF",0,1)+IF(getRGB1($D771)="FFFFFF",0,2)+IF(getRGB1($E771)="FFFFFF",0,3)+IF(getRGB1($F771)="FFFFFF",0,4)</f>
        <v>2</v>
      </c>
    </row>
    <row r="772" spans="1:7" ht="78.75">
      <c r="A772" t="s">
        <v>7414</v>
      </c>
      <c r="B772" s="542" t="s">
        <v>7416</v>
      </c>
      <c r="C772" s="539" t="s">
        <v>1937</v>
      </c>
      <c r="D772" s="538" t="s">
        <v>1939</v>
      </c>
      <c r="E772" s="538" t="s">
        <v>1940</v>
      </c>
      <c r="F772" s="538" t="s">
        <v>1941</v>
      </c>
      <c r="G772">
        <f>IF(getRGB1($C772)="FFFFFF",0,1)+IF(getRGB1($D772)="FFFFFF",0,2)+IF(getRGB1($E772)="FFFFFF",0,3)+IF(getRGB1($F772)="FFFFFF",0,4)</f>
        <v>1</v>
      </c>
    </row>
    <row r="773" spans="1:7" ht="31.5">
      <c r="A773" t="s">
        <v>7414</v>
      </c>
      <c r="B773" s="538" t="s">
        <v>1942</v>
      </c>
      <c r="C773" s="538" t="s">
        <v>1943</v>
      </c>
      <c r="D773" s="538" t="s">
        <v>1944</v>
      </c>
      <c r="E773" s="539" t="s">
        <v>1945</v>
      </c>
      <c r="F773" s="538" t="s">
        <v>328</v>
      </c>
      <c r="G773">
        <f>IF(getRGB1($C773)="FFFFFF",0,1)+IF(getRGB1($D773)="FFFFFF",0,2)+IF(getRGB1($E773)="FFFFFF",0,3)+IF(getRGB1($F773)="FFFFFF",0,4)</f>
        <v>3</v>
      </c>
    </row>
    <row r="774" spans="1:7" ht="63">
      <c r="A774" t="s">
        <v>7414</v>
      </c>
      <c r="B774" s="538" t="s">
        <v>1946</v>
      </c>
      <c r="C774" s="538" t="s">
        <v>1947</v>
      </c>
      <c r="D774" s="538" t="s">
        <v>1948</v>
      </c>
      <c r="E774" s="539" t="s">
        <v>1949</v>
      </c>
      <c r="F774" s="538" t="s">
        <v>1950</v>
      </c>
      <c r="G774">
        <f>IF(getRGB1($C774)="FFFFFF",0,1)+IF(getRGB1($D774)="FFFFFF",0,2)+IF(getRGB1($E774)="FFFFFF",0,3)+IF(getRGB1($F774)="FFFFFF",0,4)</f>
        <v>3</v>
      </c>
    </row>
    <row r="775" spans="1:7" ht="63">
      <c r="A775" t="s">
        <v>7414</v>
      </c>
      <c r="B775" s="538" t="s">
        <v>1951</v>
      </c>
      <c r="C775" s="542" t="s">
        <v>1929</v>
      </c>
      <c r="D775" s="542" t="s">
        <v>1930</v>
      </c>
      <c r="E775" s="542" t="s">
        <v>1952</v>
      </c>
      <c r="F775" s="543" t="s">
        <v>1953</v>
      </c>
      <c r="G775">
        <f>IF(getRGB1($C775)="FFFFFF",0,1)+IF(getRGB1($D775)="FFFFFF",0,2)+IF(getRGB1($E775)="FFFFFF",0,3)+IF(getRGB1($F775)="FFFFFF",0,4)</f>
        <v>4</v>
      </c>
    </row>
    <row r="776" spans="1:7" ht="31.5">
      <c r="A776" t="s">
        <v>7414</v>
      </c>
      <c r="B776" s="538" t="s">
        <v>1954</v>
      </c>
      <c r="C776" s="542" t="s">
        <v>1955</v>
      </c>
      <c r="D776" s="543" t="s">
        <v>1956</v>
      </c>
      <c r="E776" s="542" t="s">
        <v>1957</v>
      </c>
      <c r="F776" s="542" t="s">
        <v>1958</v>
      </c>
      <c r="G776">
        <f>IF(getRGB1($C776)="FFFFFF",0,1)+IF(getRGB1($D776)="FFFFFF",0,2)+IF(getRGB1($E776)="FFFFFF",0,3)+IF(getRGB1($F776)="FFFFFF",0,4)</f>
        <v>2</v>
      </c>
    </row>
    <row r="777" spans="1:7" ht="47.25">
      <c r="A777" t="s">
        <v>7414</v>
      </c>
      <c r="B777" s="538" t="s">
        <v>8696</v>
      </c>
      <c r="C777" s="542" t="s">
        <v>1484</v>
      </c>
      <c r="D777" s="542" t="s">
        <v>1485</v>
      </c>
      <c r="E777" s="543" t="s">
        <v>1486</v>
      </c>
      <c r="F777" s="542" t="s">
        <v>1487</v>
      </c>
      <c r="G777">
        <f>IF(getRGB1($C777)="FFFFFF",0,1)+IF(getRGB1($D777)="FFFFFF",0,2)+IF(getRGB1($E777)="FFFFFF",0,3)+IF(getRGB1($F777)="FFFFFF",0,4)</f>
        <v>3</v>
      </c>
    </row>
    <row r="778" spans="1:7" ht="94.5">
      <c r="A778" t="s">
        <v>7414</v>
      </c>
      <c r="B778" s="538" t="s">
        <v>7417</v>
      </c>
      <c r="C778" s="544" t="s">
        <v>7418</v>
      </c>
      <c r="D778" s="545" t="s">
        <v>7419</v>
      </c>
      <c r="E778" s="544" t="s">
        <v>7420</v>
      </c>
      <c r="F778" s="544" t="s">
        <v>1401</v>
      </c>
      <c r="G778">
        <f>IF(getRGB1($C778)="FFFFFF",0,1)+IF(getRGB1($D778)="FFFFFF",0,2)+IF(getRGB1($E778)="FFFFFF",0,3)+IF(getRGB1($F778)="FFFFFF",0,4)</f>
        <v>2</v>
      </c>
    </row>
    <row r="779" spans="1:7" ht="47.25">
      <c r="A779" t="s">
        <v>7414</v>
      </c>
      <c r="B779" s="538" t="s">
        <v>7421</v>
      </c>
      <c r="C779" s="542" t="s">
        <v>7422</v>
      </c>
      <c r="D779" s="542" t="s">
        <v>1679</v>
      </c>
      <c r="E779" s="542" t="s">
        <v>1680</v>
      </c>
      <c r="F779" s="543" t="s">
        <v>1681</v>
      </c>
      <c r="G779">
        <f>IF(getRGB1($C779)="FFFFFF",0,1)+IF(getRGB1($D779)="FFFFFF",0,2)+IF(getRGB1($E779)="FFFFFF",0,3)+IF(getRGB1($F779)="FFFFFF",0,4)</f>
        <v>4</v>
      </c>
    </row>
    <row r="780" spans="1:7" ht="31.5">
      <c r="A780" t="s">
        <v>7414</v>
      </c>
      <c r="B780" s="538" t="s">
        <v>7423</v>
      </c>
      <c r="C780" s="543">
        <v>0.04</v>
      </c>
      <c r="D780" s="542">
        <v>0.02</v>
      </c>
      <c r="E780" s="542">
        <v>0.03</v>
      </c>
      <c r="F780" s="542">
        <v>0.05</v>
      </c>
      <c r="G780">
        <f>IF(getRGB1($C780)="FFFFFF",0,1)+IF(getRGB1($D780)="FFFFFF",0,2)+IF(getRGB1($E780)="FFFFFF",0,3)+IF(getRGB1($F780)="FFFFFF",0,4)</f>
        <v>1</v>
      </c>
    </row>
    <row r="781" spans="1:7" ht="63">
      <c r="A781" t="s">
        <v>7414</v>
      </c>
      <c r="B781" s="538" t="s">
        <v>1525</v>
      </c>
      <c r="C781" s="542" t="s">
        <v>1526</v>
      </c>
      <c r="D781" s="543" t="s">
        <v>1527</v>
      </c>
      <c r="E781" s="542" t="s">
        <v>1528</v>
      </c>
      <c r="F781" s="542" t="s">
        <v>1529</v>
      </c>
      <c r="G781">
        <f>IF(getRGB1($C781)="FFFFFF",0,1)+IF(getRGB1($D781)="FFFFFF",0,2)+IF(getRGB1($E781)="FFFFFF",0,3)+IF(getRGB1($F781)="FFFFFF",0,4)</f>
        <v>2</v>
      </c>
    </row>
    <row r="782" spans="1:7" ht="47.25">
      <c r="A782" t="s">
        <v>7414</v>
      </c>
      <c r="B782" s="542" t="s">
        <v>7424</v>
      </c>
      <c r="C782" s="542" t="s">
        <v>1531</v>
      </c>
      <c r="D782" s="542" t="s">
        <v>1532</v>
      </c>
      <c r="E782" s="542" t="s">
        <v>1533</v>
      </c>
      <c r="F782" s="543" t="s">
        <v>1534</v>
      </c>
      <c r="G782">
        <f>IF(getRGB1($C782)="FFFFFF",0,1)+IF(getRGB1($D782)="FFFFFF",0,2)+IF(getRGB1($E782)="FFFFFF",0,3)+IF(getRGB1($F782)="FFFFFF",0,4)</f>
        <v>4</v>
      </c>
    </row>
    <row r="783" spans="1:7" ht="47.25">
      <c r="A783" t="s">
        <v>7414</v>
      </c>
      <c r="B783" s="538" t="s">
        <v>1544</v>
      </c>
      <c r="C783" s="539" t="s">
        <v>1545</v>
      </c>
      <c r="D783" s="538" t="s">
        <v>1546</v>
      </c>
      <c r="E783" s="538" t="s">
        <v>1547</v>
      </c>
      <c r="F783" s="538" t="s">
        <v>328</v>
      </c>
      <c r="G783">
        <f>IF(getRGB1($C783)="FFFFFF",0,1)+IF(getRGB1($D783)="FFFFFF",0,2)+IF(getRGB1($E783)="FFFFFF",0,3)+IF(getRGB1($F783)="FFFFFF",0,4)</f>
        <v>1</v>
      </c>
    </row>
    <row r="784" spans="1:7" ht="31.5">
      <c r="A784" t="s">
        <v>7414</v>
      </c>
      <c r="B784" s="538" t="s">
        <v>1964</v>
      </c>
      <c r="C784" s="689" t="s">
        <v>1965</v>
      </c>
      <c r="D784" s="539" t="s">
        <v>1966</v>
      </c>
      <c r="E784" s="538" t="s">
        <v>1967</v>
      </c>
      <c r="F784" s="538" t="s">
        <v>1968</v>
      </c>
      <c r="G784">
        <f>IF(getRGB1($C784)="FFFFFF",0,1)+IF(getRGB1($D784)="FFFFFF",0,2)+IF(getRGB1($E784)="FFFFFF",0,3)+IF(getRGB1($F784)="FFFFFF",0,4)</f>
        <v>2</v>
      </c>
    </row>
    <row r="785" spans="1:7" ht="31.5">
      <c r="A785" t="s">
        <v>7414</v>
      </c>
      <c r="B785" s="542" t="s">
        <v>1979</v>
      </c>
      <c r="C785" s="543" t="s">
        <v>1980</v>
      </c>
      <c r="D785" s="542" t="s">
        <v>1981</v>
      </c>
      <c r="E785" s="542" t="s">
        <v>1982</v>
      </c>
      <c r="F785" s="542" t="s">
        <v>1983</v>
      </c>
      <c r="G785">
        <f>IF(getRGB1($C785)="FFFFFF",0,1)+IF(getRGB1($D785)="FFFFFF",0,2)+IF(getRGB1($E785)="FFFFFF",0,3)+IF(getRGB1($F785)="FFFFFF",0,4)</f>
        <v>1</v>
      </c>
    </row>
    <row r="786" spans="1:7" ht="63">
      <c r="A786" t="s">
        <v>7414</v>
      </c>
      <c r="B786" s="538" t="s">
        <v>1465</v>
      </c>
      <c r="C786" s="539" t="s">
        <v>1466</v>
      </c>
      <c r="D786" s="538" t="s">
        <v>1467</v>
      </c>
      <c r="E786" s="538" t="s">
        <v>1468</v>
      </c>
      <c r="F786" s="538" t="s">
        <v>61</v>
      </c>
      <c r="G786">
        <f>IF(getRGB1($C786)="FFFFFF",0,1)+IF(getRGB1($D786)="FFFFFF",0,2)+IF(getRGB1($E786)="FFFFFF",0,3)+IF(getRGB1($F786)="FFFFFF",0,4)</f>
        <v>1</v>
      </c>
    </row>
    <row r="787" spans="1:7" ht="31.5">
      <c r="A787" t="s">
        <v>7414</v>
      </c>
      <c r="B787" s="538" t="s">
        <v>1918</v>
      </c>
      <c r="C787" s="538" t="s">
        <v>1919</v>
      </c>
      <c r="D787" s="538" t="s">
        <v>1920</v>
      </c>
      <c r="E787" s="538" t="s">
        <v>1921</v>
      </c>
      <c r="F787" s="539" t="s">
        <v>1922</v>
      </c>
      <c r="G787">
        <f>IF(getRGB1($C787)="FFFFFF",0,1)+IF(getRGB1($D787)="FFFFFF",0,2)+IF(getRGB1($E787)="FFFFFF",0,3)+IF(getRGB1($F787)="FFFFFF",0,4)</f>
        <v>4</v>
      </c>
    </row>
    <row r="788" spans="1:7" ht="15.75">
      <c r="A788" t="s">
        <v>7414</v>
      </c>
      <c r="B788" s="538" t="s">
        <v>7425</v>
      </c>
      <c r="C788" s="539" t="s">
        <v>7426</v>
      </c>
      <c r="D788" s="538" t="s">
        <v>7427</v>
      </c>
      <c r="E788" s="689" t="s">
        <v>7428</v>
      </c>
      <c r="F788" s="538" t="s">
        <v>7429</v>
      </c>
      <c r="G788">
        <f>IF(getRGB1($C788)="FFFFFF",0,1)+IF(getRGB1($D788)="FFFFFF",0,2)+IF(getRGB1($E788)="FFFFFF",0,3)+IF(getRGB1($F788)="FFFFFF",0,4)</f>
        <v>1</v>
      </c>
    </row>
    <row r="789" spans="1:7" ht="31.5">
      <c r="A789" t="s">
        <v>7414</v>
      </c>
      <c r="B789" s="538" t="s">
        <v>1928</v>
      </c>
      <c r="C789" s="538" t="s">
        <v>1929</v>
      </c>
      <c r="D789" s="539" t="s">
        <v>1930</v>
      </c>
      <c r="E789" s="538" t="s">
        <v>1931</v>
      </c>
      <c r="F789" s="538" t="s">
        <v>1932</v>
      </c>
      <c r="G789">
        <f>IF(getRGB1($C789)="FFFFFF",0,1)+IF(getRGB1($D789)="FFFFFF",0,2)+IF(getRGB1($E789)="FFFFFF",0,3)+IF(getRGB1($F789)="FFFFFF",0,4)</f>
        <v>2</v>
      </c>
    </row>
    <row r="790" spans="1:7" ht="78.75">
      <c r="A790" t="s">
        <v>7414</v>
      </c>
      <c r="B790" s="542" t="s">
        <v>7416</v>
      </c>
      <c r="C790" s="539" t="s">
        <v>1937</v>
      </c>
      <c r="D790" s="538" t="s">
        <v>1939</v>
      </c>
      <c r="E790" s="538" t="s">
        <v>1940</v>
      </c>
      <c r="F790" s="538" t="s">
        <v>1941</v>
      </c>
      <c r="G790">
        <f>IF(getRGB1($C790)="FFFFFF",0,1)+IF(getRGB1($D790)="FFFFFF",0,2)+IF(getRGB1($E790)="FFFFFF",0,3)+IF(getRGB1($F790)="FFFFFF",0,4)</f>
        <v>1</v>
      </c>
    </row>
    <row r="791" spans="1:7" ht="31.5">
      <c r="A791" t="s">
        <v>7414</v>
      </c>
      <c r="B791" s="546" t="s">
        <v>7430</v>
      </c>
      <c r="C791" s="546" t="s">
        <v>7431</v>
      </c>
      <c r="D791" s="546" t="s">
        <v>7432</v>
      </c>
      <c r="E791" s="547" t="s">
        <v>7433</v>
      </c>
      <c r="F791" s="546" t="s">
        <v>7434</v>
      </c>
      <c r="G791">
        <f>IF(getRGB1($C791)="FFFFFF",0,1)+IF(getRGB1($D791)="FFFFFF",0,2)+IF(getRGB1($E791)="FFFFFF",0,3)+IF(getRGB1($F791)="FFFFFF",0,4)</f>
        <v>3</v>
      </c>
    </row>
    <row r="792" spans="1:7" ht="63">
      <c r="A792" t="s">
        <v>7414</v>
      </c>
      <c r="B792" s="538" t="s">
        <v>1946</v>
      </c>
      <c r="C792" s="538" t="s">
        <v>1947</v>
      </c>
      <c r="D792" s="538" t="s">
        <v>1948</v>
      </c>
      <c r="E792" s="539" t="s">
        <v>1949</v>
      </c>
      <c r="F792" s="538" t="s">
        <v>1950</v>
      </c>
      <c r="G792">
        <f>IF(getRGB1($C792)="FFFFFF",0,1)+IF(getRGB1($D792)="FFFFFF",0,2)+IF(getRGB1($E792)="FFFFFF",0,3)+IF(getRGB1($F792)="FFFFFF",0,4)</f>
        <v>3</v>
      </c>
    </row>
    <row r="793" spans="1:7" ht="47.25">
      <c r="A793" t="s">
        <v>7414</v>
      </c>
      <c r="B793" s="546" t="s">
        <v>7435</v>
      </c>
      <c r="C793" s="548" t="s">
        <v>7436</v>
      </c>
      <c r="D793" s="548" t="s">
        <v>7437</v>
      </c>
      <c r="E793" s="690" t="s">
        <v>7438</v>
      </c>
      <c r="F793" s="549" t="s">
        <v>7439</v>
      </c>
      <c r="G793">
        <f>IF(getRGB1($C793)="FFFFFF",0,1)+IF(getRGB1($D793)="FFFFFF",0,2)+IF(getRGB1($E793)="FFFFFF",0,3)+IF(getRGB1($F793)="FFFFFF",0,4)</f>
        <v>4</v>
      </c>
    </row>
    <row r="794" spans="1:7" ht="31.5">
      <c r="A794" t="s">
        <v>7414</v>
      </c>
      <c r="B794" s="538" t="s">
        <v>1954</v>
      </c>
      <c r="C794" s="542" t="s">
        <v>1955</v>
      </c>
      <c r="D794" s="543" t="s">
        <v>1956</v>
      </c>
      <c r="E794" s="542" t="s">
        <v>1957</v>
      </c>
      <c r="F794" s="542" t="s">
        <v>1958</v>
      </c>
      <c r="G794">
        <f>IF(getRGB1($C794)="FFFFFF",0,1)+IF(getRGB1($D794)="FFFFFF",0,2)+IF(getRGB1($E794)="FFFFFF",0,3)+IF(getRGB1($F794)="FFFFFF",0,4)</f>
        <v>2</v>
      </c>
    </row>
    <row r="795" spans="1:7" ht="31.5">
      <c r="A795" t="s">
        <v>7414</v>
      </c>
      <c r="B795" s="538" t="s">
        <v>7440</v>
      </c>
      <c r="C795" s="543">
        <v>5</v>
      </c>
      <c r="D795" s="542">
        <v>10</v>
      </c>
      <c r="E795" s="542">
        <v>15</v>
      </c>
      <c r="F795" s="542">
        <v>25</v>
      </c>
      <c r="G795">
        <f>IF(getRGB1($C795)="FFFFFF",0,1)+IF(getRGB1($D795)="FFFFFF",0,2)+IF(getRGB1($E795)="FFFFFF",0,3)+IF(getRGB1($F795)="FFFFFF",0,4)</f>
        <v>1</v>
      </c>
    </row>
    <row r="796" spans="1:7" ht="31.5">
      <c r="A796" t="s">
        <v>7414</v>
      </c>
      <c r="B796" s="538" t="s">
        <v>7441</v>
      </c>
      <c r="C796" s="544" t="s">
        <v>7442</v>
      </c>
      <c r="D796" s="544" t="s">
        <v>7443</v>
      </c>
      <c r="E796" s="545" t="s">
        <v>7444</v>
      </c>
      <c r="F796" s="544" t="s">
        <v>328</v>
      </c>
      <c r="G796">
        <f>IF(getRGB1($C796)="FFFFFF",0,1)+IF(getRGB1($D796)="FFFFFF",0,2)+IF(getRGB1($E796)="FFFFFF",0,3)+IF(getRGB1($F796)="FFFFFF",0,4)</f>
        <v>3</v>
      </c>
    </row>
    <row r="797" spans="1:7" ht="31.5">
      <c r="A797" t="s">
        <v>7414</v>
      </c>
      <c r="B797" s="538" t="s">
        <v>7445</v>
      </c>
      <c r="C797" s="538">
        <v>1</v>
      </c>
      <c r="D797" s="538">
        <v>2</v>
      </c>
      <c r="E797" s="539">
        <v>3</v>
      </c>
      <c r="F797" s="538">
        <v>4</v>
      </c>
      <c r="G797">
        <f>IF(getRGB1($C797)="FFFFFF",0,1)+IF(getRGB1($D797)="FFFFFF",0,2)+IF(getRGB1($E797)="FFFFFF",0,3)+IF(getRGB1($F797)="FFFFFF",0,4)</f>
        <v>3</v>
      </c>
    </row>
    <row r="798" spans="1:7" ht="47.25">
      <c r="A798" t="s">
        <v>7414</v>
      </c>
      <c r="B798" s="538" t="s">
        <v>1544</v>
      </c>
      <c r="C798" s="539" t="s">
        <v>1545</v>
      </c>
      <c r="D798" s="538" t="s">
        <v>1546</v>
      </c>
      <c r="E798" s="538" t="s">
        <v>1547</v>
      </c>
      <c r="F798" s="538" t="s">
        <v>328</v>
      </c>
      <c r="G798">
        <f>IF(getRGB1($C798)="FFFFFF",0,1)+IF(getRGB1($D798)="FFFFFF",0,2)+IF(getRGB1($E798)="FFFFFF",0,3)+IF(getRGB1($F798)="FFFFFF",0,4)</f>
        <v>1</v>
      </c>
    </row>
    <row r="799" spans="1:7" ht="31.5">
      <c r="A799" t="s">
        <v>7414</v>
      </c>
      <c r="B799" s="546" t="s">
        <v>7446</v>
      </c>
      <c r="C799" s="548" t="s">
        <v>1947</v>
      </c>
      <c r="D799" s="548" t="s">
        <v>7447</v>
      </c>
      <c r="E799" s="548" t="s">
        <v>7448</v>
      </c>
      <c r="F799" s="549" t="s">
        <v>7449</v>
      </c>
      <c r="G799">
        <f>IF(getRGB1($C799)="FFFFFF",0,1)+IF(getRGB1($D799)="FFFFFF",0,2)+IF(getRGB1($E799)="FFFFFF",0,3)+IF(getRGB1($F799)="FFFFFF",0,4)</f>
        <v>4</v>
      </c>
    </row>
    <row r="800" spans="1:7" ht="31.5">
      <c r="A800" t="s">
        <v>7414</v>
      </c>
      <c r="B800" s="691" t="s">
        <v>7450</v>
      </c>
      <c r="C800" s="692">
        <v>0.25</v>
      </c>
      <c r="D800" s="550">
        <v>0.5</v>
      </c>
      <c r="E800" s="692">
        <v>0.75</v>
      </c>
      <c r="F800" s="692">
        <v>1</v>
      </c>
      <c r="G800">
        <f>IF(getRGB1($C800)="FFFFFF",0,1)+IF(getRGB1($D800)="FFFFFF",0,2)+IF(getRGB1($E800)="FFFFFF",0,3)+IF(getRGB1($F800)="FFFFFF",0,4)</f>
        <v>2</v>
      </c>
    </row>
    <row r="801" spans="1:7" ht="31.5">
      <c r="A801" t="s">
        <v>7414</v>
      </c>
      <c r="B801" s="546" t="s">
        <v>7451</v>
      </c>
      <c r="C801" s="551">
        <v>2.5000000000000001E-3</v>
      </c>
      <c r="D801" s="551">
        <v>5.0000000000000001E-3</v>
      </c>
      <c r="E801" s="552">
        <v>7.4999999999999997E-3</v>
      </c>
      <c r="F801" s="551">
        <v>0.01</v>
      </c>
      <c r="G801">
        <f>IF(getRGB1($C801)="FFFFFF",0,1)+IF(getRGB1($D801)="FFFFFF",0,2)+IF(getRGB1($E801)="FFFFFF",0,3)+IF(getRGB1($F801)="FFFFFF",0,4)</f>
        <v>3</v>
      </c>
    </row>
    <row r="802" spans="1:7" ht="94.5">
      <c r="A802" t="s">
        <v>7414</v>
      </c>
      <c r="B802" s="546" t="s">
        <v>7452</v>
      </c>
      <c r="C802" s="549" t="s">
        <v>7453</v>
      </c>
      <c r="D802" s="548" t="s">
        <v>7454</v>
      </c>
      <c r="E802" s="548" t="s">
        <v>7455</v>
      </c>
      <c r="F802" s="548" t="s">
        <v>7456</v>
      </c>
      <c r="G802">
        <f>IF(getRGB1($C802)="FFFFFF",0,1)+IF(getRGB1($D802)="FFFFFF",0,2)+IF(getRGB1($E802)="FFFFFF",0,3)+IF(getRGB1($F802)="FFFFFF",0,4)</f>
        <v>1</v>
      </c>
    </row>
    <row r="803" spans="1:7" ht="15.75">
      <c r="A803" t="s">
        <v>7414</v>
      </c>
      <c r="B803" s="542" t="s">
        <v>7457</v>
      </c>
      <c r="C803" s="542" t="s">
        <v>2279</v>
      </c>
      <c r="D803" s="542" t="s">
        <v>2122</v>
      </c>
      <c r="E803" s="542" t="s">
        <v>2480</v>
      </c>
      <c r="F803" s="543" t="s">
        <v>2120</v>
      </c>
      <c r="G803">
        <f>IF(getRGB1($C803)="FFFFFF",0,1)+IF(getRGB1($D803)="FFFFFF",0,2)+IF(getRGB1($E803)="FFFFFF",0,3)+IF(getRGB1($F803)="FFFFFF",0,4)</f>
        <v>4</v>
      </c>
    </row>
    <row r="804" spans="1:7" ht="31.5">
      <c r="A804" t="s">
        <v>7414</v>
      </c>
      <c r="B804" s="546" t="s">
        <v>7458</v>
      </c>
      <c r="C804" s="546" t="s">
        <v>7459</v>
      </c>
      <c r="D804" s="547" t="s">
        <v>7460</v>
      </c>
      <c r="E804" s="691" t="s">
        <v>7461</v>
      </c>
      <c r="F804" s="546" t="s">
        <v>7462</v>
      </c>
      <c r="G804">
        <f>IF(getRGB1($C804)="FFFFFF",0,1)+IF(getRGB1($D804)="FFFFFF",0,2)+IF(getRGB1($E804)="FFFFFF",0,3)+IF(getRGB1($F804)="FFFFFF",0,4)</f>
        <v>2</v>
      </c>
    </row>
    <row r="805" spans="1:7" ht="31.5">
      <c r="A805" t="s">
        <v>7414</v>
      </c>
      <c r="B805" s="538" t="s">
        <v>7463</v>
      </c>
      <c r="C805" s="538" t="s">
        <v>7464</v>
      </c>
      <c r="D805" s="538" t="s">
        <v>7465</v>
      </c>
      <c r="E805" s="538" t="s">
        <v>7466</v>
      </c>
      <c r="F805" s="539" t="s">
        <v>7467</v>
      </c>
      <c r="G805">
        <f>IF(getRGB1($C805)="FFFFFF",0,1)+IF(getRGB1($D805)="FFFFFF",0,2)+IF(getRGB1($E805)="FFFFFF",0,3)+IF(getRGB1($F805)="FFFFFF",0,4)</f>
        <v>4</v>
      </c>
    </row>
    <row r="806" spans="1:7" ht="31.5">
      <c r="A806" t="s">
        <v>7414</v>
      </c>
      <c r="B806" s="548" t="s">
        <v>7468</v>
      </c>
      <c r="C806" s="690" t="s">
        <v>76</v>
      </c>
      <c r="D806" s="549" t="s">
        <v>179</v>
      </c>
      <c r="E806" s="548" t="s">
        <v>557</v>
      </c>
      <c r="F806" s="548" t="s">
        <v>328</v>
      </c>
      <c r="G806">
        <f>IF(getRGB1($C806)="FFFFFF",0,1)+IF(getRGB1($D806)="FFFFFF",0,2)+IF(getRGB1($E806)="FFFFFF",0,3)+IF(getRGB1($F806)="FFFFFF",0,4)</f>
        <v>2</v>
      </c>
    </row>
    <row r="807" spans="1:7" ht="30">
      <c r="A807" t="s">
        <v>7414</v>
      </c>
      <c r="B807" s="671" t="s">
        <v>7469</v>
      </c>
      <c r="C807" s="672" t="s">
        <v>7470</v>
      </c>
      <c r="D807" s="672" t="s">
        <v>6067</v>
      </c>
      <c r="E807" s="673" t="s">
        <v>7471</v>
      </c>
      <c r="F807" s="672" t="s">
        <v>7472</v>
      </c>
      <c r="G807">
        <f>IF(getRGB1($C807)="FFFFFF",0,1)+IF(getRGB1($D807)="FFFFFF",0,2)+IF(getRGB1($E807)="FFFFFF",0,3)+IF(getRGB1($F807)="FFFFFF",0,4)</f>
        <v>3</v>
      </c>
    </row>
    <row r="808" spans="1:7" ht="30">
      <c r="A808" t="s">
        <v>7414</v>
      </c>
      <c r="B808" s="671" t="s">
        <v>7473</v>
      </c>
      <c r="C808" s="672" t="s">
        <v>7470</v>
      </c>
      <c r="D808" s="672" t="s">
        <v>6067</v>
      </c>
      <c r="E808" s="673" t="s">
        <v>7471</v>
      </c>
      <c r="F808" s="672" t="s">
        <v>7472</v>
      </c>
      <c r="G808">
        <f>IF(getRGB1($C808)="FFFFFF",0,1)+IF(getRGB1($D808)="FFFFFF",0,2)+IF(getRGB1($E808)="FFFFFF",0,3)+IF(getRGB1($F808)="FFFFFF",0,4)</f>
        <v>3</v>
      </c>
    </row>
    <row r="809" spans="1:7" ht="30">
      <c r="A809" t="s">
        <v>7414</v>
      </c>
      <c r="B809" s="671" t="s">
        <v>7474</v>
      </c>
      <c r="C809" s="672" t="s">
        <v>7475</v>
      </c>
      <c r="D809" s="673" t="s">
        <v>7476</v>
      </c>
      <c r="E809" s="672" t="s">
        <v>7477</v>
      </c>
      <c r="F809" s="672" t="s">
        <v>7478</v>
      </c>
      <c r="G809">
        <f>IF(getRGB1($C809)="FFFFFF",0,1)+IF(getRGB1($D809)="FFFFFF",0,2)+IF(getRGB1($E809)="FFFFFF",0,3)+IF(getRGB1($F809)="FFFFFF",0,4)</f>
        <v>2</v>
      </c>
    </row>
    <row r="810" spans="1:7" ht="30">
      <c r="A810" t="s">
        <v>7414</v>
      </c>
      <c r="B810" s="671" t="s">
        <v>7479</v>
      </c>
      <c r="C810" s="673" t="s">
        <v>7480</v>
      </c>
      <c r="D810" s="672" t="s">
        <v>7481</v>
      </c>
      <c r="E810" s="672" t="s">
        <v>7482</v>
      </c>
      <c r="F810" s="672" t="s">
        <v>7483</v>
      </c>
      <c r="G810">
        <f>IF(getRGB1($C810)="FFFFFF",0,1)+IF(getRGB1($D810)="FFFFFF",0,2)+IF(getRGB1($E810)="FFFFFF",0,3)+IF(getRGB1($F810)="FFFFFF",0,4)</f>
        <v>1</v>
      </c>
    </row>
    <row r="811" spans="1:7" ht="30">
      <c r="A811" t="s">
        <v>7414</v>
      </c>
      <c r="B811" s="671" t="s">
        <v>7484</v>
      </c>
      <c r="C811" s="673" t="s">
        <v>7485</v>
      </c>
      <c r="D811" s="693" t="s">
        <v>7486</v>
      </c>
      <c r="E811" s="672" t="s">
        <v>7487</v>
      </c>
      <c r="F811" s="672" t="s">
        <v>7488</v>
      </c>
      <c r="G811">
        <f>IF(getRGB1($C811)="FFFFFF",0,1)+IF(getRGB1($D811)="FFFFFF",0,2)+IF(getRGB1($E811)="FFFFFF",0,3)+IF(getRGB1($F811)="FFFFFF",0,4)</f>
        <v>1</v>
      </c>
    </row>
    <row r="812" spans="1:7" ht="30">
      <c r="A812" t="s">
        <v>7414</v>
      </c>
      <c r="B812" s="671" t="s">
        <v>7489</v>
      </c>
      <c r="C812" s="672" t="s">
        <v>7480</v>
      </c>
      <c r="D812" s="672" t="s">
        <v>7481</v>
      </c>
      <c r="E812" s="672" t="s">
        <v>7482</v>
      </c>
      <c r="F812" s="673" t="s">
        <v>7483</v>
      </c>
      <c r="G812">
        <f>IF(getRGB1($C812)="FFFFFF",0,1)+IF(getRGB1($D812)="FFFFFF",0,2)+IF(getRGB1($E812)="FFFFFF",0,3)+IF(getRGB1($F812)="FFFFFF",0,4)</f>
        <v>4</v>
      </c>
    </row>
    <row r="813" spans="1:7" ht="60">
      <c r="A813" t="s">
        <v>7414</v>
      </c>
      <c r="B813" s="671" t="s">
        <v>7490</v>
      </c>
      <c r="C813" s="672" t="s">
        <v>7491</v>
      </c>
      <c r="D813" s="672" t="s">
        <v>7492</v>
      </c>
      <c r="E813" s="672" t="s">
        <v>7493</v>
      </c>
      <c r="F813" s="673" t="s">
        <v>7494</v>
      </c>
      <c r="G813">
        <f>IF(getRGB1($C813)="FFFFFF",0,1)+IF(getRGB1($D813)="FFFFFF",0,2)+IF(getRGB1($E813)="FFFFFF",0,3)+IF(getRGB1($F813)="FFFFFF",0,4)</f>
        <v>4</v>
      </c>
    </row>
    <row r="814" spans="1:7" ht="30">
      <c r="A814" t="s">
        <v>7414</v>
      </c>
      <c r="B814" s="671" t="s">
        <v>7495</v>
      </c>
      <c r="C814" s="673" t="s">
        <v>7480</v>
      </c>
      <c r="D814" s="672" t="s">
        <v>7481</v>
      </c>
      <c r="E814" s="672" t="s">
        <v>7482</v>
      </c>
      <c r="F814" s="672" t="s">
        <v>7483</v>
      </c>
      <c r="G814">
        <f>IF(getRGB1($C814)="FFFFFF",0,1)+IF(getRGB1($D814)="FFFFFF",0,2)+IF(getRGB1($E814)="FFFFFF",0,3)+IF(getRGB1($F814)="FFFFFF",0,4)</f>
        <v>1</v>
      </c>
    </row>
    <row r="815" spans="1:7" ht="45">
      <c r="A815" t="s">
        <v>7414</v>
      </c>
      <c r="B815" s="671" t="s">
        <v>7496</v>
      </c>
      <c r="C815" s="672" t="s">
        <v>7497</v>
      </c>
      <c r="D815" s="672" t="s">
        <v>7498</v>
      </c>
      <c r="E815" s="673" t="s">
        <v>7499</v>
      </c>
      <c r="F815" s="672" t="s">
        <v>7500</v>
      </c>
      <c r="G815">
        <f>IF(getRGB1($C815)="FFFFFF",0,1)+IF(getRGB1($D815)="FFFFFF",0,2)+IF(getRGB1($E815)="FFFFFF",0,3)+IF(getRGB1($F815)="FFFFFF",0,4)</f>
        <v>3</v>
      </c>
    </row>
    <row r="816" spans="1:7">
      <c r="A816" t="s">
        <v>7414</v>
      </c>
      <c r="B816" s="671" t="s">
        <v>7501</v>
      </c>
      <c r="C816" s="672" t="s">
        <v>7502</v>
      </c>
      <c r="D816" s="672" t="s">
        <v>4767</v>
      </c>
      <c r="E816" s="672" t="s">
        <v>7503</v>
      </c>
      <c r="F816" s="673" t="s">
        <v>4770</v>
      </c>
      <c r="G816">
        <f>IF(getRGB1($C816)="FFFFFF",0,1)+IF(getRGB1($D816)="FFFFFF",0,2)+IF(getRGB1($E816)="FFFFFF",0,3)+IF(getRGB1($F816)="FFFFFF",0,4)</f>
        <v>4</v>
      </c>
    </row>
    <row r="817" spans="1:7" ht="30">
      <c r="A817" t="s">
        <v>7414</v>
      </c>
      <c r="B817" s="671" t="s">
        <v>7504</v>
      </c>
      <c r="C817" s="672">
        <v>0.98</v>
      </c>
      <c r="D817" s="673">
        <v>0.97</v>
      </c>
      <c r="E817" s="672">
        <v>0.96</v>
      </c>
      <c r="F817" s="672">
        <v>0.95</v>
      </c>
      <c r="G817">
        <f>IF(getRGB1($C817)="FFFFFF",0,1)+IF(getRGB1($D817)="FFFFFF",0,2)+IF(getRGB1($E817)="FFFFFF",0,3)+IF(getRGB1($F817)="FFFFFF",0,4)</f>
        <v>2</v>
      </c>
    </row>
    <row r="818" spans="1:7" ht="30">
      <c r="A818" t="s">
        <v>7414</v>
      </c>
      <c r="B818" s="671" t="s">
        <v>7505</v>
      </c>
      <c r="C818" s="672">
        <v>1.02</v>
      </c>
      <c r="D818" s="673">
        <v>1.03</v>
      </c>
      <c r="E818" s="672">
        <v>1.04</v>
      </c>
      <c r="F818" s="672">
        <v>1.05</v>
      </c>
      <c r="G818">
        <f>IF(getRGB1($C818)="FFFFFF",0,1)+IF(getRGB1($D818)="FFFFFF",0,2)+IF(getRGB1($E818)="FFFFFF",0,3)+IF(getRGB1($F818)="FFFFFF",0,4)</f>
        <v>2</v>
      </c>
    </row>
    <row r="819" spans="1:7" ht="25.5">
      <c r="A819" t="s">
        <v>7414</v>
      </c>
      <c r="B819" s="553" t="s">
        <v>7506</v>
      </c>
      <c r="C819" s="554" t="s">
        <v>7507</v>
      </c>
      <c r="D819" s="554" t="s">
        <v>7508</v>
      </c>
      <c r="E819" s="554" t="s">
        <v>7509</v>
      </c>
      <c r="F819" s="554" t="s">
        <v>209</v>
      </c>
      <c r="G819">
        <f>IF(getRGB1($C819)="FFFFFF",0,1)+IF(getRGB1($D819)="FFFFFF",0,2)+IF(getRGB1($E819)="FFFFFF",0,3)+IF(getRGB1($F819)="FFFFFF",0,4)</f>
        <v>0</v>
      </c>
    </row>
    <row r="820" spans="1:7" ht="30">
      <c r="A820" t="s">
        <v>7414</v>
      </c>
      <c r="B820" s="671" t="s">
        <v>7510</v>
      </c>
      <c r="C820" s="672" t="s">
        <v>7507</v>
      </c>
      <c r="D820" s="673" t="s">
        <v>7508</v>
      </c>
      <c r="E820" s="672" t="s">
        <v>7509</v>
      </c>
      <c r="F820" s="672" t="s">
        <v>3313</v>
      </c>
      <c r="G820">
        <f>IF(getRGB1($C820)="FFFFFF",0,1)+IF(getRGB1($D820)="FFFFFF",0,2)+IF(getRGB1($E820)="FFFFFF",0,3)+IF(getRGB1($F820)="FFFFFF",0,4)</f>
        <v>2</v>
      </c>
    </row>
    <row r="821" spans="1:7" ht="30">
      <c r="A821" t="s">
        <v>7414</v>
      </c>
      <c r="B821" s="671" t="s">
        <v>7511</v>
      </c>
      <c r="C821" s="673" t="s">
        <v>7512</v>
      </c>
      <c r="D821" s="672" t="s">
        <v>7513</v>
      </c>
      <c r="E821" s="672" t="s">
        <v>7514</v>
      </c>
      <c r="F821" s="672" t="s">
        <v>209</v>
      </c>
      <c r="G821">
        <f>IF(getRGB1($C821)="FFFFFF",0,1)+IF(getRGB1($D821)="FFFFFF",0,2)+IF(getRGB1($E821)="FFFFFF",0,3)+IF(getRGB1($F821)="FFFFFF",0,4)</f>
        <v>1</v>
      </c>
    </row>
    <row r="822" spans="1:7">
      <c r="A822" t="s">
        <v>7414</v>
      </c>
      <c r="B822" s="671" t="s">
        <v>7515</v>
      </c>
      <c r="C822" s="672">
        <v>455</v>
      </c>
      <c r="D822" s="673">
        <v>515</v>
      </c>
      <c r="E822" s="672">
        <v>575</v>
      </c>
      <c r="F822" s="672">
        <v>625</v>
      </c>
      <c r="G822">
        <f>IF(getRGB1($C822)="FFFFFF",0,1)+IF(getRGB1($D822)="FFFFFF",0,2)+IF(getRGB1($E822)="FFFFFF",0,3)+IF(getRGB1($F822)="FFFFFF",0,4)</f>
        <v>2</v>
      </c>
    </row>
    <row r="823" spans="1:7" ht="30">
      <c r="A823" t="s">
        <v>7414</v>
      </c>
      <c r="B823" s="671" t="s">
        <v>7516</v>
      </c>
      <c r="C823" s="672" t="s">
        <v>7517</v>
      </c>
      <c r="D823" s="672" t="s">
        <v>7518</v>
      </c>
      <c r="E823" s="672" t="s">
        <v>7519</v>
      </c>
      <c r="F823" s="673" t="s">
        <v>2174</v>
      </c>
      <c r="G823">
        <f>IF(getRGB1($C823)="FFFFFF",0,1)+IF(getRGB1($D823)="FFFFFF",0,2)+IF(getRGB1($E823)="FFFFFF",0,3)+IF(getRGB1($F823)="FFFFFF",0,4)</f>
        <v>4</v>
      </c>
    </row>
    <row r="824" spans="1:7" ht="30">
      <c r="A824" t="s">
        <v>7414</v>
      </c>
      <c r="B824" s="671" t="s">
        <v>7520</v>
      </c>
      <c r="C824" s="672" t="s">
        <v>4768</v>
      </c>
      <c r="D824" s="672" t="s">
        <v>4770</v>
      </c>
      <c r="E824" s="673" t="s">
        <v>4767</v>
      </c>
      <c r="F824" s="672" t="s">
        <v>1743</v>
      </c>
      <c r="G824">
        <f>IF(getRGB1($C824)="FFFFFF",0,1)+IF(getRGB1($D824)="FFFFFF",0,2)+IF(getRGB1($E824)="FFFFFF",0,3)+IF(getRGB1($F824)="FFFFFF",0,4)</f>
        <v>3</v>
      </c>
    </row>
    <row r="825" spans="1:7">
      <c r="A825" t="s">
        <v>7414</v>
      </c>
      <c r="B825" s="671" t="s">
        <v>7521</v>
      </c>
      <c r="C825" s="672" t="s">
        <v>4768</v>
      </c>
      <c r="D825" s="672" t="s">
        <v>4770</v>
      </c>
      <c r="E825" s="672" t="s">
        <v>4767</v>
      </c>
      <c r="F825" s="673" t="s">
        <v>1743</v>
      </c>
      <c r="G825">
        <f>IF(getRGB1($C825)="FFFFFF",0,1)+IF(getRGB1($D825)="FFFFFF",0,2)+IF(getRGB1($E825)="FFFFFF",0,3)+IF(getRGB1($F825)="FFFFFF",0,4)</f>
        <v>4</v>
      </c>
    </row>
    <row r="826" spans="1:7">
      <c r="A826" t="s">
        <v>7414</v>
      </c>
      <c r="B826" s="671" t="s">
        <v>7522</v>
      </c>
      <c r="C826" s="672" t="s">
        <v>4768</v>
      </c>
      <c r="D826" s="672" t="s">
        <v>4770</v>
      </c>
      <c r="E826" s="673" t="s">
        <v>4767</v>
      </c>
      <c r="F826" s="693" t="s">
        <v>1743</v>
      </c>
      <c r="G826">
        <f>IF(getRGB1($C826)="FFFFFF",0,1)+IF(getRGB1($D826)="FFFFFF",0,2)+IF(getRGB1($E826)="FFFFFF",0,3)+IF(getRGB1($F826)="FFFFFF",0,4)</f>
        <v>3</v>
      </c>
    </row>
    <row r="827" spans="1:7">
      <c r="A827" t="s">
        <v>7414</v>
      </c>
      <c r="B827" s="671" t="s">
        <v>7523</v>
      </c>
      <c r="C827" s="672" t="s">
        <v>7524</v>
      </c>
      <c r="D827" s="672" t="s">
        <v>7525</v>
      </c>
      <c r="E827" s="673" t="s">
        <v>7526</v>
      </c>
      <c r="F827" s="672" t="s">
        <v>7527</v>
      </c>
      <c r="G827">
        <f>IF(getRGB1($C827)="FFFFFF",0,1)+IF(getRGB1($D827)="FFFFFF",0,2)+IF(getRGB1($E827)="FFFFFF",0,3)+IF(getRGB1($F827)="FFFFFF",0,4)</f>
        <v>3</v>
      </c>
    </row>
    <row r="828" spans="1:7" ht="30">
      <c r="A828" t="s">
        <v>7414</v>
      </c>
      <c r="B828" s="671" t="s">
        <v>7528</v>
      </c>
      <c r="C828" s="673">
        <v>0.01</v>
      </c>
      <c r="D828" s="672">
        <v>0.03</v>
      </c>
      <c r="E828" s="693">
        <v>0.06</v>
      </c>
      <c r="F828" s="672">
        <v>0.08</v>
      </c>
      <c r="G828">
        <f>IF(getRGB1($C828)="FFFFFF",0,1)+IF(getRGB1($D828)="FFFFFF",0,2)+IF(getRGB1($E828)="FFFFFF",0,3)+IF(getRGB1($F828)="FFFFFF",0,4)</f>
        <v>1</v>
      </c>
    </row>
    <row r="829" spans="1:7" ht="30">
      <c r="A829" t="s">
        <v>7414</v>
      </c>
      <c r="B829" s="671" t="s">
        <v>7529</v>
      </c>
      <c r="C829" s="693" t="s">
        <v>1422</v>
      </c>
      <c r="D829" s="672">
        <v>1</v>
      </c>
      <c r="E829" s="673">
        <v>2</v>
      </c>
      <c r="F829" s="672">
        <v>3</v>
      </c>
      <c r="G829">
        <f>IF(getRGB1($C829)="FFFFFF",0,1)+IF(getRGB1($D829)="FFFFFF",0,2)+IF(getRGB1($E829)="FFFFFF",0,3)+IF(getRGB1($F829)="FFFFFF",0,4)</f>
        <v>3</v>
      </c>
    </row>
    <row r="830" spans="1:7" ht="60">
      <c r="A830" t="s">
        <v>7414</v>
      </c>
      <c r="B830" s="671" t="s">
        <v>7530</v>
      </c>
      <c r="C830" s="673" t="s">
        <v>7531</v>
      </c>
      <c r="D830" s="672" t="s">
        <v>7532</v>
      </c>
      <c r="E830" s="672" t="s">
        <v>7533</v>
      </c>
      <c r="F830" s="672" t="s">
        <v>7534</v>
      </c>
      <c r="G830">
        <f>IF(getRGB1($C830)="FFFFFF",0,1)+IF(getRGB1($D830)="FFFFFF",0,2)+IF(getRGB1($E830)="FFFFFF",0,3)+IF(getRGB1($F830)="FFFFFF",0,4)</f>
        <v>1</v>
      </c>
    </row>
    <row r="831" spans="1:7" ht="30">
      <c r="A831" t="s">
        <v>7414</v>
      </c>
      <c r="B831" s="671" t="s">
        <v>7535</v>
      </c>
      <c r="C831" s="672" t="s">
        <v>73</v>
      </c>
      <c r="D831" s="672" t="s">
        <v>7536</v>
      </c>
      <c r="E831" s="673" t="s">
        <v>5337</v>
      </c>
      <c r="F831" s="672" t="s">
        <v>74</v>
      </c>
      <c r="G831">
        <f>IF(getRGB1($C831)="FFFFFF",0,1)+IF(getRGB1($D831)="FFFFFF",0,2)+IF(getRGB1($E831)="FFFFFF",0,3)+IF(getRGB1($F831)="FFFFFF",0,4)</f>
        <v>3</v>
      </c>
    </row>
    <row r="832" spans="1:7" ht="30">
      <c r="A832" t="s">
        <v>7414</v>
      </c>
      <c r="B832" s="671" t="s">
        <v>7537</v>
      </c>
      <c r="C832" s="672" t="s">
        <v>1122</v>
      </c>
      <c r="D832" s="672" t="s">
        <v>4967</v>
      </c>
      <c r="E832" s="672" t="s">
        <v>7538</v>
      </c>
      <c r="F832" s="673" t="s">
        <v>5337</v>
      </c>
      <c r="G832">
        <f>IF(getRGB1($C832)="FFFFFF",0,1)+IF(getRGB1($D832)="FFFFFF",0,2)+IF(getRGB1($E832)="FFFFFF",0,3)+IF(getRGB1($F832)="FFFFFF",0,4)</f>
        <v>4</v>
      </c>
    </row>
    <row r="833" spans="1:7" ht="30">
      <c r="A833" t="s">
        <v>7414</v>
      </c>
      <c r="B833" s="671" t="s">
        <v>7539</v>
      </c>
      <c r="C833" s="693" t="s">
        <v>7540</v>
      </c>
      <c r="D833" s="672" t="s">
        <v>7541</v>
      </c>
      <c r="E833" s="673" t="s">
        <v>7542</v>
      </c>
      <c r="F833" s="672" t="s">
        <v>7543</v>
      </c>
      <c r="G833">
        <f>IF(getRGB1($C833)="FFFFFF",0,1)+IF(getRGB1($D833)="FFFFFF",0,2)+IF(getRGB1($E833)="FFFFFF",0,3)+IF(getRGB1($F833)="FFFFFF",0,4)</f>
        <v>3</v>
      </c>
    </row>
    <row r="834" spans="1:7" ht="31.5">
      <c r="A834" t="s">
        <v>8676</v>
      </c>
      <c r="B834" s="555" t="s">
        <v>8697</v>
      </c>
      <c r="C834" s="556" t="s">
        <v>1287</v>
      </c>
      <c r="D834" s="556" t="s">
        <v>1288</v>
      </c>
      <c r="E834" s="557" t="s">
        <v>8</v>
      </c>
      <c r="F834" s="556" t="s">
        <v>1289</v>
      </c>
      <c r="G834">
        <f>IF(getRGB1($C834)="FFFFFF",0,1)+IF(getRGB1($D834)="FFFFFF",0,2)+IF(getRGB1($E834)="FFFFFF",0,3)+IF(getRGB1($F834)="FFFFFF",0,4)</f>
        <v>3</v>
      </c>
    </row>
    <row r="835" spans="1:7" ht="63">
      <c r="A835" t="s">
        <v>8676</v>
      </c>
      <c r="B835" s="694" t="s">
        <v>8698</v>
      </c>
      <c r="C835" s="695" t="s">
        <v>1291</v>
      </c>
      <c r="D835" s="695" t="s">
        <v>1292</v>
      </c>
      <c r="E835" s="557" t="s">
        <v>1293</v>
      </c>
      <c r="F835" s="695" t="s">
        <v>1294</v>
      </c>
      <c r="G835">
        <f>IF(getRGB1($C835)="FFFFFF",0,1)+IF(getRGB1($D835)="FFFFFF",0,2)+IF(getRGB1($E835)="FFFFFF",0,3)+IF(getRGB1($F835)="FFFFFF",0,4)</f>
        <v>3</v>
      </c>
    </row>
    <row r="836" spans="1:7" ht="47.25">
      <c r="A836" t="s">
        <v>8676</v>
      </c>
      <c r="B836" s="558" t="s">
        <v>1295</v>
      </c>
      <c r="C836" s="559" t="s">
        <v>1296</v>
      </c>
      <c r="D836" s="560" t="s">
        <v>1297</v>
      </c>
      <c r="E836" s="560" t="s">
        <v>1298</v>
      </c>
      <c r="F836" s="560" t="s">
        <v>1299</v>
      </c>
      <c r="G836">
        <f>IF(getRGB1($C836)="FFFFFF",0,1)+IF(getRGB1($D836)="FFFFFF",0,2)+IF(getRGB1($E836)="FFFFFF",0,3)+IF(getRGB1($F836)="FFFFFF",0,4)</f>
        <v>1</v>
      </c>
    </row>
    <row r="837" spans="1:7" ht="31.5">
      <c r="A837" t="s">
        <v>8676</v>
      </c>
      <c r="B837" s="694" t="s">
        <v>1300</v>
      </c>
      <c r="C837" s="695" t="s">
        <v>1301</v>
      </c>
      <c r="D837" s="695" t="s">
        <v>1302</v>
      </c>
      <c r="E837" s="557" t="s">
        <v>1303</v>
      </c>
      <c r="F837" s="695" t="s">
        <v>1304</v>
      </c>
      <c r="G837">
        <f>IF(getRGB1($C837)="FFFFFF",0,1)+IF(getRGB1($D837)="FFFFFF",0,2)+IF(getRGB1($E837)="FFFFFF",0,3)+IF(getRGB1($F837)="FFFFFF",0,4)</f>
        <v>3</v>
      </c>
    </row>
    <row r="838" spans="1:7" ht="94.5">
      <c r="A838" t="s">
        <v>8676</v>
      </c>
      <c r="B838" s="558" t="s">
        <v>11</v>
      </c>
      <c r="C838" s="561" t="s">
        <v>8</v>
      </c>
      <c r="D838" s="557" t="s">
        <v>12</v>
      </c>
      <c r="E838" s="561" t="s">
        <v>13</v>
      </c>
      <c r="F838" s="561" t="s">
        <v>14</v>
      </c>
      <c r="G838">
        <f>IF(getRGB1($C838)="FFFFFF",0,1)+IF(getRGB1($D838)="FFFFFF",0,2)+IF(getRGB1($E838)="FFFFFF",0,3)+IF(getRGB1($F838)="FFFFFF",0,4)</f>
        <v>2</v>
      </c>
    </row>
    <row r="839" spans="1:7" ht="47.25">
      <c r="A839" t="s">
        <v>8676</v>
      </c>
      <c r="B839" s="555" t="s">
        <v>1305</v>
      </c>
      <c r="C839" s="556" t="s">
        <v>8</v>
      </c>
      <c r="D839" s="556" t="s">
        <v>1289</v>
      </c>
      <c r="E839" s="556" t="s">
        <v>1288</v>
      </c>
      <c r="F839" s="557">
        <v>250</v>
      </c>
      <c r="G839">
        <f>IF(getRGB1($C839)="FFFFFF",0,1)+IF(getRGB1($D839)="FFFFFF",0,2)+IF(getRGB1($E839)="FFFFFF",0,3)+IF(getRGB1($F839)="FFFFFF",0,4)</f>
        <v>4</v>
      </c>
    </row>
    <row r="840" spans="1:7" ht="47.25">
      <c r="A840" t="s">
        <v>8676</v>
      </c>
      <c r="B840" s="694" t="s">
        <v>1306</v>
      </c>
      <c r="C840" s="557">
        <v>30</v>
      </c>
      <c r="D840" s="695">
        <v>60</v>
      </c>
      <c r="E840" s="695">
        <v>90</v>
      </c>
      <c r="F840" s="695">
        <v>120</v>
      </c>
      <c r="G840">
        <f>IF(getRGB1($C840)="FFFFFF",0,1)+IF(getRGB1($D840)="FFFFFF",0,2)+IF(getRGB1($E840)="FFFFFF",0,3)+IF(getRGB1($F840)="FFFFFF",0,4)</f>
        <v>1</v>
      </c>
    </row>
    <row r="841" spans="1:7" ht="47.25">
      <c r="A841" t="s">
        <v>8676</v>
      </c>
      <c r="B841" s="562" t="s">
        <v>1307</v>
      </c>
      <c r="C841" s="560">
        <v>46.25</v>
      </c>
      <c r="D841" s="559">
        <v>80</v>
      </c>
      <c r="E841" s="560">
        <v>100</v>
      </c>
      <c r="F841" s="563" t="s">
        <v>1308</v>
      </c>
      <c r="G841">
        <f>IF(getRGB1($C841)="FFFFFF",0,1)+IF(getRGB1($D841)="FFFFFF",0,2)+IF(getRGB1($E841)="FFFFFF",0,3)+IF(getRGB1($F841)="FFFFFF",0,4)</f>
        <v>2</v>
      </c>
    </row>
    <row r="842" spans="1:7" ht="78.75">
      <c r="A842" t="s">
        <v>8676</v>
      </c>
      <c r="B842" s="558" t="s">
        <v>1309</v>
      </c>
      <c r="C842" s="561" t="s">
        <v>1310</v>
      </c>
      <c r="D842" s="561" t="s">
        <v>1311</v>
      </c>
      <c r="E842" s="557" t="s">
        <v>1312</v>
      </c>
      <c r="F842" s="561" t="s">
        <v>1313</v>
      </c>
      <c r="G842">
        <f>IF(getRGB1($C842)="FFFFFF",0,1)+IF(getRGB1($D842)="FFFFFF",0,2)+IF(getRGB1($E842)="FFFFFF",0,3)+IF(getRGB1($F842)="FFFFFF",0,4)</f>
        <v>3</v>
      </c>
    </row>
    <row r="843" spans="1:7" ht="47.25">
      <c r="A843" t="s">
        <v>8676</v>
      </c>
      <c r="B843" s="558" t="s">
        <v>1314</v>
      </c>
      <c r="C843" s="560" t="s">
        <v>1315</v>
      </c>
      <c r="D843" s="560" t="s">
        <v>1316</v>
      </c>
      <c r="E843" s="559" t="s">
        <v>1317</v>
      </c>
      <c r="F843" s="560" t="s">
        <v>1318</v>
      </c>
      <c r="G843">
        <f>IF(getRGB1($C843)="FFFFFF",0,1)+IF(getRGB1($D843)="FFFFFF",0,2)+IF(getRGB1($E843)="FFFFFF",0,3)+IF(getRGB1($F843)="FFFFFF",0,4)</f>
        <v>3</v>
      </c>
    </row>
    <row r="844" spans="1:7" ht="47.25">
      <c r="A844" t="s">
        <v>8676</v>
      </c>
      <c r="B844" s="555" t="s">
        <v>1319</v>
      </c>
      <c r="C844" s="556" t="s">
        <v>1320</v>
      </c>
      <c r="D844" s="557" t="s">
        <v>25</v>
      </c>
      <c r="E844" s="556" t="s">
        <v>1289</v>
      </c>
      <c r="F844" s="556" t="s">
        <v>1321</v>
      </c>
      <c r="G844">
        <f>IF(getRGB1($C844)="FFFFFF",0,1)+IF(getRGB1($D844)="FFFFFF",0,2)+IF(getRGB1($E844)="FFFFFF",0,3)+IF(getRGB1($F844)="FFFFFF",0,4)</f>
        <v>2</v>
      </c>
    </row>
    <row r="845" spans="1:7" ht="110.25">
      <c r="A845" t="s">
        <v>8676</v>
      </c>
      <c r="B845" s="558" t="s">
        <v>1322</v>
      </c>
      <c r="C845" s="560" t="s">
        <v>1323</v>
      </c>
      <c r="D845" s="560" t="s">
        <v>1324</v>
      </c>
      <c r="E845" s="559" t="s">
        <v>1325</v>
      </c>
      <c r="F845" s="560" t="s">
        <v>1326</v>
      </c>
      <c r="G845">
        <f>IF(getRGB1($C845)="FFFFFF",0,1)+IF(getRGB1($D845)="FFFFFF",0,2)+IF(getRGB1($E845)="FFFFFF",0,3)+IF(getRGB1($F845)="FFFFFF",0,4)</f>
        <v>3</v>
      </c>
    </row>
    <row r="846" spans="1:7" ht="63">
      <c r="A846" t="s">
        <v>8676</v>
      </c>
      <c r="B846" s="562" t="s">
        <v>1327</v>
      </c>
      <c r="C846" s="560" t="s">
        <v>162</v>
      </c>
      <c r="D846" s="560" t="s">
        <v>1328</v>
      </c>
      <c r="E846" s="560" t="s">
        <v>1329</v>
      </c>
      <c r="F846" s="559" t="s">
        <v>1330</v>
      </c>
      <c r="G846">
        <f>IF(getRGB1($C846)="FFFFFF",0,1)+IF(getRGB1($D846)="FFFFFF",0,2)+IF(getRGB1($E846)="FFFFFF",0,3)+IF(getRGB1($F846)="FFFFFF",0,4)</f>
        <v>4</v>
      </c>
    </row>
    <row r="847" spans="1:7" ht="47.25">
      <c r="A847" t="s">
        <v>8676</v>
      </c>
      <c r="B847" s="562" t="s">
        <v>1331</v>
      </c>
      <c r="C847" s="560" t="s">
        <v>1332</v>
      </c>
      <c r="D847" s="559" t="s">
        <v>1333</v>
      </c>
      <c r="E847" s="560" t="s">
        <v>1334</v>
      </c>
      <c r="F847" s="560" t="s">
        <v>1335</v>
      </c>
      <c r="G847">
        <f>IF(getRGB1($C847)="FFFFFF",0,1)+IF(getRGB1($D847)="FFFFFF",0,2)+IF(getRGB1($E847)="FFFFFF",0,3)+IF(getRGB1($F847)="FFFFFF",0,4)</f>
        <v>2</v>
      </c>
    </row>
    <row r="848" spans="1:7" ht="31.5">
      <c r="A848" t="s">
        <v>8676</v>
      </c>
      <c r="B848" s="555" t="s">
        <v>1336</v>
      </c>
      <c r="C848" s="556" t="s">
        <v>1337</v>
      </c>
      <c r="D848" s="557" t="s">
        <v>1338</v>
      </c>
      <c r="E848" s="556" t="s">
        <v>1339</v>
      </c>
      <c r="F848" s="556" t="s">
        <v>1340</v>
      </c>
      <c r="G848">
        <f>IF(getRGB1($C848)="FFFFFF",0,1)+IF(getRGB1($D848)="FFFFFF",0,2)+IF(getRGB1($E848)="FFFFFF",0,3)+IF(getRGB1($F848)="FFFFFF",0,4)</f>
        <v>2</v>
      </c>
    </row>
    <row r="849" spans="1:7" ht="31.5">
      <c r="A849" t="s">
        <v>8676</v>
      </c>
      <c r="B849" s="562" t="s">
        <v>1341</v>
      </c>
      <c r="C849" s="560" t="s">
        <v>1342</v>
      </c>
      <c r="D849" s="559" t="s">
        <v>1343</v>
      </c>
      <c r="E849" s="560" t="s">
        <v>1344</v>
      </c>
      <c r="F849" s="560" t="s">
        <v>1345</v>
      </c>
      <c r="G849">
        <f>IF(getRGB1($C849)="FFFFFF",0,1)+IF(getRGB1($D849)="FFFFFF",0,2)+IF(getRGB1($E849)="FFFFFF",0,3)+IF(getRGB1($F849)="FFFFFF",0,4)</f>
        <v>2</v>
      </c>
    </row>
    <row r="850" spans="1:7" ht="31.5">
      <c r="A850" t="s">
        <v>8676</v>
      </c>
      <c r="B850" s="562" t="s">
        <v>1346</v>
      </c>
      <c r="C850" s="559" t="s">
        <v>1347</v>
      </c>
      <c r="D850" s="560" t="s">
        <v>1348</v>
      </c>
      <c r="E850" s="560" t="s">
        <v>1349</v>
      </c>
      <c r="F850" s="560" t="s">
        <v>1350</v>
      </c>
      <c r="G850">
        <f>IF(getRGB1($C850)="FFFFFF",0,1)+IF(getRGB1($D850)="FFFFFF",0,2)+IF(getRGB1($E850)="FFFFFF",0,3)+IF(getRGB1($F850)="FFFFFF",0,4)</f>
        <v>1</v>
      </c>
    </row>
    <row r="851" spans="1:7" ht="47.25">
      <c r="A851" t="s">
        <v>8676</v>
      </c>
      <c r="B851" s="555" t="s">
        <v>1351</v>
      </c>
      <c r="C851" s="556">
        <v>5</v>
      </c>
      <c r="D851" s="556">
        <v>7</v>
      </c>
      <c r="E851" s="557">
        <v>9</v>
      </c>
      <c r="F851" s="556">
        <v>11</v>
      </c>
      <c r="G851">
        <f>IF(getRGB1($C851)="FFFFFF",0,1)+IF(getRGB1($D851)="FFFFFF",0,2)+IF(getRGB1($E851)="FFFFFF",0,3)+IF(getRGB1($F851)="FFFFFF",0,4)</f>
        <v>3</v>
      </c>
    </row>
    <row r="852" spans="1:7" ht="47.25">
      <c r="A852" t="s">
        <v>8676</v>
      </c>
      <c r="B852" s="555" t="s">
        <v>1352</v>
      </c>
      <c r="C852" s="557">
        <v>3</v>
      </c>
      <c r="D852" s="556">
        <v>5</v>
      </c>
      <c r="E852" s="556">
        <v>7</v>
      </c>
      <c r="F852" s="556">
        <v>9</v>
      </c>
      <c r="G852">
        <f>IF(getRGB1($C852)="FFFFFF",0,1)+IF(getRGB1($D852)="FFFFFF",0,2)+IF(getRGB1($E852)="FFFFFF",0,3)+IF(getRGB1($F852)="FFFFFF",0,4)</f>
        <v>1</v>
      </c>
    </row>
    <row r="853" spans="1:7" ht="47.25">
      <c r="A853" t="s">
        <v>8676</v>
      </c>
      <c r="B853" s="555" t="s">
        <v>1353</v>
      </c>
      <c r="C853" s="557">
        <v>4</v>
      </c>
      <c r="D853" s="556">
        <v>6</v>
      </c>
      <c r="E853" s="556">
        <v>8</v>
      </c>
      <c r="F853" s="556">
        <v>3</v>
      </c>
      <c r="G853">
        <f>IF(getRGB1($C853)="FFFFFF",0,1)+IF(getRGB1($D853)="FFFFFF",0,2)+IF(getRGB1($E853)="FFFFFF",0,3)+IF(getRGB1($F853)="FFFFFF",0,4)</f>
        <v>1</v>
      </c>
    </row>
    <row r="854" spans="1:7" ht="47.25">
      <c r="A854" t="s">
        <v>8676</v>
      </c>
      <c r="B854" s="555" t="s">
        <v>1354</v>
      </c>
      <c r="C854" s="556" t="s">
        <v>1355</v>
      </c>
      <c r="D854" s="556" t="s">
        <v>1356</v>
      </c>
      <c r="E854" s="556" t="s">
        <v>1357</v>
      </c>
      <c r="F854" s="557" t="s">
        <v>1358</v>
      </c>
      <c r="G854">
        <f>IF(getRGB1($C854)="FFFFFF",0,1)+IF(getRGB1($D854)="FFFFFF",0,2)+IF(getRGB1($E854)="FFFFFF",0,3)+IF(getRGB1($F854)="FFFFFF",0,4)</f>
        <v>4</v>
      </c>
    </row>
    <row r="855" spans="1:7" ht="63">
      <c r="A855" t="s">
        <v>8676</v>
      </c>
      <c r="B855" s="562" t="s">
        <v>1359</v>
      </c>
      <c r="C855" s="559" t="s">
        <v>1360</v>
      </c>
      <c r="D855" s="560" t="s">
        <v>1361</v>
      </c>
      <c r="E855" s="560" t="s">
        <v>1362</v>
      </c>
      <c r="F855" s="560" t="s">
        <v>1363</v>
      </c>
      <c r="G855">
        <f>IF(getRGB1($C855)="FFFFFF",0,1)+IF(getRGB1($D855)="FFFFFF",0,2)+IF(getRGB1($E855)="FFFFFF",0,3)+IF(getRGB1($F855)="FFFFFF",0,4)</f>
        <v>1</v>
      </c>
    </row>
    <row r="856" spans="1:7" ht="31.5">
      <c r="A856" t="s">
        <v>8676</v>
      </c>
      <c r="B856" s="562" t="s">
        <v>1364</v>
      </c>
      <c r="C856" s="559" t="s">
        <v>1365</v>
      </c>
      <c r="D856" s="560" t="s">
        <v>1366</v>
      </c>
      <c r="E856" s="560" t="s">
        <v>1367</v>
      </c>
      <c r="F856" s="560" t="s">
        <v>1368</v>
      </c>
      <c r="G856">
        <f>IF(getRGB1($C856)="FFFFFF",0,1)+IF(getRGB1($D856)="FFFFFF",0,2)+IF(getRGB1($E856)="FFFFFF",0,3)+IF(getRGB1($F856)="FFFFFF",0,4)</f>
        <v>1</v>
      </c>
    </row>
    <row r="857" spans="1:7" ht="31.5">
      <c r="A857" t="s">
        <v>8676</v>
      </c>
      <c r="B857" s="562" t="s">
        <v>1369</v>
      </c>
      <c r="C857" s="560" t="s">
        <v>1370</v>
      </c>
      <c r="D857" s="559" t="s">
        <v>1371</v>
      </c>
      <c r="E857" s="560" t="s">
        <v>1372</v>
      </c>
      <c r="F857" s="560" t="s">
        <v>1373</v>
      </c>
      <c r="G857">
        <f>IF(getRGB1($C857)="FFFFFF",0,1)+IF(getRGB1($D857)="FFFFFF",0,2)+IF(getRGB1($E857)="FFFFFF",0,3)+IF(getRGB1($F857)="FFFFFF",0,4)</f>
        <v>2</v>
      </c>
    </row>
    <row r="858" spans="1:7" ht="31.5">
      <c r="A858" t="s">
        <v>8676</v>
      </c>
      <c r="B858" s="562" t="s">
        <v>1374</v>
      </c>
      <c r="C858" s="560" t="s">
        <v>1365</v>
      </c>
      <c r="D858" s="559" t="s">
        <v>1366</v>
      </c>
      <c r="E858" s="560" t="s">
        <v>1367</v>
      </c>
      <c r="F858" s="560" t="s">
        <v>1368</v>
      </c>
      <c r="G858">
        <f>IF(getRGB1($C858)="FFFFFF",0,1)+IF(getRGB1($D858)="FFFFFF",0,2)+IF(getRGB1($E858)="FFFFFF",0,3)+IF(getRGB1($F858)="FFFFFF",0,4)</f>
        <v>2</v>
      </c>
    </row>
    <row r="859" spans="1:7" ht="47.25">
      <c r="A859" t="s">
        <v>8676</v>
      </c>
      <c r="B859" s="562" t="s">
        <v>1375</v>
      </c>
      <c r="C859" s="560" t="s">
        <v>1376</v>
      </c>
      <c r="D859" s="560" t="s">
        <v>1377</v>
      </c>
      <c r="E859" s="560" t="s">
        <v>1378</v>
      </c>
      <c r="F859" s="559" t="s">
        <v>1379</v>
      </c>
      <c r="G859">
        <f>IF(getRGB1($C859)="FFFFFF",0,1)+IF(getRGB1($D859)="FFFFFF",0,2)+IF(getRGB1($E859)="FFFFFF",0,3)+IF(getRGB1($F859)="FFFFFF",0,4)</f>
        <v>4</v>
      </c>
    </row>
    <row r="860" spans="1:7" ht="31.5">
      <c r="A860" t="s">
        <v>8676</v>
      </c>
      <c r="B860" s="562" t="s">
        <v>1380</v>
      </c>
      <c r="C860" s="559" t="s">
        <v>1381</v>
      </c>
      <c r="D860" s="560" t="s">
        <v>1382</v>
      </c>
      <c r="E860" s="560" t="s">
        <v>1383</v>
      </c>
      <c r="F860" s="560" t="s">
        <v>1384</v>
      </c>
      <c r="G860">
        <f>IF(getRGB1($C860)="FFFFFF",0,1)+IF(getRGB1($D860)="FFFFFF",0,2)+IF(getRGB1($E860)="FFFFFF",0,3)+IF(getRGB1($F860)="FFFFFF",0,4)</f>
        <v>1</v>
      </c>
    </row>
    <row r="861" spans="1:7" ht="31.5">
      <c r="A861" t="s">
        <v>8676</v>
      </c>
      <c r="B861" s="562" t="s">
        <v>1385</v>
      </c>
      <c r="C861" s="559" t="s">
        <v>1381</v>
      </c>
      <c r="D861" s="560" t="s">
        <v>1382</v>
      </c>
      <c r="E861" s="560" t="s">
        <v>1383</v>
      </c>
      <c r="F861" s="560" t="s">
        <v>1384</v>
      </c>
      <c r="G861">
        <f>IF(getRGB1($C861)="FFFFFF",0,1)+IF(getRGB1($D861)="FFFFFF",0,2)+IF(getRGB1($E861)="FFFFFF",0,3)+IF(getRGB1($F861)="FFFFFF",0,4)</f>
        <v>1</v>
      </c>
    </row>
    <row r="862" spans="1:7" ht="31.5">
      <c r="A862" t="s">
        <v>8676</v>
      </c>
      <c r="B862" s="562" t="s">
        <v>1386</v>
      </c>
      <c r="C862" s="559" t="s">
        <v>8</v>
      </c>
      <c r="D862" s="560" t="s">
        <v>1289</v>
      </c>
      <c r="E862" s="560" t="s">
        <v>1320</v>
      </c>
      <c r="F862" s="560" t="s">
        <v>25</v>
      </c>
      <c r="G862">
        <f>IF(getRGB1($C862)="FFFFFF",0,1)+IF(getRGB1($D862)="FFFFFF",0,2)+IF(getRGB1($E862)="FFFFFF",0,3)+IF(getRGB1($F862)="FFFFFF",0,4)</f>
        <v>1</v>
      </c>
    </row>
    <row r="863" spans="1:7" ht="47.25">
      <c r="A863" t="s">
        <v>8676</v>
      </c>
      <c r="B863" s="562" t="s">
        <v>1387</v>
      </c>
      <c r="C863" s="560" t="s">
        <v>1388</v>
      </c>
      <c r="D863" s="559" t="s">
        <v>1389</v>
      </c>
      <c r="E863" s="560" t="s">
        <v>1390</v>
      </c>
      <c r="F863" s="560" t="s">
        <v>1391</v>
      </c>
      <c r="G863">
        <f>IF(getRGB1($C863)="FFFFFF",0,1)+IF(getRGB1($D863)="FFFFFF",0,2)+IF(getRGB1($E863)="FFFFFF",0,3)+IF(getRGB1($F863)="FFFFFF",0,4)</f>
        <v>2</v>
      </c>
    </row>
    <row r="864" spans="1:7" ht="63">
      <c r="A864" t="s">
        <v>8676</v>
      </c>
      <c r="B864" s="562" t="s">
        <v>1392</v>
      </c>
      <c r="C864" s="560" t="s">
        <v>1393</v>
      </c>
      <c r="D864" s="560" t="s">
        <v>1394</v>
      </c>
      <c r="E864" s="559" t="s">
        <v>1395</v>
      </c>
      <c r="F864" s="560" t="s">
        <v>1396</v>
      </c>
      <c r="G864">
        <f>IF(getRGB1($C864)="FFFFFF",0,1)+IF(getRGB1($D864)="FFFFFF",0,2)+IF(getRGB1($E864)="FFFFFF",0,3)+IF(getRGB1($F864)="FFFFFF",0,4)</f>
        <v>3</v>
      </c>
    </row>
    <row r="865" spans="1:7" ht="94.5">
      <c r="A865" t="s">
        <v>8676</v>
      </c>
      <c r="B865" s="694" t="s">
        <v>1397</v>
      </c>
      <c r="C865" s="695" t="s">
        <v>1398</v>
      </c>
      <c r="D865" s="557" t="s">
        <v>1399</v>
      </c>
      <c r="E865" s="695" t="s">
        <v>1400</v>
      </c>
      <c r="F865" s="695" t="s">
        <v>1401</v>
      </c>
      <c r="G865">
        <f>IF(getRGB1($C865)="FFFFFF",0,1)+IF(getRGB1($D865)="FFFFFF",0,2)+IF(getRGB1($E865)="FFFFFF",0,3)+IF(getRGB1($F865)="FFFFFF",0,4)</f>
        <v>2</v>
      </c>
    </row>
    <row r="866" spans="1:7" ht="31.5">
      <c r="A866" t="s">
        <v>8676</v>
      </c>
      <c r="B866" s="562" t="s">
        <v>1402</v>
      </c>
      <c r="C866" s="560">
        <v>1E-3</v>
      </c>
      <c r="D866" s="559">
        <v>0.01</v>
      </c>
      <c r="E866" s="560">
        <v>0.1</v>
      </c>
      <c r="F866" s="560">
        <v>1</v>
      </c>
      <c r="G866">
        <f>IF(getRGB1($C866)="FFFFFF",0,1)+IF(getRGB1($D866)="FFFFFF",0,2)+IF(getRGB1($E866)="FFFFFF",0,3)+IF(getRGB1($F866)="FFFFFF",0,4)</f>
        <v>2</v>
      </c>
    </row>
    <row r="867" spans="1:7" ht="31.5">
      <c r="A867" t="s">
        <v>8676</v>
      </c>
      <c r="B867" s="562" t="s">
        <v>1403</v>
      </c>
      <c r="C867" s="559" t="s">
        <v>1332</v>
      </c>
      <c r="D867" s="560" t="s">
        <v>1404</v>
      </c>
      <c r="E867" s="560" t="s">
        <v>1405</v>
      </c>
      <c r="F867" s="560" t="s">
        <v>1406</v>
      </c>
      <c r="G867">
        <f>IF(getRGB1($C867)="FFFFFF",0,1)+IF(getRGB1($D867)="FFFFFF",0,2)+IF(getRGB1($E867)="FFFFFF",0,3)+IF(getRGB1($F867)="FFFFFF",0,4)</f>
        <v>1</v>
      </c>
    </row>
    <row r="868" spans="1:7" ht="78.75">
      <c r="A868" t="s">
        <v>8676</v>
      </c>
      <c r="B868" s="562" t="s">
        <v>1407</v>
      </c>
      <c r="C868" s="559" t="s">
        <v>1408</v>
      </c>
      <c r="D868" s="560" t="s">
        <v>1409</v>
      </c>
      <c r="E868" s="560" t="s">
        <v>1410</v>
      </c>
      <c r="F868" s="560" t="s">
        <v>1363</v>
      </c>
      <c r="G868">
        <f>IF(getRGB1($C868)="FFFFFF",0,1)+IF(getRGB1($D868)="FFFFFF",0,2)+IF(getRGB1($E868)="FFFFFF",0,3)+IF(getRGB1($F868)="FFFFFF",0,4)</f>
        <v>1</v>
      </c>
    </row>
    <row r="869" spans="1:7" ht="47.25">
      <c r="A869" t="s">
        <v>8676</v>
      </c>
      <c r="B869" s="694" t="s">
        <v>1411</v>
      </c>
      <c r="C869" s="695" t="s">
        <v>1412</v>
      </c>
      <c r="D869" s="695" t="s">
        <v>1413</v>
      </c>
      <c r="E869" s="557" t="s">
        <v>1414</v>
      </c>
      <c r="F869" s="695" t="s">
        <v>1415</v>
      </c>
      <c r="G869">
        <f>IF(getRGB1($C869)="FFFFFF",0,1)+IF(getRGB1($D869)="FFFFFF",0,2)+IF(getRGB1($E869)="FFFFFF",0,3)+IF(getRGB1($F869)="FFFFFF",0,4)</f>
        <v>3</v>
      </c>
    </row>
    <row r="870" spans="1:7" ht="31.5">
      <c r="A870" t="s">
        <v>8676</v>
      </c>
      <c r="B870" s="562" t="s">
        <v>1416</v>
      </c>
      <c r="C870" s="560" t="s">
        <v>1417</v>
      </c>
      <c r="D870" s="559" t="s">
        <v>1418</v>
      </c>
      <c r="E870" s="560" t="s">
        <v>1419</v>
      </c>
      <c r="F870" s="560" t="s">
        <v>1333</v>
      </c>
      <c r="G870">
        <f>IF(getRGB1($C870)="FFFFFF",0,1)+IF(getRGB1($D870)="FFFFFF",0,2)+IF(getRGB1($E870)="FFFFFF",0,3)+IF(getRGB1($F870)="FFFFFF",0,4)</f>
        <v>2</v>
      </c>
    </row>
    <row r="871" spans="1:7" ht="78.75">
      <c r="A871" t="s">
        <v>8676</v>
      </c>
      <c r="B871" s="562" t="s">
        <v>1420</v>
      </c>
      <c r="C871" s="560">
        <v>26400</v>
      </c>
      <c r="D871" s="559">
        <f>28800+50*24*2</f>
        <v>31200</v>
      </c>
      <c r="E871" s="696">
        <v>27600</v>
      </c>
      <c r="F871" s="560">
        <v>28800</v>
      </c>
      <c r="G871">
        <f>IF(getRGB1($C871)="FFFFFF",0,1)+IF(getRGB1($D871)="FFFFFF",0,2)+IF(getRGB1($E871)="FFFFFF",0,3)+IF(getRGB1($F871)="FFFFFF",0,4)</f>
        <v>2</v>
      </c>
    </row>
    <row r="872" spans="1:7" ht="78.75">
      <c r="A872" t="s">
        <v>8676</v>
      </c>
      <c r="B872" s="562" t="s">
        <v>1421</v>
      </c>
      <c r="C872" s="560" t="s">
        <v>1422</v>
      </c>
      <c r="D872" s="559">
        <v>2400</v>
      </c>
      <c r="E872" s="560">
        <v>4800</v>
      </c>
      <c r="F872" s="560">
        <v>3600</v>
      </c>
      <c r="G872">
        <f>IF(getRGB1($C872)="FFFFFF",0,1)+IF(getRGB1($D872)="FFFFFF",0,2)+IF(getRGB1($E872)="FFFFFF",0,3)+IF(getRGB1($F872)="FFFFFF",0,4)</f>
        <v>2</v>
      </c>
    </row>
    <row r="873" spans="1:7" ht="78.75">
      <c r="A873" t="s">
        <v>8676</v>
      </c>
      <c r="B873" s="562" t="s">
        <v>1423</v>
      </c>
      <c r="C873" s="560">
        <v>50400</v>
      </c>
      <c r="D873" s="560">
        <v>25200</v>
      </c>
      <c r="E873" s="559">
        <v>27600</v>
      </c>
      <c r="F873" s="560">
        <v>28800</v>
      </c>
      <c r="G873">
        <f>IF(getRGB1($C873)="FFFFFF",0,1)+IF(getRGB1($D873)="FFFFFF",0,2)+IF(getRGB1($E873)="FFFFFF",0,3)+IF(getRGB1($F873)="FFFFFF",0,4)</f>
        <v>3</v>
      </c>
    </row>
    <row r="874" spans="1:7" ht="47.25">
      <c r="A874" t="s">
        <v>8676</v>
      </c>
      <c r="B874" s="562" t="s">
        <v>1424</v>
      </c>
      <c r="C874" s="560" t="s">
        <v>1425</v>
      </c>
      <c r="D874" s="560" t="s">
        <v>1426</v>
      </c>
      <c r="E874" s="559" t="s">
        <v>1427</v>
      </c>
      <c r="F874" s="560" t="s">
        <v>1428</v>
      </c>
      <c r="G874">
        <f>IF(getRGB1($C874)="FFFFFF",0,1)+IF(getRGB1($D874)="FFFFFF",0,2)+IF(getRGB1($E874)="FFFFFF",0,3)+IF(getRGB1($F874)="FFFFFF",0,4)</f>
        <v>3</v>
      </c>
    </row>
    <row r="875" spans="1:7" ht="47.25">
      <c r="A875" t="s">
        <v>8676</v>
      </c>
      <c r="B875" s="562" t="s">
        <v>1429</v>
      </c>
      <c r="C875" s="560" t="s">
        <v>1425</v>
      </c>
      <c r="D875" s="559" t="s">
        <v>1426</v>
      </c>
      <c r="E875" s="696" t="s">
        <v>1427</v>
      </c>
      <c r="F875" s="560" t="s">
        <v>1430</v>
      </c>
      <c r="G875">
        <f>IF(getRGB1($C875)="FFFFFF",0,1)+IF(getRGB1($D875)="FFFFFF",0,2)+IF(getRGB1($E875)="FFFFFF",0,3)+IF(getRGB1($F875)="FFFFFF",0,4)</f>
        <v>2</v>
      </c>
    </row>
    <row r="876" spans="1:7" ht="47.25">
      <c r="A876" t="s">
        <v>8676</v>
      </c>
      <c r="B876" s="562" t="s">
        <v>1431</v>
      </c>
      <c r="C876" s="560" t="s">
        <v>1425</v>
      </c>
      <c r="D876" s="560" t="s">
        <v>1426</v>
      </c>
      <c r="E876" s="560" t="s">
        <v>1427</v>
      </c>
      <c r="F876" s="559" t="s">
        <v>1430</v>
      </c>
      <c r="G876">
        <f>IF(getRGB1($C876)="FFFFFF",0,1)+IF(getRGB1($D876)="FFFFFF",0,2)+IF(getRGB1($E876)="FFFFFF",0,3)+IF(getRGB1($F876)="FFFFFF",0,4)</f>
        <v>4</v>
      </c>
    </row>
    <row r="877" spans="1:7" ht="31.5">
      <c r="A877" t="s">
        <v>8676</v>
      </c>
      <c r="B877" s="562" t="s">
        <v>1432</v>
      </c>
      <c r="C877" s="560" t="s">
        <v>1332</v>
      </c>
      <c r="D877" s="559" t="s">
        <v>1333</v>
      </c>
      <c r="E877" s="560" t="s">
        <v>1334</v>
      </c>
      <c r="F877" s="560" t="s">
        <v>1335</v>
      </c>
      <c r="G877">
        <f>IF(getRGB1($C877)="FFFFFF",0,1)+IF(getRGB1($D877)="FFFFFF",0,2)+IF(getRGB1($E877)="FFFFFF",0,3)+IF(getRGB1($F877)="FFFFFF",0,4)</f>
        <v>2</v>
      </c>
    </row>
    <row r="878" spans="1:7" ht="47.25">
      <c r="A878" t="s">
        <v>8676</v>
      </c>
      <c r="B878" s="562" t="s">
        <v>1433</v>
      </c>
      <c r="C878" s="560" t="s">
        <v>1434</v>
      </c>
      <c r="D878" s="559" t="s">
        <v>1435</v>
      </c>
      <c r="E878" s="560" t="s">
        <v>1436</v>
      </c>
      <c r="F878" s="560" t="s">
        <v>1437</v>
      </c>
      <c r="G878">
        <f>IF(getRGB1($C878)="FFFFFF",0,1)+IF(getRGB1($D878)="FFFFFF",0,2)+IF(getRGB1($E878)="FFFFFF",0,3)+IF(getRGB1($F878)="FFFFFF",0,4)</f>
        <v>2</v>
      </c>
    </row>
    <row r="879" spans="1:7" ht="47.25">
      <c r="A879" t="s">
        <v>8676</v>
      </c>
      <c r="B879" s="562" t="s">
        <v>1438</v>
      </c>
      <c r="C879" s="559" t="s">
        <v>10</v>
      </c>
      <c r="D879" s="560" t="s">
        <v>1439</v>
      </c>
      <c r="E879" s="560" t="s">
        <v>1440</v>
      </c>
      <c r="F879" s="560" t="s">
        <v>1434</v>
      </c>
      <c r="G879">
        <f>IF(getRGB1($C879)="FFFFFF",0,1)+IF(getRGB1($D879)="FFFFFF",0,2)+IF(getRGB1($E879)="FFFFFF",0,3)+IF(getRGB1($F879)="FFFFFF",0,4)</f>
        <v>1</v>
      </c>
    </row>
    <row r="880" spans="1:7" ht="63">
      <c r="A880" t="s">
        <v>8676</v>
      </c>
      <c r="B880" s="565" t="s">
        <v>1441</v>
      </c>
      <c r="C880" s="564" t="s">
        <v>1442</v>
      </c>
      <c r="D880" s="564" t="s">
        <v>1443</v>
      </c>
      <c r="E880" s="559" t="s">
        <v>1444</v>
      </c>
      <c r="F880" s="564" t="s">
        <v>1445</v>
      </c>
      <c r="G880">
        <f>IF(getRGB1($C880)="FFFFFF",0,1)+IF(getRGB1($D880)="FFFFFF",0,2)+IF(getRGB1($E880)="FFFFFF",0,3)+IF(getRGB1($F880)="FFFFFF",0,4)</f>
        <v>3</v>
      </c>
    </row>
    <row r="881" spans="1:7" ht="47.25">
      <c r="A881" t="s">
        <v>8676</v>
      </c>
      <c r="B881" s="562" t="s">
        <v>1446</v>
      </c>
      <c r="C881" s="559">
        <v>3</v>
      </c>
      <c r="D881" s="560">
        <v>5</v>
      </c>
      <c r="E881" s="560">
        <v>7</v>
      </c>
      <c r="F881" s="560">
        <v>15</v>
      </c>
      <c r="G881">
        <f>IF(getRGB1($C881)="FFFFFF",0,1)+IF(getRGB1($D881)="FFFFFF",0,2)+IF(getRGB1($E881)="FFFFFF",0,3)+IF(getRGB1($F881)="FFFFFF",0,4)</f>
        <v>1</v>
      </c>
    </row>
    <row r="882" spans="1:7" ht="47.25">
      <c r="A882" t="s">
        <v>8676</v>
      </c>
      <c r="B882" s="562" t="s">
        <v>1447</v>
      </c>
      <c r="C882" s="560" t="s">
        <v>1448</v>
      </c>
      <c r="D882" s="560" t="s">
        <v>1449</v>
      </c>
      <c r="E882" s="559" t="s">
        <v>1450</v>
      </c>
      <c r="F882" s="560" t="s">
        <v>1451</v>
      </c>
      <c r="G882">
        <f>IF(getRGB1($C882)="FFFFFF",0,1)+IF(getRGB1($D882)="FFFFFF",0,2)+IF(getRGB1($E882)="FFFFFF",0,3)+IF(getRGB1($F882)="FFFFFF",0,4)</f>
        <v>3</v>
      </c>
    </row>
    <row r="883" spans="1:7" ht="47.25">
      <c r="A883" t="s">
        <v>8676</v>
      </c>
      <c r="B883" s="562" t="s">
        <v>1452</v>
      </c>
      <c r="C883" s="560" t="s">
        <v>1453</v>
      </c>
      <c r="D883" s="559" t="s">
        <v>1454</v>
      </c>
      <c r="E883" s="560" t="s">
        <v>1455</v>
      </c>
      <c r="F883" s="560" t="s">
        <v>61</v>
      </c>
      <c r="G883">
        <f>IF(getRGB1($C883)="FFFFFF",0,1)+IF(getRGB1($D883)="FFFFFF",0,2)+IF(getRGB1($E883)="FFFFFF",0,3)+IF(getRGB1($F883)="FFFFFF",0,4)</f>
        <v>2</v>
      </c>
    </row>
    <row r="884" spans="1:7" ht="31.5">
      <c r="A884" t="s">
        <v>8676</v>
      </c>
      <c r="B884" s="562" t="s">
        <v>1456</v>
      </c>
      <c r="C884" s="560" t="s">
        <v>1457</v>
      </c>
      <c r="D884" s="559" t="s">
        <v>1458</v>
      </c>
      <c r="E884" s="560" t="s">
        <v>1459</v>
      </c>
      <c r="F884" s="696" t="s">
        <v>1460</v>
      </c>
      <c r="G884">
        <f>IF(getRGB1($C884)="FFFFFF",0,1)+IF(getRGB1($D884)="FFFFFF",0,2)+IF(getRGB1($E884)="FFFFFF",0,3)+IF(getRGB1($F884)="FFFFFF",0,4)</f>
        <v>2</v>
      </c>
    </row>
    <row r="885" spans="1:7" ht="47.25">
      <c r="A885" t="s">
        <v>8676</v>
      </c>
      <c r="B885" s="562" t="s">
        <v>1461</v>
      </c>
      <c r="C885" s="560" t="s">
        <v>1462</v>
      </c>
      <c r="D885" s="560" t="s">
        <v>44</v>
      </c>
      <c r="E885" s="559" t="s">
        <v>1463</v>
      </c>
      <c r="F885" s="560" t="s">
        <v>1464</v>
      </c>
      <c r="G885">
        <f>IF(getRGB1($C885)="FFFFFF",0,1)+IF(getRGB1($D885)="FFFFFF",0,2)+IF(getRGB1($E885)="FFFFFF",0,3)+IF(getRGB1($F885)="FFFFFF",0,4)</f>
        <v>3</v>
      </c>
    </row>
    <row r="886" spans="1:7" ht="63">
      <c r="A886" t="s">
        <v>8676</v>
      </c>
      <c r="B886" s="694" t="s">
        <v>1465</v>
      </c>
      <c r="C886" s="557" t="s">
        <v>1466</v>
      </c>
      <c r="D886" s="695" t="s">
        <v>1467</v>
      </c>
      <c r="E886" s="695" t="s">
        <v>1468</v>
      </c>
      <c r="F886" s="695" t="s">
        <v>61</v>
      </c>
      <c r="G886">
        <f>IF(getRGB1($C886)="FFFFFF",0,1)+IF(getRGB1($D886)="FFFFFF",0,2)+IF(getRGB1($E886)="FFFFFF",0,3)+IF(getRGB1($F886)="FFFFFF",0,4)</f>
        <v>1</v>
      </c>
    </row>
    <row r="887" spans="1:7" ht="47.25">
      <c r="A887" t="s">
        <v>8676</v>
      </c>
      <c r="B887" s="562" t="s">
        <v>1469</v>
      </c>
      <c r="C887" s="560" t="s">
        <v>1470</v>
      </c>
      <c r="D887" s="559" t="s">
        <v>1422</v>
      </c>
      <c r="E887" s="560" t="s">
        <v>1471</v>
      </c>
      <c r="F887" s="560" t="s">
        <v>1472</v>
      </c>
      <c r="G887">
        <f>IF(getRGB1($C887)="FFFFFF",0,1)+IF(getRGB1($D887)="FFFFFF",0,2)+IF(getRGB1($E887)="FFFFFF",0,3)+IF(getRGB1($F887)="FFFFFF",0,4)</f>
        <v>2</v>
      </c>
    </row>
    <row r="888" spans="1:7" ht="31.5">
      <c r="A888" t="s">
        <v>8676</v>
      </c>
      <c r="B888" s="562" t="s">
        <v>1473</v>
      </c>
      <c r="C888" s="559">
        <v>6</v>
      </c>
      <c r="D888" s="560">
        <v>12</v>
      </c>
      <c r="E888" s="560">
        <v>18</v>
      </c>
      <c r="F888" s="560">
        <v>24</v>
      </c>
      <c r="G888">
        <f>IF(getRGB1($C888)="FFFFFF",0,1)+IF(getRGB1($D888)="FFFFFF",0,2)+IF(getRGB1($E888)="FFFFFF",0,3)+IF(getRGB1($F888)="FFFFFF",0,4)</f>
        <v>1</v>
      </c>
    </row>
    <row r="889" spans="1:7" ht="31.5">
      <c r="A889" t="s">
        <v>8676</v>
      </c>
      <c r="B889" s="562" t="s">
        <v>1474</v>
      </c>
      <c r="C889" s="559" t="s">
        <v>1332</v>
      </c>
      <c r="D889" s="560" t="s">
        <v>1404</v>
      </c>
      <c r="E889" s="560" t="s">
        <v>1405</v>
      </c>
      <c r="F889" s="560" t="s">
        <v>1475</v>
      </c>
      <c r="G889">
        <f>IF(getRGB1($C889)="FFFFFF",0,1)+IF(getRGB1($D889)="FFFFFF",0,2)+IF(getRGB1($E889)="FFFFFF",0,3)+IF(getRGB1($F889)="FFFFFF",0,4)</f>
        <v>1</v>
      </c>
    </row>
    <row r="890" spans="1:7" ht="31.5">
      <c r="A890" t="s">
        <v>8676</v>
      </c>
      <c r="B890" s="562" t="s">
        <v>1476</v>
      </c>
      <c r="C890" s="560" t="s">
        <v>1477</v>
      </c>
      <c r="D890" s="559" t="s">
        <v>1478</v>
      </c>
      <c r="E890" s="560" t="s">
        <v>1479</v>
      </c>
      <c r="F890" s="560" t="s">
        <v>1480</v>
      </c>
      <c r="G890">
        <f>IF(getRGB1($C890)="FFFFFF",0,1)+IF(getRGB1($D890)="FFFFFF",0,2)+IF(getRGB1($E890)="FFFFFF",0,3)+IF(getRGB1($F890)="FFFFFF",0,4)</f>
        <v>2</v>
      </c>
    </row>
    <row r="891" spans="1:7" ht="63">
      <c r="A891" t="s">
        <v>8676</v>
      </c>
      <c r="B891" s="562" t="s">
        <v>1481</v>
      </c>
      <c r="C891" s="560" t="s">
        <v>1393</v>
      </c>
      <c r="D891" s="560" t="s">
        <v>1394</v>
      </c>
      <c r="E891" s="559" t="s">
        <v>1395</v>
      </c>
      <c r="F891" s="560" t="s">
        <v>1482</v>
      </c>
      <c r="G891">
        <f>IF(getRGB1($C891)="FFFFFF",0,1)+IF(getRGB1($D891)="FFFFFF",0,2)+IF(getRGB1($E891)="FFFFFF",0,3)+IF(getRGB1($F891)="FFFFFF",0,4)</f>
        <v>3</v>
      </c>
    </row>
    <row r="892" spans="1:7" ht="47.25">
      <c r="A892" t="s">
        <v>8676</v>
      </c>
      <c r="B892" s="558" t="s">
        <v>8699</v>
      </c>
      <c r="C892" s="561" t="s">
        <v>1484</v>
      </c>
      <c r="D892" s="561" t="s">
        <v>1485</v>
      </c>
      <c r="E892" s="557" t="s">
        <v>1486</v>
      </c>
      <c r="F892" s="561" t="s">
        <v>1487</v>
      </c>
      <c r="G892">
        <f>IF(getRGB1($C892)="FFFFFF",0,1)+IF(getRGB1($D892)="FFFFFF",0,2)+IF(getRGB1($E892)="FFFFFF",0,3)+IF(getRGB1($F892)="FFFFFF",0,4)</f>
        <v>3</v>
      </c>
    </row>
    <row r="893" spans="1:7" ht="110.25">
      <c r="A893" t="s">
        <v>8676</v>
      </c>
      <c r="B893" s="555" t="s">
        <v>1488</v>
      </c>
      <c r="C893" s="557" t="s">
        <v>570</v>
      </c>
      <c r="D893" s="556" t="s">
        <v>451</v>
      </c>
      <c r="E893" s="556" t="s">
        <v>1489</v>
      </c>
      <c r="F893" s="556" t="s">
        <v>1490</v>
      </c>
      <c r="G893">
        <f>IF(getRGB1($C893)="FFFFFF",0,1)+IF(getRGB1($D893)="FFFFFF",0,2)+IF(getRGB1($E893)="FFFFFF",0,3)+IF(getRGB1($F893)="FFFFFF",0,4)</f>
        <v>1</v>
      </c>
    </row>
    <row r="894" spans="1:7" ht="47.25">
      <c r="A894" t="s">
        <v>8676</v>
      </c>
      <c r="B894" s="562" t="s">
        <v>1491</v>
      </c>
      <c r="C894" s="560" t="s">
        <v>1489</v>
      </c>
      <c r="D894" s="559" t="s">
        <v>1492</v>
      </c>
      <c r="E894" s="560" t="s">
        <v>1490</v>
      </c>
      <c r="F894" s="560" t="s">
        <v>1437</v>
      </c>
      <c r="G894">
        <f>IF(getRGB1($C894)="FFFFFF",0,1)+IF(getRGB1($D894)="FFFFFF",0,2)+IF(getRGB1($E894)="FFFFFF",0,3)+IF(getRGB1($F894)="FFFFFF",0,4)</f>
        <v>2</v>
      </c>
    </row>
    <row r="895" spans="1:7" ht="47.25">
      <c r="A895" t="s">
        <v>8676</v>
      </c>
      <c r="B895" s="562" t="s">
        <v>1493</v>
      </c>
      <c r="C895" s="560" t="s">
        <v>1422</v>
      </c>
      <c r="D895" s="560" t="s">
        <v>1494</v>
      </c>
      <c r="E895" s="559" t="s">
        <v>1495</v>
      </c>
      <c r="F895" s="560" t="s">
        <v>1490</v>
      </c>
      <c r="G895">
        <f>IF(getRGB1($C895)="FFFFFF",0,1)+IF(getRGB1($D895)="FFFFFF",0,2)+IF(getRGB1($E895)="FFFFFF",0,3)+IF(getRGB1($F895)="FFFFFF",0,4)</f>
        <v>3</v>
      </c>
    </row>
    <row r="896" spans="1:7" ht="31.5">
      <c r="A896" t="s">
        <v>8676</v>
      </c>
      <c r="B896" s="555" t="s">
        <v>1496</v>
      </c>
      <c r="C896" s="557" t="s">
        <v>1497</v>
      </c>
      <c r="D896" s="556" t="s">
        <v>1498</v>
      </c>
      <c r="E896" s="556" t="s">
        <v>1499</v>
      </c>
      <c r="F896" s="556" t="s">
        <v>1500</v>
      </c>
      <c r="G896">
        <f>IF(getRGB1($C896)="FFFFFF",0,1)+IF(getRGB1($D896)="FFFFFF",0,2)+IF(getRGB1($E896)="FFFFFF",0,3)+IF(getRGB1($F896)="FFFFFF",0,4)</f>
        <v>1</v>
      </c>
    </row>
    <row r="897" spans="1:7" ht="47.25">
      <c r="A897" t="s">
        <v>8676</v>
      </c>
      <c r="B897" s="562" t="s">
        <v>1501</v>
      </c>
      <c r="C897" s="559" t="s">
        <v>570</v>
      </c>
      <c r="D897" s="560" t="s">
        <v>1502</v>
      </c>
      <c r="E897" s="560" t="s">
        <v>1503</v>
      </c>
      <c r="F897" s="560" t="s">
        <v>1504</v>
      </c>
      <c r="G897">
        <f>IF(getRGB1($C897)="FFFFFF",0,1)+IF(getRGB1($D897)="FFFFFF",0,2)+IF(getRGB1($E897)="FFFFFF",0,3)+IF(getRGB1($F897)="FFFFFF",0,4)</f>
        <v>1</v>
      </c>
    </row>
    <row r="898" spans="1:7" ht="47.25">
      <c r="A898" t="s">
        <v>8676</v>
      </c>
      <c r="B898" s="562" t="s">
        <v>1505</v>
      </c>
      <c r="C898" s="560" t="s">
        <v>1506</v>
      </c>
      <c r="D898" s="559" t="s">
        <v>1507</v>
      </c>
      <c r="E898" s="560" t="s">
        <v>1508</v>
      </c>
      <c r="F898" s="560" t="s">
        <v>1509</v>
      </c>
      <c r="G898">
        <f>IF(getRGB1($C898)="FFFFFF",0,1)+IF(getRGB1($D898)="FFFFFF",0,2)+IF(getRGB1($E898)="FFFFFF",0,3)+IF(getRGB1($F898)="FFFFFF",0,4)</f>
        <v>2</v>
      </c>
    </row>
    <row r="899" spans="1:7" ht="94.5">
      <c r="A899" t="s">
        <v>8676</v>
      </c>
      <c r="B899" s="555" t="s">
        <v>1510</v>
      </c>
      <c r="C899" s="566" t="s">
        <v>1511</v>
      </c>
      <c r="D899" s="566" t="s">
        <v>1512</v>
      </c>
      <c r="E899" s="566" t="s">
        <v>1513</v>
      </c>
      <c r="F899" s="567" t="s">
        <v>1514</v>
      </c>
      <c r="G899">
        <f>IF(getRGB1($C899)="FFFFFF",0,1)+IF(getRGB1($D899)="FFFFFF",0,2)+IF(getRGB1($E899)="FFFFFF",0,3)+IF(getRGB1($F899)="FFFFFF",0,4)</f>
        <v>4</v>
      </c>
    </row>
    <row r="900" spans="1:7" ht="47.25">
      <c r="A900" t="s">
        <v>8676</v>
      </c>
      <c r="B900" s="694" t="s">
        <v>1515</v>
      </c>
      <c r="C900" s="695" t="s">
        <v>1516</v>
      </c>
      <c r="D900" s="695" t="s">
        <v>1517</v>
      </c>
      <c r="E900" s="695" t="s">
        <v>1518</v>
      </c>
      <c r="F900" s="557" t="s">
        <v>1519</v>
      </c>
      <c r="G900">
        <f>IF(getRGB1($C900)="FFFFFF",0,1)+IF(getRGB1($D900)="FFFFFF",0,2)+IF(getRGB1($E900)="FFFFFF",0,3)+IF(getRGB1($F900)="FFFFFF",0,4)</f>
        <v>4</v>
      </c>
    </row>
    <row r="901" spans="1:7" ht="63">
      <c r="A901" t="s">
        <v>8676</v>
      </c>
      <c r="B901" s="562" t="s">
        <v>1520</v>
      </c>
      <c r="C901" s="560" t="s">
        <v>1521</v>
      </c>
      <c r="D901" s="560" t="s">
        <v>1522</v>
      </c>
      <c r="E901" s="559" t="s">
        <v>1523</v>
      </c>
      <c r="F901" s="560" t="s">
        <v>1524</v>
      </c>
      <c r="G901">
        <f>IF(getRGB1($C901)="FFFFFF",0,1)+IF(getRGB1($D901)="FFFFFF",0,2)+IF(getRGB1($E901)="FFFFFF",0,3)+IF(getRGB1($F901)="FFFFFF",0,4)</f>
        <v>3</v>
      </c>
    </row>
    <row r="902" spans="1:7" ht="63">
      <c r="A902" t="s">
        <v>8676</v>
      </c>
      <c r="B902" s="558" t="s">
        <v>1525</v>
      </c>
      <c r="C902" s="561" t="s">
        <v>1526</v>
      </c>
      <c r="D902" s="557" t="s">
        <v>1527</v>
      </c>
      <c r="E902" s="561" t="s">
        <v>1528</v>
      </c>
      <c r="F902" s="561" t="s">
        <v>1529</v>
      </c>
      <c r="G902">
        <f>IF(getRGB1($C902)="FFFFFF",0,1)+IF(getRGB1($D902)="FFFFFF",0,2)+IF(getRGB1($E902)="FFFFFF",0,3)+IF(getRGB1($F902)="FFFFFF",0,4)</f>
        <v>2</v>
      </c>
    </row>
    <row r="903" spans="1:7" ht="47.25">
      <c r="A903" t="s">
        <v>8676</v>
      </c>
      <c r="B903" s="558" t="s">
        <v>1530</v>
      </c>
      <c r="C903" s="561" t="s">
        <v>1531</v>
      </c>
      <c r="D903" s="561" t="s">
        <v>1532</v>
      </c>
      <c r="E903" s="561" t="s">
        <v>1533</v>
      </c>
      <c r="F903" s="557" t="s">
        <v>1534</v>
      </c>
      <c r="G903">
        <f>IF(getRGB1($C903)="FFFFFF",0,1)+IF(getRGB1($D903)="FFFFFF",0,2)+IF(getRGB1($E903)="FFFFFF",0,3)+IF(getRGB1($F903)="FFFFFF",0,4)</f>
        <v>4</v>
      </c>
    </row>
    <row r="904" spans="1:7" ht="63">
      <c r="A904" t="s">
        <v>8676</v>
      </c>
      <c r="B904" s="562" t="s">
        <v>1535</v>
      </c>
      <c r="C904" s="560" t="s">
        <v>1536</v>
      </c>
      <c r="D904" s="560" t="s">
        <v>1537</v>
      </c>
      <c r="E904" s="559" t="s">
        <v>1538</v>
      </c>
      <c r="F904" s="560" t="s">
        <v>61</v>
      </c>
      <c r="G904">
        <f>IF(getRGB1($C904)="FFFFFF",0,1)+IF(getRGB1($D904)="FFFFFF",0,2)+IF(getRGB1($E904)="FFFFFF",0,3)+IF(getRGB1($F904)="FFFFFF",0,4)</f>
        <v>3</v>
      </c>
    </row>
    <row r="905" spans="1:7" ht="31.5">
      <c r="A905" t="s">
        <v>8676</v>
      </c>
      <c r="B905" s="562" t="s">
        <v>1539</v>
      </c>
      <c r="C905" s="560" t="s">
        <v>1540</v>
      </c>
      <c r="D905" s="560" t="s">
        <v>1541</v>
      </c>
      <c r="E905" s="559" t="s">
        <v>1542</v>
      </c>
      <c r="F905" s="560" t="s">
        <v>1363</v>
      </c>
      <c r="G905">
        <f>IF(getRGB1($C905)="FFFFFF",0,1)+IF(getRGB1($D905)="FFFFFF",0,2)+IF(getRGB1($E905)="FFFFFF",0,3)+IF(getRGB1($F905)="FFFFFF",0,4)</f>
        <v>3</v>
      </c>
    </row>
    <row r="906" spans="1:7" ht="15.75">
      <c r="A906" t="s">
        <v>8676</v>
      </c>
      <c r="B906" s="562" t="s">
        <v>1543</v>
      </c>
      <c r="C906" s="560" t="s">
        <v>177</v>
      </c>
      <c r="D906" s="559" t="s">
        <v>73</v>
      </c>
      <c r="E906" s="560" t="s">
        <v>557</v>
      </c>
      <c r="F906" s="560" t="s">
        <v>179</v>
      </c>
      <c r="G906">
        <f>IF(getRGB1($C906)="FFFFFF",0,1)+IF(getRGB1($D906)="FFFFFF",0,2)+IF(getRGB1($E906)="FFFFFF",0,3)+IF(getRGB1($F906)="FFFFFF",0,4)</f>
        <v>2</v>
      </c>
    </row>
    <row r="907" spans="1:7" ht="47.25">
      <c r="A907" t="s">
        <v>8676</v>
      </c>
      <c r="B907" s="565" t="s">
        <v>1544</v>
      </c>
      <c r="C907" s="559" t="s">
        <v>1545</v>
      </c>
      <c r="D907" s="564" t="s">
        <v>1546</v>
      </c>
      <c r="E907" s="564" t="s">
        <v>1547</v>
      </c>
      <c r="F907" s="564" t="s">
        <v>1548</v>
      </c>
      <c r="G907">
        <f>IF(getRGB1($C907)="FFFFFF",0,1)+IF(getRGB1($D907)="FFFFFF",0,2)+IF(getRGB1($E907)="FFFFFF",0,3)+IF(getRGB1($F907)="FFFFFF",0,4)</f>
        <v>1</v>
      </c>
    </row>
    <row r="908" spans="1:7" ht="110.25">
      <c r="A908" t="s">
        <v>8676</v>
      </c>
      <c r="B908" s="555" t="s">
        <v>7544</v>
      </c>
      <c r="C908" s="566">
        <v>0.33</v>
      </c>
      <c r="D908" s="566">
        <v>0.5</v>
      </c>
      <c r="E908" s="567">
        <v>0.66</v>
      </c>
      <c r="F908" s="566">
        <v>1</v>
      </c>
      <c r="G908">
        <f>IF(getRGB1($C908)="FFFFFF",0,1)+IF(getRGB1($D908)="FFFFFF",0,2)+IF(getRGB1($E908)="FFFFFF",0,3)+IF(getRGB1($F908)="FFFFFF",0,4)</f>
        <v>3</v>
      </c>
    </row>
    <row r="909" spans="1:7" ht="31.5">
      <c r="A909" t="s">
        <v>8676</v>
      </c>
      <c r="B909" s="562" t="s">
        <v>1549</v>
      </c>
      <c r="C909" s="560" t="s">
        <v>1550</v>
      </c>
      <c r="D909" s="560" t="s">
        <v>1551</v>
      </c>
      <c r="E909" s="560" t="s">
        <v>1552</v>
      </c>
      <c r="F909" s="559" t="s">
        <v>1553</v>
      </c>
      <c r="G909">
        <f>IF(getRGB1($C909)="FFFFFF",0,1)+IF(getRGB1($D909)="FFFFFF",0,2)+IF(getRGB1($E909)="FFFFFF",0,3)+IF(getRGB1($F909)="FFFFFF",0,4)</f>
        <v>4</v>
      </c>
    </row>
    <row r="910" spans="1:7" ht="47.25">
      <c r="A910" t="s">
        <v>8676</v>
      </c>
      <c r="B910" s="555" t="s">
        <v>7545</v>
      </c>
      <c r="C910" s="557" t="s">
        <v>1795</v>
      </c>
      <c r="D910" s="556" t="s">
        <v>7546</v>
      </c>
      <c r="E910" s="556" t="s">
        <v>7547</v>
      </c>
      <c r="F910" s="556" t="s">
        <v>7548</v>
      </c>
      <c r="G910">
        <f>IF(getRGB1($C910)="FFFFFF",0,1)+IF(getRGB1($D910)="FFFFFF",0,2)+IF(getRGB1($E910)="FFFFFF",0,3)+IF(getRGB1($F910)="FFFFFF",0,4)</f>
        <v>1</v>
      </c>
    </row>
    <row r="911" spans="1:7" ht="31.5">
      <c r="A911" t="s">
        <v>8676</v>
      </c>
      <c r="B911" s="555" t="s">
        <v>1554</v>
      </c>
      <c r="C911" s="556" t="s">
        <v>174</v>
      </c>
      <c r="D911" s="556" t="s">
        <v>1555</v>
      </c>
      <c r="E911" s="556" t="s">
        <v>179</v>
      </c>
      <c r="F911" s="557" t="s">
        <v>73</v>
      </c>
      <c r="G911">
        <f>IF(getRGB1($C911)="FFFFFF",0,1)+IF(getRGB1($D911)="FFFFFF",0,2)+IF(getRGB1($E911)="FFFFFF",0,3)+IF(getRGB1($F911)="FFFFFF",0,4)</f>
        <v>4</v>
      </c>
    </row>
    <row r="912" spans="1:7" ht="31.5">
      <c r="A912" t="s">
        <v>8676</v>
      </c>
      <c r="B912" s="558" t="s">
        <v>1556</v>
      </c>
      <c r="C912" s="561" t="s">
        <v>108</v>
      </c>
      <c r="D912" s="557" t="s">
        <v>1557</v>
      </c>
      <c r="E912" s="561" t="s">
        <v>109</v>
      </c>
      <c r="F912" s="561" t="s">
        <v>1558</v>
      </c>
      <c r="G912">
        <f>IF(getRGB1($C912)="FFFFFF",0,1)+IF(getRGB1($D912)="FFFFFF",0,2)+IF(getRGB1($E912)="FFFFFF",0,3)+IF(getRGB1($F912)="FFFFFF",0,4)</f>
        <v>2</v>
      </c>
    </row>
    <row r="913" spans="1:7" ht="63">
      <c r="A913" t="s">
        <v>8676</v>
      </c>
      <c r="B913" s="694" t="s">
        <v>1559</v>
      </c>
      <c r="C913" s="695" t="s">
        <v>1560</v>
      </c>
      <c r="D913" s="695" t="s">
        <v>1561</v>
      </c>
      <c r="E913" s="695" t="s">
        <v>1562</v>
      </c>
      <c r="F913" s="557" t="s">
        <v>1563</v>
      </c>
      <c r="G913">
        <f>IF(getRGB1($C913)="FFFFFF",0,1)+IF(getRGB1($D913)="FFFFFF",0,2)+IF(getRGB1($E913)="FFFFFF",0,3)+IF(getRGB1($F913)="FFFFFF",0,4)</f>
        <v>4</v>
      </c>
    </row>
    <row r="914" spans="1:7" ht="31.5">
      <c r="A914" t="s">
        <v>8676</v>
      </c>
      <c r="B914" s="694" t="s">
        <v>1564</v>
      </c>
      <c r="C914" s="695" t="s">
        <v>1565</v>
      </c>
      <c r="D914" s="695" t="s">
        <v>94</v>
      </c>
      <c r="E914" s="557" t="s">
        <v>95</v>
      </c>
      <c r="F914" s="695" t="s">
        <v>1566</v>
      </c>
      <c r="G914">
        <f>IF(getRGB1($C914)="FFFFFF",0,1)+IF(getRGB1($D914)="FFFFFF",0,2)+IF(getRGB1($E914)="FFFFFF",0,3)+IF(getRGB1($F914)="FFFFFF",0,4)</f>
        <v>3</v>
      </c>
    </row>
    <row r="915" spans="1:7" ht="94.5">
      <c r="A915" t="s">
        <v>8676</v>
      </c>
      <c r="B915" s="562" t="s">
        <v>1567</v>
      </c>
      <c r="C915" s="560" t="s">
        <v>1568</v>
      </c>
      <c r="D915" s="560" t="s">
        <v>1569</v>
      </c>
      <c r="E915" s="559" t="s">
        <v>1570</v>
      </c>
      <c r="F915" s="560" t="s">
        <v>1571</v>
      </c>
      <c r="G915">
        <f>IF(getRGB1($C915)="FFFFFF",0,1)+IF(getRGB1($D915)="FFFFFF",0,2)+IF(getRGB1($E915)="FFFFFF",0,3)+IF(getRGB1($F915)="FFFFFF",0,4)</f>
        <v>3</v>
      </c>
    </row>
    <row r="916" spans="1:7" ht="31.5">
      <c r="A916" t="s">
        <v>8676</v>
      </c>
      <c r="B916" s="555" t="s">
        <v>1572</v>
      </c>
      <c r="C916" s="556" t="s">
        <v>74</v>
      </c>
      <c r="D916" s="556" t="s">
        <v>179</v>
      </c>
      <c r="E916" s="557" t="s">
        <v>73</v>
      </c>
      <c r="F916" s="556" t="s">
        <v>137</v>
      </c>
      <c r="G916">
        <f>IF(getRGB1($C916)="FFFFFF",0,1)+IF(getRGB1($D916)="FFFFFF",0,2)+IF(getRGB1($E916)="FFFFFF",0,3)+IF(getRGB1($F916)="FFFFFF",0,4)</f>
        <v>3</v>
      </c>
    </row>
    <row r="917" spans="1:7" ht="47.25">
      <c r="A917" t="s">
        <v>8676</v>
      </c>
      <c r="B917" s="562" t="s">
        <v>1573</v>
      </c>
      <c r="C917" s="560" t="s">
        <v>1574</v>
      </c>
      <c r="D917" s="560" t="s">
        <v>1575</v>
      </c>
      <c r="E917" s="559" t="s">
        <v>1576</v>
      </c>
      <c r="F917" s="560" t="s">
        <v>1577</v>
      </c>
      <c r="G917">
        <f>IF(getRGB1($C917)="FFFFFF",0,1)+IF(getRGB1($D917)="FFFFFF",0,2)+IF(getRGB1($E917)="FFFFFF",0,3)+IF(getRGB1($F917)="FFFFFF",0,4)</f>
        <v>3</v>
      </c>
    </row>
    <row r="918" spans="1:7" ht="31.5">
      <c r="A918" t="s">
        <v>8676</v>
      </c>
      <c r="B918" s="694" t="s">
        <v>1578</v>
      </c>
      <c r="C918" s="695" t="s">
        <v>1332</v>
      </c>
      <c r="D918" s="557" t="s">
        <v>1579</v>
      </c>
      <c r="E918" s="695" t="s">
        <v>1580</v>
      </c>
      <c r="F918" s="695" t="s">
        <v>1581</v>
      </c>
      <c r="G918">
        <f>IF(getRGB1($C918)="FFFFFF",0,1)+IF(getRGB1($D918)="FFFFFF",0,2)+IF(getRGB1($E918)="FFFFFF",0,3)+IF(getRGB1($F918)="FFFFFF",0,4)</f>
        <v>2</v>
      </c>
    </row>
    <row r="919" spans="1:7" ht="31.5">
      <c r="A919" t="s">
        <v>8676</v>
      </c>
      <c r="B919" s="694" t="s">
        <v>1582</v>
      </c>
      <c r="C919" s="557" t="s">
        <v>1583</v>
      </c>
      <c r="D919" s="695" t="s">
        <v>1584</v>
      </c>
      <c r="E919" s="695" t="s">
        <v>1585</v>
      </c>
      <c r="F919" s="695" t="s">
        <v>1586</v>
      </c>
      <c r="G919">
        <f>IF(getRGB1($C919)="FFFFFF",0,1)+IF(getRGB1($D919)="FFFFFF",0,2)+IF(getRGB1($E919)="FFFFFF",0,3)+IF(getRGB1($F919)="FFFFFF",0,4)</f>
        <v>1</v>
      </c>
    </row>
    <row r="920" spans="1:7" ht="47.25">
      <c r="A920" t="s">
        <v>8676</v>
      </c>
      <c r="B920" s="558" t="s">
        <v>8696</v>
      </c>
      <c r="C920" s="561" t="s">
        <v>1484</v>
      </c>
      <c r="D920" s="561" t="s">
        <v>1485</v>
      </c>
      <c r="E920" s="557" t="s">
        <v>1486</v>
      </c>
      <c r="F920" s="561" t="s">
        <v>1487</v>
      </c>
      <c r="G920">
        <f>IF(getRGB1($C920)="FFFFFF",0,1)+IF(getRGB1($D920)="FFFFFF",0,2)+IF(getRGB1($E920)="FFFFFF",0,3)+IF(getRGB1($F920)="FFFFFF",0,4)</f>
        <v>3</v>
      </c>
    </row>
    <row r="921" spans="1:7" ht="94.5">
      <c r="A921" t="s">
        <v>8676</v>
      </c>
      <c r="B921" s="694" t="s">
        <v>8751</v>
      </c>
      <c r="C921" s="695" t="s">
        <v>1589</v>
      </c>
      <c r="D921" s="695" t="s">
        <v>1590</v>
      </c>
      <c r="E921" s="557" t="s">
        <v>1591</v>
      </c>
      <c r="F921" s="695" t="s">
        <v>1592</v>
      </c>
      <c r="G921">
        <f>IF(getRGB1($C921)="FFFFFF",0,1)+IF(getRGB1($D921)="FFFFFF",0,2)+IF(getRGB1($E921)="FFFFFF",0,3)+IF(getRGB1($F921)="FFFFFF",0,4)</f>
        <v>3</v>
      </c>
    </row>
    <row r="922" spans="1:7" ht="47.25">
      <c r="A922" t="s">
        <v>8676</v>
      </c>
      <c r="B922" s="562" t="s">
        <v>1593</v>
      </c>
      <c r="C922" s="559" t="s">
        <v>1594</v>
      </c>
      <c r="D922" s="560" t="s">
        <v>1595</v>
      </c>
      <c r="E922" s="696" t="s">
        <v>1596</v>
      </c>
      <c r="F922" s="564" t="s">
        <v>1597</v>
      </c>
      <c r="G922">
        <f>IF(getRGB1($C922)="FFFFFF",0,1)+IF(getRGB1($D922)="FFFFFF",0,2)+IF(getRGB1($E922)="FFFFFF",0,3)+IF(getRGB1($F922)="FFFFFF",0,4)</f>
        <v>1</v>
      </c>
    </row>
    <row r="923" spans="1:7" ht="47.25">
      <c r="A923" t="s">
        <v>8676</v>
      </c>
      <c r="B923" s="555" t="s">
        <v>1598</v>
      </c>
      <c r="C923" s="556" t="s">
        <v>1288</v>
      </c>
      <c r="D923" s="556" t="s">
        <v>1599</v>
      </c>
      <c r="E923" s="557" t="s">
        <v>8</v>
      </c>
      <c r="F923" s="556" t="s">
        <v>1600</v>
      </c>
      <c r="G923">
        <f>IF(getRGB1($C923)="FFFFFF",0,1)+IF(getRGB1($D923)="FFFFFF",0,2)+IF(getRGB1($E923)="FFFFFF",0,3)+IF(getRGB1($F923)="FFFFFF",0,4)</f>
        <v>3</v>
      </c>
    </row>
    <row r="924" spans="1:7" ht="63">
      <c r="A924" t="s">
        <v>8676</v>
      </c>
      <c r="B924" s="555" t="s">
        <v>1601</v>
      </c>
      <c r="C924" s="556" t="s">
        <v>1602</v>
      </c>
      <c r="D924" s="556" t="s">
        <v>1603</v>
      </c>
      <c r="E924" s="557" t="s">
        <v>1604</v>
      </c>
      <c r="F924" s="556" t="s">
        <v>1605</v>
      </c>
      <c r="G924">
        <f>IF(getRGB1($C924)="FFFFFF",0,1)+IF(getRGB1($D924)="FFFFFF",0,2)+IF(getRGB1($E924)="FFFFFF",0,3)+IF(getRGB1($F924)="FFFFFF",0,4)</f>
        <v>3</v>
      </c>
    </row>
    <row r="925" spans="1:7" ht="63">
      <c r="A925" t="s">
        <v>8676</v>
      </c>
      <c r="B925" s="562" t="s">
        <v>1606</v>
      </c>
      <c r="C925" s="560" t="s">
        <v>1607</v>
      </c>
      <c r="D925" s="560" t="s">
        <v>1608</v>
      </c>
      <c r="E925" s="560" t="s">
        <v>1609</v>
      </c>
      <c r="F925" s="559" t="s">
        <v>1610</v>
      </c>
      <c r="G925">
        <f>IF(getRGB1($C925)="FFFFFF",0,1)+IF(getRGB1($D925)="FFFFFF",0,2)+IF(getRGB1($E925)="FFFFFF",0,3)+IF(getRGB1($F925)="FFFFFF",0,4)</f>
        <v>4</v>
      </c>
    </row>
    <row r="926" spans="1:7" ht="63">
      <c r="A926" t="s">
        <v>8676</v>
      </c>
      <c r="B926" s="555" t="s">
        <v>1611</v>
      </c>
      <c r="C926" s="556" t="s">
        <v>1612</v>
      </c>
      <c r="D926" s="556" t="s">
        <v>1613</v>
      </c>
      <c r="E926" s="556" t="s">
        <v>1614</v>
      </c>
      <c r="F926" s="557" t="s">
        <v>1615</v>
      </c>
      <c r="G926">
        <f>IF(getRGB1($C926)="FFFFFF",0,1)+IF(getRGB1($D926)="FFFFFF",0,2)+IF(getRGB1($E926)="FFFFFF",0,3)+IF(getRGB1($F926)="FFFFFF",0,4)</f>
        <v>4</v>
      </c>
    </row>
    <row r="927" spans="1:7" ht="31.5">
      <c r="A927" t="s">
        <v>8676</v>
      </c>
      <c r="B927" s="555" t="s">
        <v>1616</v>
      </c>
      <c r="C927" s="556" t="s">
        <v>1617</v>
      </c>
      <c r="D927" s="557" t="s">
        <v>1618</v>
      </c>
      <c r="E927" s="556" t="s">
        <v>1619</v>
      </c>
      <c r="F927" s="556" t="s">
        <v>1620</v>
      </c>
      <c r="G927">
        <f>IF(getRGB1($C927)="FFFFFF",0,1)+IF(getRGB1($D927)="FFFFFF",0,2)+IF(getRGB1($E927)="FFFFFF",0,3)+IF(getRGB1($F927)="FFFFFF",0,4)</f>
        <v>2</v>
      </c>
    </row>
    <row r="928" spans="1:7" ht="31.5">
      <c r="A928" t="s">
        <v>8676</v>
      </c>
      <c r="B928" s="555" t="s">
        <v>1621</v>
      </c>
      <c r="C928" s="557" t="s">
        <v>1622</v>
      </c>
      <c r="D928" s="556" t="s">
        <v>1623</v>
      </c>
      <c r="E928" s="556" t="s">
        <v>1624</v>
      </c>
      <c r="F928" s="556" t="s">
        <v>1625</v>
      </c>
      <c r="G928">
        <f>IF(getRGB1($C928)="FFFFFF",0,1)+IF(getRGB1($D928)="FFFFFF",0,2)+IF(getRGB1($E928)="FFFFFF",0,3)+IF(getRGB1($F928)="FFFFFF",0,4)</f>
        <v>1</v>
      </c>
    </row>
    <row r="929" spans="1:7" ht="47.25">
      <c r="A929" t="s">
        <v>8676</v>
      </c>
      <c r="B929" s="555" t="s">
        <v>1626</v>
      </c>
      <c r="C929" s="556">
        <v>3</v>
      </c>
      <c r="D929" s="556">
        <v>4</v>
      </c>
      <c r="E929" s="557">
        <v>5</v>
      </c>
      <c r="F929" s="556">
        <v>6</v>
      </c>
      <c r="G929">
        <f>IF(getRGB1($C929)="FFFFFF",0,1)+IF(getRGB1($D929)="FFFFFF",0,2)+IF(getRGB1($E929)="FFFFFF",0,3)+IF(getRGB1($F929)="FFFFFF",0,4)</f>
        <v>3</v>
      </c>
    </row>
    <row r="930" spans="1:7" ht="47.25">
      <c r="A930" t="s">
        <v>8676</v>
      </c>
      <c r="B930" s="555" t="s">
        <v>7549</v>
      </c>
      <c r="C930" s="557" t="s">
        <v>1628</v>
      </c>
      <c r="D930" s="556" t="s">
        <v>1629</v>
      </c>
      <c r="E930" s="556" t="s">
        <v>1630</v>
      </c>
      <c r="F930" s="556" t="s">
        <v>1631</v>
      </c>
      <c r="G930">
        <f>IF(getRGB1($C930)="FFFFFF",0,1)+IF(getRGB1($D930)="FFFFFF",0,2)+IF(getRGB1($E930)="FFFFFF",0,3)+IF(getRGB1($F930)="FFFFFF",0,4)</f>
        <v>1</v>
      </c>
    </row>
    <row r="931" spans="1:7" ht="31.5">
      <c r="A931" t="s">
        <v>8676</v>
      </c>
      <c r="B931" s="562" t="s">
        <v>1632</v>
      </c>
      <c r="C931" s="560" t="s">
        <v>1633</v>
      </c>
      <c r="D931" s="560" t="s">
        <v>1634</v>
      </c>
      <c r="E931" s="559" t="s">
        <v>1635</v>
      </c>
      <c r="F931" s="560" t="s">
        <v>1437</v>
      </c>
      <c r="G931">
        <f>IF(getRGB1($C931)="FFFFFF",0,1)+IF(getRGB1($D931)="FFFFFF",0,2)+IF(getRGB1($E931)="FFFFFF",0,3)+IF(getRGB1($F931)="FFFFFF",0,4)</f>
        <v>3</v>
      </c>
    </row>
    <row r="932" spans="1:7" ht="63">
      <c r="A932" t="s">
        <v>8676</v>
      </c>
      <c r="B932" s="555" t="s">
        <v>1636</v>
      </c>
      <c r="C932" s="557" t="s">
        <v>1637</v>
      </c>
      <c r="D932" s="556" t="s">
        <v>1638</v>
      </c>
      <c r="E932" s="556" t="s">
        <v>1639</v>
      </c>
      <c r="F932" s="556" t="s">
        <v>1640</v>
      </c>
      <c r="G932">
        <f>IF(getRGB1($C932)="FFFFFF",0,1)+IF(getRGB1($D932)="FFFFFF",0,2)+IF(getRGB1($E932)="FFFFFF",0,3)+IF(getRGB1($F932)="FFFFFF",0,4)</f>
        <v>1</v>
      </c>
    </row>
    <row r="933" spans="1:7" ht="63">
      <c r="A933" t="s">
        <v>8676</v>
      </c>
      <c r="B933" s="555" t="s">
        <v>1641</v>
      </c>
      <c r="C933" s="556" t="s">
        <v>1639</v>
      </c>
      <c r="D933" s="557" t="s">
        <v>1642</v>
      </c>
      <c r="E933" s="556" t="s">
        <v>1643</v>
      </c>
      <c r="F933" s="556" t="s">
        <v>1644</v>
      </c>
      <c r="G933">
        <f>IF(getRGB1($C933)="FFFFFF",0,1)+IF(getRGB1($D933)="FFFFFF",0,2)+IF(getRGB1($E933)="FFFFFF",0,3)+IF(getRGB1($F933)="FFFFFF",0,4)</f>
        <v>2</v>
      </c>
    </row>
    <row r="934" spans="1:7" ht="31.5">
      <c r="A934" t="s">
        <v>8676</v>
      </c>
      <c r="B934" s="562" t="s">
        <v>1645</v>
      </c>
      <c r="C934" s="560" t="s">
        <v>1477</v>
      </c>
      <c r="D934" s="559" t="s">
        <v>1478</v>
      </c>
      <c r="E934" s="560" t="s">
        <v>1646</v>
      </c>
      <c r="F934" s="560" t="s">
        <v>1437</v>
      </c>
      <c r="G934">
        <f>IF(getRGB1($C934)="FFFFFF",0,1)+IF(getRGB1($D934)="FFFFFF",0,2)+IF(getRGB1($E934)="FFFFFF",0,3)+IF(getRGB1($F934)="FFFFFF",0,4)</f>
        <v>2</v>
      </c>
    </row>
    <row r="935" spans="1:7" ht="63">
      <c r="A935" t="s">
        <v>8676</v>
      </c>
      <c r="B935" s="694" t="s">
        <v>1647</v>
      </c>
      <c r="C935" s="557" t="s">
        <v>1648</v>
      </c>
      <c r="D935" s="695" t="s">
        <v>1649</v>
      </c>
      <c r="E935" s="695" t="s">
        <v>1650</v>
      </c>
      <c r="F935" s="695" t="s">
        <v>137</v>
      </c>
      <c r="G935">
        <f>IF(getRGB1($C935)="FFFFFF",0,1)+IF(getRGB1($D935)="FFFFFF",0,2)+IF(getRGB1($E935)="FFFFFF",0,3)+IF(getRGB1($F935)="FFFFFF",0,4)</f>
        <v>1</v>
      </c>
    </row>
    <row r="936" spans="1:7" ht="31.5">
      <c r="A936" t="s">
        <v>8676</v>
      </c>
      <c r="B936" s="694" t="s">
        <v>1651</v>
      </c>
      <c r="C936" s="695" t="s">
        <v>1652</v>
      </c>
      <c r="D936" s="695" t="s">
        <v>1653</v>
      </c>
      <c r="E936" s="557" t="s">
        <v>1362</v>
      </c>
      <c r="F936" s="695" t="s">
        <v>328</v>
      </c>
      <c r="G936">
        <f>IF(getRGB1($C936)="FFFFFF",0,1)+IF(getRGB1($D936)="FFFFFF",0,2)+IF(getRGB1($E936)="FFFFFF",0,3)+IF(getRGB1($F936)="FFFFFF",0,4)</f>
        <v>3</v>
      </c>
    </row>
    <row r="937" spans="1:7" ht="78.75">
      <c r="A937" t="s">
        <v>8676</v>
      </c>
      <c r="B937" s="565" t="s">
        <v>1654</v>
      </c>
      <c r="C937" s="564" t="s">
        <v>1655</v>
      </c>
      <c r="D937" s="560" t="s">
        <v>1656</v>
      </c>
      <c r="E937" s="559" t="s">
        <v>1657</v>
      </c>
      <c r="F937" s="564" t="s">
        <v>1437</v>
      </c>
      <c r="G937">
        <f>IF(getRGB1($C937)="FFFFFF",0,1)+IF(getRGB1($D937)="FFFFFF",0,2)+IF(getRGB1($E937)="FFFFFF",0,3)+IF(getRGB1($F937)="FFFFFF",0,4)</f>
        <v>3</v>
      </c>
    </row>
    <row r="938" spans="1:7" ht="31.5">
      <c r="A938" t="s">
        <v>8676</v>
      </c>
      <c r="B938" s="565" t="s">
        <v>1658</v>
      </c>
      <c r="C938" s="564" t="s">
        <v>1659</v>
      </c>
      <c r="D938" s="559" t="s">
        <v>1660</v>
      </c>
      <c r="E938" s="564" t="s">
        <v>1661</v>
      </c>
      <c r="F938" s="564" t="s">
        <v>1662</v>
      </c>
      <c r="G938">
        <f>IF(getRGB1($C938)="FFFFFF",0,1)+IF(getRGB1($D938)="FFFFFF",0,2)+IF(getRGB1($E938)="FFFFFF",0,3)+IF(getRGB1($F938)="FFFFFF",0,4)</f>
        <v>2</v>
      </c>
    </row>
    <row r="939" spans="1:7" ht="31.5">
      <c r="A939" t="s">
        <v>8676</v>
      </c>
      <c r="B939" s="565" t="s">
        <v>1663</v>
      </c>
      <c r="C939" s="564" t="s">
        <v>1664</v>
      </c>
      <c r="D939" s="559" t="s">
        <v>1665</v>
      </c>
      <c r="E939" s="564" t="s">
        <v>1666</v>
      </c>
      <c r="F939" s="564" t="s">
        <v>1667</v>
      </c>
      <c r="G939">
        <f>IF(getRGB1($C939)="FFFFFF",0,1)+IF(getRGB1($D939)="FFFFFF",0,2)+IF(getRGB1($E939)="FFFFFF",0,3)+IF(getRGB1($F939)="FFFFFF",0,4)</f>
        <v>2</v>
      </c>
    </row>
    <row r="940" spans="1:7" ht="63">
      <c r="A940" t="s">
        <v>8676</v>
      </c>
      <c r="B940" s="555" t="s">
        <v>1668</v>
      </c>
      <c r="C940" s="556" t="s">
        <v>1669</v>
      </c>
      <c r="D940" s="557" t="s">
        <v>1670</v>
      </c>
      <c r="E940" s="556" t="s">
        <v>1671</v>
      </c>
      <c r="F940" s="556" t="s">
        <v>1672</v>
      </c>
      <c r="G940">
        <f>IF(getRGB1($C940)="FFFFFF",0,1)+IF(getRGB1($D940)="FFFFFF",0,2)+IF(getRGB1($E940)="FFFFFF",0,3)+IF(getRGB1($F940)="FFFFFF",0,4)</f>
        <v>2</v>
      </c>
    </row>
    <row r="941" spans="1:7" ht="78.75">
      <c r="A941" t="s">
        <v>8676</v>
      </c>
      <c r="B941" s="562" t="s">
        <v>1673</v>
      </c>
      <c r="C941" s="559" t="s">
        <v>1674</v>
      </c>
      <c r="D941" s="560" t="s">
        <v>1675</v>
      </c>
      <c r="E941" s="560" t="s">
        <v>1676</v>
      </c>
      <c r="F941" s="560" t="s">
        <v>61</v>
      </c>
      <c r="G941">
        <f>IF(getRGB1($C941)="FFFFFF",0,1)+IF(getRGB1($D941)="FFFFFF",0,2)+IF(getRGB1($E941)="FFFFFF",0,3)+IF(getRGB1($F941)="FFFFFF",0,4)</f>
        <v>1</v>
      </c>
    </row>
    <row r="942" spans="1:7" ht="63">
      <c r="A942" t="s">
        <v>8676</v>
      </c>
      <c r="B942" s="558" t="s">
        <v>1677</v>
      </c>
      <c r="C942" s="561" t="s">
        <v>1678</v>
      </c>
      <c r="D942" s="561" t="s">
        <v>1679</v>
      </c>
      <c r="E942" s="561" t="s">
        <v>1680</v>
      </c>
      <c r="F942" s="557" t="s">
        <v>1681</v>
      </c>
      <c r="G942">
        <f>IF(getRGB1($C942)="FFFFFF",0,1)+IF(getRGB1($D942)="FFFFFF",0,2)+IF(getRGB1($E942)="FFFFFF",0,3)+IF(getRGB1($F942)="FFFFFF",0,4)</f>
        <v>4</v>
      </c>
    </row>
    <row r="943" spans="1:7" ht="157.5">
      <c r="A943" t="s">
        <v>8676</v>
      </c>
      <c r="B943" s="562" t="s">
        <v>1682</v>
      </c>
      <c r="C943" s="560" t="s">
        <v>1683</v>
      </c>
      <c r="D943" s="560" t="s">
        <v>1684</v>
      </c>
      <c r="E943" s="560" t="s">
        <v>1685</v>
      </c>
      <c r="F943" s="559" t="s">
        <v>1686</v>
      </c>
      <c r="G943">
        <f>IF(getRGB1($C943)="FFFFFF",0,1)+IF(getRGB1($D943)="FFFFFF",0,2)+IF(getRGB1($E943)="FFFFFF",0,3)+IF(getRGB1($F943)="FFFFFF",0,4)</f>
        <v>4</v>
      </c>
    </row>
    <row r="944" spans="1:7" ht="141.75">
      <c r="A944" t="s">
        <v>8676</v>
      </c>
      <c r="B944" s="562" t="s">
        <v>1687</v>
      </c>
      <c r="C944" s="696" t="s">
        <v>1683</v>
      </c>
      <c r="D944" s="560" t="s">
        <v>1684</v>
      </c>
      <c r="E944" s="560" t="s">
        <v>1688</v>
      </c>
      <c r="F944" s="559" t="s">
        <v>1689</v>
      </c>
      <c r="G944">
        <f>IF(getRGB1($C944)="FFFFFF",0,1)+IF(getRGB1($D944)="FFFFFF",0,2)+IF(getRGB1($E944)="FFFFFF",0,3)+IF(getRGB1($F944)="FFFFFF",0,4)</f>
        <v>4</v>
      </c>
    </row>
    <row r="945" spans="1:7" ht="110.25">
      <c r="A945" t="s">
        <v>8676</v>
      </c>
      <c r="B945" s="562" t="s">
        <v>1690</v>
      </c>
      <c r="C945" s="560" t="s">
        <v>1683</v>
      </c>
      <c r="D945" s="560" t="s">
        <v>1684</v>
      </c>
      <c r="E945" s="559" t="s">
        <v>1688</v>
      </c>
      <c r="F945" s="560" t="s">
        <v>1691</v>
      </c>
      <c r="G945">
        <f>IF(getRGB1($C945)="FFFFFF",0,1)+IF(getRGB1($D945)="FFFFFF",0,2)+IF(getRGB1($E945)="FFFFFF",0,3)+IF(getRGB1($F945)="FFFFFF",0,4)</f>
        <v>3</v>
      </c>
    </row>
    <row r="946" spans="1:7" ht="110.25">
      <c r="A946" t="s">
        <v>8676</v>
      </c>
      <c r="B946" s="562" t="s">
        <v>1692</v>
      </c>
      <c r="C946" s="560" t="s">
        <v>1683</v>
      </c>
      <c r="D946" s="559" t="s">
        <v>1684</v>
      </c>
      <c r="E946" s="560" t="s">
        <v>1688</v>
      </c>
      <c r="F946" s="560" t="s">
        <v>1686</v>
      </c>
      <c r="G946">
        <f>IF(getRGB1($C946)="FFFFFF",0,1)+IF(getRGB1($D946)="FFFFFF",0,2)+IF(getRGB1($E946)="FFFFFF",0,3)+IF(getRGB1($F946)="FFFFFF",0,4)</f>
        <v>2</v>
      </c>
    </row>
    <row r="947" spans="1:7" ht="189">
      <c r="A947" t="s">
        <v>8676</v>
      </c>
      <c r="B947" s="694" t="s">
        <v>1693</v>
      </c>
      <c r="C947" s="557" t="s">
        <v>1694</v>
      </c>
      <c r="D947" s="695" t="s">
        <v>1695</v>
      </c>
      <c r="E947" s="695" t="s">
        <v>1696</v>
      </c>
      <c r="F947" s="695" t="s">
        <v>1697</v>
      </c>
      <c r="G947">
        <f>IF(getRGB1($C947)="FFFFFF",0,1)+IF(getRGB1($D947)="FFFFFF",0,2)+IF(getRGB1($E947)="FFFFFF",0,3)+IF(getRGB1($F947)="FFFFFF",0,4)</f>
        <v>1</v>
      </c>
    </row>
    <row r="948" spans="1:7" ht="94.5">
      <c r="A948" t="s">
        <v>8676</v>
      </c>
      <c r="B948" s="562" t="s">
        <v>1698</v>
      </c>
      <c r="C948" s="560" t="s">
        <v>1699</v>
      </c>
      <c r="D948" s="559" t="s">
        <v>1700</v>
      </c>
      <c r="E948" s="560" t="s">
        <v>1701</v>
      </c>
      <c r="F948" s="560" t="s">
        <v>1702</v>
      </c>
      <c r="G948">
        <f>IF(getRGB1($C948)="FFFFFF",0,1)+IF(getRGB1($D948)="FFFFFF",0,2)+IF(getRGB1($E948)="FFFFFF",0,3)+IF(getRGB1($F948)="FFFFFF",0,4)</f>
        <v>2</v>
      </c>
    </row>
    <row r="949" spans="1:7" ht="31.5">
      <c r="A949" t="s">
        <v>8676</v>
      </c>
      <c r="B949" s="555" t="s">
        <v>1703</v>
      </c>
      <c r="C949" s="557" t="s">
        <v>1704</v>
      </c>
      <c r="D949" s="556" t="s">
        <v>1498</v>
      </c>
      <c r="E949" s="556" t="s">
        <v>1705</v>
      </c>
      <c r="F949" s="556" t="s">
        <v>1706</v>
      </c>
      <c r="G949">
        <f>IF(getRGB1($C949)="FFFFFF",0,1)+IF(getRGB1($D949)="FFFFFF",0,2)+IF(getRGB1($E949)="FFFFFF",0,3)+IF(getRGB1($F949)="FFFFFF",0,4)</f>
        <v>1</v>
      </c>
    </row>
    <row r="950" spans="1:7" ht="31.5">
      <c r="A950" t="s">
        <v>8676</v>
      </c>
      <c r="B950" s="562" t="s">
        <v>1707</v>
      </c>
      <c r="C950" s="560" t="s">
        <v>179</v>
      </c>
      <c r="D950" s="560" t="s">
        <v>557</v>
      </c>
      <c r="E950" s="559" t="s">
        <v>73</v>
      </c>
      <c r="F950" s="560" t="s">
        <v>180</v>
      </c>
      <c r="G950">
        <f>IF(getRGB1($C950)="FFFFFF",0,1)+IF(getRGB1($D950)="FFFFFF",0,2)+IF(getRGB1($E950)="FFFFFF",0,3)+IF(getRGB1($F950)="FFFFFF",0,4)</f>
        <v>3</v>
      </c>
    </row>
    <row r="951" spans="1:7" ht="31.5">
      <c r="A951" t="s">
        <v>8676</v>
      </c>
      <c r="B951" s="694" t="s">
        <v>1708</v>
      </c>
      <c r="C951" s="695" t="s">
        <v>73</v>
      </c>
      <c r="D951" s="557" t="s">
        <v>177</v>
      </c>
      <c r="E951" s="695" t="s">
        <v>76</v>
      </c>
      <c r="F951" s="695" t="s">
        <v>557</v>
      </c>
      <c r="G951">
        <f>IF(getRGB1($C951)="FFFFFF",0,1)+IF(getRGB1($D951)="FFFFFF",0,2)+IF(getRGB1($E951)="FFFFFF",0,3)+IF(getRGB1($F951)="FFFFFF",0,4)</f>
        <v>2</v>
      </c>
    </row>
    <row r="952" spans="1:7" ht="15.75">
      <c r="A952" t="s">
        <v>8676</v>
      </c>
      <c r="B952" s="694" t="s">
        <v>1709</v>
      </c>
      <c r="C952" s="557" t="s">
        <v>73</v>
      </c>
      <c r="D952" s="695" t="s">
        <v>177</v>
      </c>
      <c r="E952" s="695" t="s">
        <v>76</v>
      </c>
      <c r="F952" s="695" t="s">
        <v>557</v>
      </c>
      <c r="G952">
        <f>IF(getRGB1($C952)="FFFFFF",0,1)+IF(getRGB1($D952)="FFFFFF",0,2)+IF(getRGB1($E952)="FFFFFF",0,3)+IF(getRGB1($F952)="FFFFFF",0,4)</f>
        <v>1</v>
      </c>
    </row>
    <row r="953" spans="1:7" ht="63">
      <c r="A953" t="s">
        <v>8676</v>
      </c>
      <c r="B953" s="562" t="s">
        <v>1710</v>
      </c>
      <c r="C953" s="559" t="s">
        <v>1648</v>
      </c>
      <c r="D953" s="560" t="s">
        <v>1711</v>
      </c>
      <c r="E953" s="560" t="s">
        <v>1712</v>
      </c>
      <c r="F953" s="560" t="s">
        <v>1713</v>
      </c>
      <c r="G953">
        <f>IF(getRGB1($C953)="FFFFFF",0,1)+IF(getRGB1($D953)="FFFFFF",0,2)+IF(getRGB1($E953)="FFFFFF",0,3)+IF(getRGB1($F953)="FFFFFF",0,4)</f>
        <v>1</v>
      </c>
    </row>
    <row r="954" spans="1:7" ht="47.25">
      <c r="A954" t="s">
        <v>8676</v>
      </c>
      <c r="B954" s="562" t="s">
        <v>1714</v>
      </c>
      <c r="C954" s="560" t="s">
        <v>1715</v>
      </c>
      <c r="D954" s="560" t="s">
        <v>1716</v>
      </c>
      <c r="E954" s="559" t="s">
        <v>1717</v>
      </c>
      <c r="F954" s="560" t="s">
        <v>1718</v>
      </c>
      <c r="G954">
        <f>IF(getRGB1($C954)="FFFFFF",0,1)+IF(getRGB1($D954)="FFFFFF",0,2)+IF(getRGB1($E954)="FFFFFF",0,3)+IF(getRGB1($F954)="FFFFFF",0,4)</f>
        <v>3</v>
      </c>
    </row>
    <row r="955" spans="1:7" ht="47.25">
      <c r="A955" t="s">
        <v>8676</v>
      </c>
      <c r="B955" s="562" t="s">
        <v>1719</v>
      </c>
      <c r="C955" s="560" t="s">
        <v>1448</v>
      </c>
      <c r="D955" s="560" t="s">
        <v>1449</v>
      </c>
      <c r="E955" s="559" t="s">
        <v>1450</v>
      </c>
      <c r="F955" s="560" t="s">
        <v>1720</v>
      </c>
      <c r="G955">
        <f>IF(getRGB1($C955)="FFFFFF",0,1)+IF(getRGB1($D955)="FFFFFF",0,2)+IF(getRGB1($E955)="FFFFFF",0,3)+IF(getRGB1($F955)="FFFFFF",0,4)</f>
        <v>3</v>
      </c>
    </row>
    <row r="956" spans="1:7" ht="31.5">
      <c r="A956" t="s">
        <v>8676</v>
      </c>
      <c r="B956" s="565" t="s">
        <v>1721</v>
      </c>
      <c r="C956" s="564" t="s">
        <v>1722</v>
      </c>
      <c r="D956" s="564" t="s">
        <v>1723</v>
      </c>
      <c r="E956" s="564" t="s">
        <v>1724</v>
      </c>
      <c r="F956" s="559" t="s">
        <v>1725</v>
      </c>
      <c r="G956">
        <f>IF(getRGB1($C956)="FFFFFF",0,1)+IF(getRGB1($D956)="FFFFFF",0,2)+IF(getRGB1($E956)="FFFFFF",0,3)+IF(getRGB1($F956)="FFFFFF",0,4)</f>
        <v>4</v>
      </c>
    </row>
    <row r="957" spans="1:7" ht="47.25">
      <c r="A957" t="s">
        <v>8676</v>
      </c>
      <c r="B957" s="565" t="s">
        <v>7550</v>
      </c>
      <c r="C957" s="564">
        <v>5000</v>
      </c>
      <c r="D957" s="559">
        <v>2000</v>
      </c>
      <c r="E957" s="564">
        <v>1000</v>
      </c>
      <c r="F957" s="564" t="s">
        <v>1732</v>
      </c>
      <c r="G957">
        <f>IF(getRGB1($C957)="FFFFFF",0,1)+IF(getRGB1($D957)="FFFFFF",0,2)+IF(getRGB1($E957)="FFFFFF",0,3)+IF(getRGB1($F957)="FFFFFF",0,4)</f>
        <v>2</v>
      </c>
    </row>
    <row r="958" spans="1:7" ht="47.25">
      <c r="A958" t="s">
        <v>8676</v>
      </c>
      <c r="B958" s="565" t="s">
        <v>1731</v>
      </c>
      <c r="C958" s="564">
        <v>5000</v>
      </c>
      <c r="D958" s="564">
        <v>2000</v>
      </c>
      <c r="E958" s="559">
        <v>1000</v>
      </c>
      <c r="F958" s="564" t="s">
        <v>1732</v>
      </c>
      <c r="G958">
        <f>IF(getRGB1($C958)="FFFFFF",0,1)+IF(getRGB1($D958)="FFFFFF",0,2)+IF(getRGB1($E958)="FFFFFF",0,3)+IF(getRGB1($F958)="FFFFFF",0,4)</f>
        <v>3</v>
      </c>
    </row>
    <row r="959" spans="1:7" ht="63">
      <c r="A959" t="s">
        <v>8676</v>
      </c>
      <c r="B959" s="565" t="s">
        <v>7551</v>
      </c>
      <c r="C959" s="564">
        <v>5000</v>
      </c>
      <c r="D959" s="564">
        <v>3000</v>
      </c>
      <c r="E959" s="696">
        <v>2000</v>
      </c>
      <c r="F959" s="559">
        <v>1000</v>
      </c>
      <c r="G959">
        <f>IF(getRGB1($C959)="FFFFFF",0,1)+IF(getRGB1($D959)="FFFFFF",0,2)+IF(getRGB1($E959)="FFFFFF",0,3)+IF(getRGB1($F959)="FFFFFF",0,4)</f>
        <v>4</v>
      </c>
    </row>
    <row r="960" spans="1:7" ht="63">
      <c r="A960" t="s">
        <v>8676</v>
      </c>
      <c r="B960" s="565" t="s">
        <v>1734</v>
      </c>
      <c r="C960" s="564">
        <v>100</v>
      </c>
      <c r="D960" s="564">
        <v>90</v>
      </c>
      <c r="E960" s="559">
        <v>80</v>
      </c>
      <c r="F960" s="564">
        <v>60</v>
      </c>
      <c r="G960">
        <f>IF(getRGB1($C960)="FFFFFF",0,1)+IF(getRGB1($D960)="FFFFFF",0,2)+IF(getRGB1($E960)="FFFFFF",0,3)+IF(getRGB1($F960)="FFFFFF",0,4)</f>
        <v>3</v>
      </c>
    </row>
    <row r="961" spans="1:7" ht="63">
      <c r="A961" t="s">
        <v>8676</v>
      </c>
      <c r="B961" s="565" t="s">
        <v>1735</v>
      </c>
      <c r="C961" s="559">
        <v>100</v>
      </c>
      <c r="D961" s="564">
        <v>90</v>
      </c>
      <c r="E961" s="564">
        <v>80</v>
      </c>
      <c r="F961" s="564">
        <v>60</v>
      </c>
      <c r="G961">
        <f>IF(getRGB1($C961)="FFFFFF",0,1)+IF(getRGB1($D961)="FFFFFF",0,2)+IF(getRGB1($E961)="FFFFFF",0,3)+IF(getRGB1($F961)="FFFFFF",0,4)</f>
        <v>1</v>
      </c>
    </row>
    <row r="962" spans="1:7" ht="63">
      <c r="A962" t="s">
        <v>8676</v>
      </c>
      <c r="B962" s="565" t="s">
        <v>1736</v>
      </c>
      <c r="C962" s="564" t="s">
        <v>1737</v>
      </c>
      <c r="D962" s="564" t="s">
        <v>179</v>
      </c>
      <c r="E962" s="559" t="s">
        <v>1738</v>
      </c>
      <c r="F962" s="564" t="s">
        <v>1739</v>
      </c>
      <c r="G962">
        <f>IF(getRGB1($C962)="FFFFFF",0,1)+IF(getRGB1($D962)="FFFFFF",0,2)+IF(getRGB1($E962)="FFFFFF",0,3)+IF(getRGB1($F962)="FFFFFF",0,4)</f>
        <v>3</v>
      </c>
    </row>
    <row r="963" spans="1:7" ht="31.5">
      <c r="A963" t="s">
        <v>8676</v>
      </c>
      <c r="B963" s="565" t="s">
        <v>1740</v>
      </c>
      <c r="C963" s="564" t="s">
        <v>1741</v>
      </c>
      <c r="D963" s="564" t="s">
        <v>1742</v>
      </c>
      <c r="E963" s="564" t="s">
        <v>1743</v>
      </c>
      <c r="F963" s="559" t="s">
        <v>1744</v>
      </c>
      <c r="G963">
        <f>IF(getRGB1($C963)="FFFFFF",0,1)+IF(getRGB1($D963)="FFFFFF",0,2)+IF(getRGB1($E963)="FFFFFF",0,3)+IF(getRGB1($F963)="FFFFFF",0,4)</f>
        <v>4</v>
      </c>
    </row>
    <row r="964" spans="1:7" ht="47.25">
      <c r="A964" t="s">
        <v>8676</v>
      </c>
      <c r="B964" s="565" t="s">
        <v>1745</v>
      </c>
      <c r="C964" s="564" t="s">
        <v>1746</v>
      </c>
      <c r="D964" s="564" t="s">
        <v>1747</v>
      </c>
      <c r="E964" s="559" t="s">
        <v>1748</v>
      </c>
      <c r="F964" s="564" t="s">
        <v>1749</v>
      </c>
      <c r="G964">
        <f>IF(getRGB1($C964)="FFFFFF",0,1)+IF(getRGB1($D964)="FFFFFF",0,2)+IF(getRGB1($E964)="FFFFFF",0,3)+IF(getRGB1($F964)="FFFFFF",0,4)</f>
        <v>3</v>
      </c>
    </row>
    <row r="965" spans="1:7" ht="78.75">
      <c r="A965" t="s">
        <v>8676</v>
      </c>
      <c r="B965" s="697" t="s">
        <v>1750</v>
      </c>
      <c r="C965" s="696" t="s">
        <v>1751</v>
      </c>
      <c r="D965" s="696" t="s">
        <v>1752</v>
      </c>
      <c r="E965" s="696" t="s">
        <v>1753</v>
      </c>
      <c r="F965" s="568" t="s">
        <v>1754</v>
      </c>
      <c r="G965">
        <f>IF(getRGB1($C965)="FFFFFF",0,1)+IF(getRGB1($D965)="FFFFFF",0,2)+IF(getRGB1($E965)="FFFFFF",0,3)+IF(getRGB1($F965)="FFFFFF",0,4)</f>
        <v>4</v>
      </c>
    </row>
    <row r="966" spans="1:7" ht="31.5">
      <c r="A966" t="s">
        <v>8676</v>
      </c>
      <c r="B966" s="697" t="s">
        <v>1755</v>
      </c>
      <c r="C966" s="696" t="s">
        <v>1756</v>
      </c>
      <c r="D966" s="568" t="s">
        <v>1757</v>
      </c>
      <c r="E966" s="696" t="s">
        <v>1758</v>
      </c>
      <c r="F966" s="698" t="s">
        <v>1759</v>
      </c>
      <c r="G966">
        <f>IF(getRGB1($C966)="FFFFFF",0,1)+IF(getRGB1($D966)="FFFFFF",0,2)+IF(getRGB1($E966)="FFFFFF",0,3)+IF(getRGB1($F966)="FFFFFF",0,4)</f>
        <v>2</v>
      </c>
    </row>
    <row r="967" spans="1:7" ht="31.5">
      <c r="A967" t="s">
        <v>8676</v>
      </c>
      <c r="B967" s="697" t="s">
        <v>1760</v>
      </c>
      <c r="C967" s="696" t="s">
        <v>1761</v>
      </c>
      <c r="D967" s="696" t="s">
        <v>1762</v>
      </c>
      <c r="E967" s="559" t="s">
        <v>1763</v>
      </c>
      <c r="F967" s="696" t="s">
        <v>1764</v>
      </c>
      <c r="G967">
        <f>IF(getRGB1($C967)="FFFFFF",0,1)+IF(getRGB1($D967)="FFFFFF",0,2)+IF(getRGB1($E967)="FFFFFF",0,3)+IF(getRGB1($F967)="FFFFFF",0,4)</f>
        <v>3</v>
      </c>
    </row>
    <row r="968" spans="1:7" ht="15.75">
      <c r="A968" t="s">
        <v>8676</v>
      </c>
      <c r="B968" s="697" t="s">
        <v>1765</v>
      </c>
      <c r="C968" s="559" t="s">
        <v>1766</v>
      </c>
      <c r="D968" s="699">
        <v>43467</v>
      </c>
      <c r="E968" s="699">
        <v>43463</v>
      </c>
      <c r="F968" s="699">
        <v>43449</v>
      </c>
      <c r="G968">
        <f>IF(getRGB1($C968)="FFFFFF",0,1)+IF(getRGB1($D968)="FFFFFF",0,2)+IF(getRGB1($E968)="FFFFFF",0,3)+IF(getRGB1($F968)="FFFFFF",0,4)</f>
        <v>1</v>
      </c>
    </row>
    <row r="969" spans="1:7" ht="47.25">
      <c r="A969" t="s">
        <v>8676</v>
      </c>
      <c r="B969" s="697" t="s">
        <v>1767</v>
      </c>
      <c r="C969" s="696">
        <v>1</v>
      </c>
      <c r="D969" s="696">
        <v>2</v>
      </c>
      <c r="E969" s="559">
        <v>3</v>
      </c>
      <c r="F969" s="696">
        <v>6</v>
      </c>
      <c r="G969">
        <f>IF(getRGB1($C969)="FFFFFF",0,1)+IF(getRGB1($D969)="FFFFFF",0,2)+IF(getRGB1($E969)="FFFFFF",0,3)+IF(getRGB1($F969)="FFFFFF",0,4)</f>
        <v>3</v>
      </c>
    </row>
    <row r="970" spans="1:7" ht="15.75">
      <c r="A970" t="s">
        <v>8676</v>
      </c>
      <c r="B970" s="697" t="s">
        <v>1768</v>
      </c>
      <c r="C970" s="696">
        <v>2000</v>
      </c>
      <c r="D970" s="696">
        <v>10000</v>
      </c>
      <c r="E970" s="696">
        <v>1000</v>
      </c>
      <c r="F970" s="559">
        <v>5000</v>
      </c>
      <c r="G970">
        <f>IF(getRGB1($C970)="FFFFFF",0,1)+IF(getRGB1($D970)="FFFFFF",0,2)+IF(getRGB1($E970)="FFFFFF",0,3)+IF(getRGB1($F970)="FFFFFF",0,4)</f>
        <v>4</v>
      </c>
    </row>
    <row r="971" spans="1:7" ht="157.5">
      <c r="A971" t="s">
        <v>8676</v>
      </c>
      <c r="B971" s="697" t="s">
        <v>1769</v>
      </c>
      <c r="C971" s="559" t="s">
        <v>1770</v>
      </c>
      <c r="D971" s="696" t="s">
        <v>1771</v>
      </c>
      <c r="E971" s="696" t="s">
        <v>1772</v>
      </c>
      <c r="F971" s="696" t="s">
        <v>1773</v>
      </c>
      <c r="G971">
        <f>IF(getRGB1($C971)="FFFFFF",0,1)+IF(getRGB1($D971)="FFFFFF",0,2)+IF(getRGB1($E971)="FFFFFF",0,3)+IF(getRGB1($F971)="FFFFFF",0,4)</f>
        <v>1</v>
      </c>
    </row>
    <row r="972" spans="1:7" ht="47.25">
      <c r="A972" t="s">
        <v>8676</v>
      </c>
      <c r="B972" s="697" t="s">
        <v>1774</v>
      </c>
      <c r="C972" s="696" t="s">
        <v>1775</v>
      </c>
      <c r="D972" s="696" t="s">
        <v>557</v>
      </c>
      <c r="E972" s="696" t="s">
        <v>174</v>
      </c>
      <c r="F972" s="559" t="s">
        <v>76</v>
      </c>
      <c r="G972">
        <f>IF(getRGB1($C972)="FFFFFF",0,1)+IF(getRGB1($D972)="FFFFFF",0,2)+IF(getRGB1($E972)="FFFFFF",0,3)+IF(getRGB1($F972)="FFFFFF",0,4)</f>
        <v>4</v>
      </c>
    </row>
    <row r="973" spans="1:7" ht="31.5">
      <c r="A973" t="s">
        <v>8676</v>
      </c>
      <c r="B973" s="697" t="s">
        <v>1776</v>
      </c>
      <c r="C973" s="696" t="s">
        <v>1737</v>
      </c>
      <c r="D973" s="696" t="s">
        <v>1777</v>
      </c>
      <c r="E973" s="559" t="s">
        <v>1778</v>
      </c>
      <c r="F973" s="696" t="s">
        <v>173</v>
      </c>
      <c r="G973">
        <f>IF(getRGB1($C973)="FFFFFF",0,1)+IF(getRGB1($D973)="FFFFFF",0,2)+IF(getRGB1($E973)="FFFFFF",0,3)+IF(getRGB1($F973)="FFFFFF",0,4)</f>
        <v>3</v>
      </c>
    </row>
    <row r="974" spans="1:7" ht="31.5">
      <c r="A974" t="s">
        <v>8676</v>
      </c>
      <c r="B974" s="697" t="s">
        <v>1779</v>
      </c>
      <c r="C974" s="696" t="s">
        <v>1780</v>
      </c>
      <c r="D974" s="559" t="s">
        <v>1781</v>
      </c>
      <c r="E974" s="696" t="s">
        <v>1782</v>
      </c>
      <c r="F974" s="696" t="s">
        <v>1783</v>
      </c>
      <c r="G974">
        <f>IF(getRGB1($C974)="FFFFFF",0,1)+IF(getRGB1($D974)="FFFFFF",0,2)+IF(getRGB1($E974)="FFFFFF",0,3)+IF(getRGB1($F974)="FFFFFF",0,4)</f>
        <v>2</v>
      </c>
    </row>
    <row r="975" spans="1:7" ht="31.5">
      <c r="A975" t="s">
        <v>8676</v>
      </c>
      <c r="B975" s="694" t="s">
        <v>8752</v>
      </c>
      <c r="C975" s="695" t="s">
        <v>1648</v>
      </c>
      <c r="D975" s="695" t="s">
        <v>74</v>
      </c>
      <c r="E975" s="695" t="s">
        <v>1785</v>
      </c>
      <c r="F975" s="570" t="s">
        <v>1786</v>
      </c>
      <c r="G975">
        <f>IF(getRGB1($C975)="FFFFFF",0,1)+IF(getRGB1($D975)="FFFFFF",0,2)+IF(getRGB1($E975)="FFFFFF",0,3)+IF(getRGB1($F975)="FFFFFF",0,4)</f>
        <v>4</v>
      </c>
    </row>
    <row r="976" spans="1:7" ht="31.5">
      <c r="A976" t="s">
        <v>8676</v>
      </c>
      <c r="B976" s="697" t="s">
        <v>8700</v>
      </c>
      <c r="C976" s="696" t="s">
        <v>1788</v>
      </c>
      <c r="D976" s="696" t="s">
        <v>1789</v>
      </c>
      <c r="E976" s="571" t="s">
        <v>1790</v>
      </c>
      <c r="F976" s="696" t="s">
        <v>1791</v>
      </c>
      <c r="G976">
        <f>IF(getRGB1($C976)="FFFFFF",0,1)+IF(getRGB1($D976)="FFFFFF",0,2)+IF(getRGB1($E976)="FFFFFF",0,3)+IF(getRGB1($F976)="FFFFFF",0,4)</f>
        <v>3</v>
      </c>
    </row>
    <row r="977" spans="1:7" ht="31.5">
      <c r="A977" t="s">
        <v>8676</v>
      </c>
      <c r="B977" s="697" t="s">
        <v>8701</v>
      </c>
      <c r="C977" s="696" t="s">
        <v>1793</v>
      </c>
      <c r="D977" s="696" t="s">
        <v>1794</v>
      </c>
      <c r="E977" s="696" t="s">
        <v>1795</v>
      </c>
      <c r="F977" s="571" t="s">
        <v>1796</v>
      </c>
      <c r="G977">
        <f>IF(getRGB1($C977)="FFFFFF",0,1)+IF(getRGB1($D977)="FFFFFF",0,2)+IF(getRGB1($E977)="FFFFFF",0,3)+IF(getRGB1($F977)="FFFFFF",0,4)</f>
        <v>4</v>
      </c>
    </row>
    <row r="978" spans="1:7" ht="47.25">
      <c r="A978" t="s">
        <v>8676</v>
      </c>
      <c r="B978" s="697" t="s">
        <v>1797</v>
      </c>
      <c r="C978" s="696">
        <v>80</v>
      </c>
      <c r="D978" s="696">
        <v>70</v>
      </c>
      <c r="E978" s="696">
        <v>50</v>
      </c>
      <c r="F978" s="571">
        <v>0</v>
      </c>
      <c r="G978">
        <f>IF(getRGB1($C978)="FFFFFF",0,1)+IF(getRGB1($D978)="FFFFFF",0,2)+IF(getRGB1($E978)="FFFFFF",0,3)+IF(getRGB1($F978)="FFFFFF",0,4)</f>
        <v>4</v>
      </c>
    </row>
    <row r="979" spans="1:7" ht="47.25">
      <c r="A979" t="s">
        <v>8676</v>
      </c>
      <c r="B979" s="697" t="s">
        <v>1798</v>
      </c>
      <c r="C979" s="571">
        <v>1</v>
      </c>
      <c r="D979" s="696">
        <v>3</v>
      </c>
      <c r="E979" s="696">
        <v>5</v>
      </c>
      <c r="F979" s="696">
        <v>6</v>
      </c>
      <c r="G979">
        <f>IF(getRGB1($C979)="FFFFFF",0,1)+IF(getRGB1($D979)="FFFFFF",0,2)+IF(getRGB1($E979)="FFFFFF",0,3)+IF(getRGB1($F979)="FFFFFF",0,4)</f>
        <v>1</v>
      </c>
    </row>
    <row r="980" spans="1:7" ht="31.5">
      <c r="A980" t="s">
        <v>8676</v>
      </c>
      <c r="B980" s="694" t="s">
        <v>1799</v>
      </c>
      <c r="C980" s="695" t="s">
        <v>1800</v>
      </c>
      <c r="D980" s="695" t="s">
        <v>1801</v>
      </c>
      <c r="E980" s="570" t="s">
        <v>1802</v>
      </c>
      <c r="F980" s="695" t="s">
        <v>1803</v>
      </c>
      <c r="G980">
        <f>IF(getRGB1($C980)="FFFFFF",0,1)+IF(getRGB1($D980)="FFFFFF",0,2)+IF(getRGB1($E980)="FFFFFF",0,3)+IF(getRGB1($F980)="FFFFFF",0,4)</f>
        <v>3</v>
      </c>
    </row>
    <row r="981" spans="1:7" ht="47.25">
      <c r="A981" t="s">
        <v>8676</v>
      </c>
      <c r="B981" s="694" t="s">
        <v>1804</v>
      </c>
      <c r="C981" s="695" t="s">
        <v>1805</v>
      </c>
      <c r="D981" s="570" t="s">
        <v>994</v>
      </c>
      <c r="E981" s="695" t="s">
        <v>993</v>
      </c>
      <c r="F981" s="695" t="s">
        <v>995</v>
      </c>
      <c r="G981">
        <f>IF(getRGB1($C981)="FFFFFF",0,1)+IF(getRGB1($D981)="FFFFFF",0,2)+IF(getRGB1($E981)="FFFFFF",0,3)+IF(getRGB1($F981)="FFFFFF",0,4)</f>
        <v>2</v>
      </c>
    </row>
    <row r="982" spans="1:7" ht="63">
      <c r="A982" t="s">
        <v>8676</v>
      </c>
      <c r="B982" s="555" t="s">
        <v>1806</v>
      </c>
      <c r="C982" s="556">
        <v>25</v>
      </c>
      <c r="D982" s="556">
        <v>50</v>
      </c>
      <c r="E982" s="570">
        <v>80</v>
      </c>
      <c r="F982" s="556">
        <v>100</v>
      </c>
      <c r="G982">
        <f>IF(getRGB1($C982)="FFFFFF",0,1)+IF(getRGB1($D982)="FFFFFF",0,2)+IF(getRGB1($E982)="FFFFFF",0,3)+IF(getRGB1($F982)="FFFFFF",0,4)</f>
        <v>3</v>
      </c>
    </row>
    <row r="983" spans="1:7" ht="78.75">
      <c r="A983" t="s">
        <v>8676</v>
      </c>
      <c r="B983" s="694" t="s">
        <v>1807</v>
      </c>
      <c r="C983" s="695">
        <v>50</v>
      </c>
      <c r="D983" s="570">
        <v>100</v>
      </c>
      <c r="E983" s="695">
        <v>250</v>
      </c>
      <c r="F983" s="695">
        <v>500</v>
      </c>
      <c r="G983">
        <f>IF(getRGB1($C983)="FFFFFF",0,1)+IF(getRGB1($D983)="FFFFFF",0,2)+IF(getRGB1($E983)="FFFFFF",0,3)+IF(getRGB1($F983)="FFFFFF",0,4)</f>
        <v>2</v>
      </c>
    </row>
    <row r="984" spans="1:7" ht="47.25">
      <c r="A984" t="s">
        <v>8676</v>
      </c>
      <c r="B984" s="694" t="s">
        <v>1808</v>
      </c>
      <c r="C984" s="570" t="s">
        <v>1809</v>
      </c>
      <c r="D984" s="695" t="s">
        <v>1810</v>
      </c>
      <c r="E984" s="695" t="s">
        <v>1811</v>
      </c>
      <c r="F984" s="695" t="s">
        <v>1812</v>
      </c>
      <c r="G984">
        <f>IF(getRGB1($C984)="FFFFFF",0,1)+IF(getRGB1($D984)="FFFFFF",0,2)+IF(getRGB1($E984)="FFFFFF",0,3)+IF(getRGB1($F984)="FFFFFF",0,4)</f>
        <v>1</v>
      </c>
    </row>
    <row r="985" spans="1:7" ht="78.75">
      <c r="A985" t="s">
        <v>8676</v>
      </c>
      <c r="B985" s="572" t="s">
        <v>8702</v>
      </c>
      <c r="C985" s="573" t="s">
        <v>1814</v>
      </c>
      <c r="D985" s="574" t="b">
        <v>0</v>
      </c>
      <c r="E985" s="574"/>
      <c r="F985" s="574"/>
      <c r="G985">
        <f>IF(getRGB1($C985)="FFFFFF",0,1)+IF(getRGB1($D985)="FFFFFF",0,2)+IF(getRGB1($E985)="FFFFFF",0,3)+IF(getRGB1($F985)="FFFFFF",0,4)</f>
        <v>1</v>
      </c>
    </row>
    <row r="986" spans="1:7" ht="31.5">
      <c r="A986" t="s">
        <v>8676</v>
      </c>
      <c r="B986" s="575" t="s">
        <v>1815</v>
      </c>
      <c r="C986" s="569" t="s">
        <v>1816</v>
      </c>
      <c r="D986" s="569" t="s">
        <v>1817</v>
      </c>
      <c r="E986" s="569" t="s">
        <v>1818</v>
      </c>
      <c r="F986" s="571" t="s">
        <v>1725</v>
      </c>
      <c r="G986">
        <f>IF(getRGB1($C986)="FFFFFF",0,1)+IF(getRGB1($D986)="FFFFFF",0,2)+IF(getRGB1($E986)="FFFFFF",0,3)+IF(getRGB1($F986)="FFFFFF",0,4)</f>
        <v>4</v>
      </c>
    </row>
    <row r="987" spans="1:7" ht="31.5">
      <c r="A987" t="s">
        <v>8676</v>
      </c>
      <c r="B987" s="575" t="s">
        <v>1819</v>
      </c>
      <c r="C987" s="569" t="s">
        <v>1820</v>
      </c>
      <c r="D987" s="569" t="s">
        <v>1821</v>
      </c>
      <c r="E987" s="569" t="s">
        <v>1822</v>
      </c>
      <c r="F987" s="571" t="s">
        <v>1725</v>
      </c>
      <c r="G987">
        <f>IF(getRGB1($C987)="FFFFFF",0,1)+IF(getRGB1($D987)="FFFFFF",0,2)+IF(getRGB1($E987)="FFFFFF",0,3)+IF(getRGB1($F987)="FFFFFF",0,4)</f>
        <v>4</v>
      </c>
    </row>
    <row r="988" spans="1:7" ht="15.75">
      <c r="A988" t="s">
        <v>8676</v>
      </c>
      <c r="B988" s="576" t="s">
        <v>1823</v>
      </c>
      <c r="C988" s="557" t="s">
        <v>108</v>
      </c>
      <c r="D988" s="577" t="s">
        <v>1557</v>
      </c>
      <c r="E988" s="561" t="s">
        <v>109</v>
      </c>
      <c r="F988" s="561" t="s">
        <v>1558</v>
      </c>
      <c r="G988">
        <f>IF(getRGB1($C988)="FFFFFF",0,1)+IF(getRGB1($D988)="FFFFFF",0,2)+IF(getRGB1($E988)="FFFFFF",0,3)+IF(getRGB1($F988)="FFFFFF",0,4)</f>
        <v>1</v>
      </c>
    </row>
    <row r="989" spans="1:7" ht="15.75">
      <c r="A989" t="s">
        <v>8676</v>
      </c>
      <c r="B989" s="576" t="s">
        <v>1824</v>
      </c>
      <c r="C989" s="557" t="s">
        <v>108</v>
      </c>
      <c r="D989" s="577" t="s">
        <v>1557</v>
      </c>
      <c r="E989" s="561" t="s">
        <v>109</v>
      </c>
      <c r="F989" s="561" t="s">
        <v>1558</v>
      </c>
      <c r="G989">
        <f>IF(getRGB1($C989)="FFFFFF",0,1)+IF(getRGB1($D989)="FFFFFF",0,2)+IF(getRGB1($E989)="FFFFFF",0,3)+IF(getRGB1($F989)="FFFFFF",0,4)</f>
        <v>1</v>
      </c>
    </row>
    <row r="990" spans="1:7">
      <c r="A990" t="s">
        <v>8677</v>
      </c>
      <c r="B990" s="32" t="s">
        <v>524</v>
      </c>
      <c r="C990" s="33" t="s">
        <v>525</v>
      </c>
      <c r="D990" s="33" t="s">
        <v>526</v>
      </c>
      <c r="E990" s="34" t="s">
        <v>527</v>
      </c>
      <c r="F990" s="33" t="s">
        <v>528</v>
      </c>
      <c r="G990">
        <f>IF(getRGB1($C990)="FFFFFF",0,1)+IF(getRGB1($D990)="FFFFFF",0,2)+IF(getRGB1($E990)="FFFFFF",0,3)+IF(getRGB1($F990)="FFFFFF",0,4)</f>
        <v>3</v>
      </c>
    </row>
    <row r="991" spans="1:7" ht="28.5">
      <c r="A991" t="s">
        <v>8677</v>
      </c>
      <c r="B991" s="35" t="s">
        <v>529</v>
      </c>
      <c r="C991" s="36" t="s">
        <v>530</v>
      </c>
      <c r="D991" s="36" t="s">
        <v>531</v>
      </c>
      <c r="E991" s="34" t="s">
        <v>532</v>
      </c>
      <c r="F991" s="36" t="s">
        <v>533</v>
      </c>
      <c r="G991">
        <f>IF(getRGB1($C991)="FFFFFF",0,1)+IF(getRGB1($D991)="FFFFFF",0,2)+IF(getRGB1($E991)="FFFFFF",0,3)+IF(getRGB1($F991)="FFFFFF",0,4)</f>
        <v>3</v>
      </c>
    </row>
    <row r="992" spans="1:7" ht="28.5">
      <c r="A992" t="s">
        <v>8677</v>
      </c>
      <c r="B992" s="35" t="s">
        <v>534</v>
      </c>
      <c r="C992" s="36" t="s">
        <v>535</v>
      </c>
      <c r="D992" s="34" t="s">
        <v>536</v>
      </c>
      <c r="E992" s="36" t="s">
        <v>537</v>
      </c>
      <c r="F992" s="36" t="s">
        <v>538</v>
      </c>
      <c r="G992">
        <f>IF(getRGB1($C992)="FFFFFF",0,1)+IF(getRGB1($D992)="FFFFFF",0,2)+IF(getRGB1($E992)="FFFFFF",0,3)+IF(getRGB1($F992)="FFFFFF",0,4)</f>
        <v>2</v>
      </c>
    </row>
    <row r="993" spans="1:7">
      <c r="A993" t="s">
        <v>8677</v>
      </c>
      <c r="B993" s="35" t="s">
        <v>539</v>
      </c>
      <c r="C993" s="36" t="s">
        <v>540</v>
      </c>
      <c r="D993" s="36" t="s">
        <v>541</v>
      </c>
      <c r="E993" s="34" t="s">
        <v>542</v>
      </c>
      <c r="F993" s="36" t="s">
        <v>543</v>
      </c>
      <c r="G993">
        <f>IF(getRGB1($C993)="FFFFFF",0,1)+IF(getRGB1($D993)="FFFFFF",0,2)+IF(getRGB1($E993)="FFFFFF",0,3)+IF(getRGB1($F993)="FFFFFF",0,4)</f>
        <v>3</v>
      </c>
    </row>
    <row r="994" spans="1:7" ht="85.5">
      <c r="A994" t="s">
        <v>8677</v>
      </c>
      <c r="B994" s="35" t="s">
        <v>544</v>
      </c>
      <c r="C994" s="36" t="s">
        <v>545</v>
      </c>
      <c r="D994" s="34" t="s">
        <v>546</v>
      </c>
      <c r="E994" s="36" t="s">
        <v>547</v>
      </c>
      <c r="F994" s="36" t="s">
        <v>548</v>
      </c>
      <c r="G994">
        <f>IF(getRGB1($C994)="FFFFFF",0,1)+IF(getRGB1($D994)="FFFFFF",0,2)+IF(getRGB1($E994)="FFFFFF",0,3)+IF(getRGB1($F994)="FFFFFF",0,4)</f>
        <v>2</v>
      </c>
    </row>
    <row r="995" spans="1:7">
      <c r="A995" t="s">
        <v>8677</v>
      </c>
      <c r="B995" s="35" t="s">
        <v>549</v>
      </c>
      <c r="C995" s="36" t="s">
        <v>74</v>
      </c>
      <c r="D995" s="36" t="s">
        <v>266</v>
      </c>
      <c r="E995" s="34" t="s">
        <v>174</v>
      </c>
      <c r="F995" s="36" t="s">
        <v>550</v>
      </c>
      <c r="G995">
        <f>IF(getRGB1($C995)="FFFFFF",0,1)+IF(getRGB1($D995)="FFFFFF",0,2)+IF(getRGB1($E995)="FFFFFF",0,3)+IF(getRGB1($F995)="FFFFFF",0,4)</f>
        <v>3</v>
      </c>
    </row>
    <row r="996" spans="1:7" ht="71.25">
      <c r="A996" t="s">
        <v>8677</v>
      </c>
      <c r="B996" s="35" t="s">
        <v>551</v>
      </c>
      <c r="C996" s="36" t="s">
        <v>552</v>
      </c>
      <c r="D996" s="36" t="s">
        <v>553</v>
      </c>
      <c r="E996" s="34" t="s">
        <v>554</v>
      </c>
      <c r="F996" s="36" t="s">
        <v>555</v>
      </c>
      <c r="G996">
        <f>IF(getRGB1($C996)="FFFFFF",0,1)+IF(getRGB1($D996)="FFFFFF",0,2)+IF(getRGB1($E996)="FFFFFF",0,3)+IF(getRGB1($F996)="FFFFFF",0,4)</f>
        <v>3</v>
      </c>
    </row>
    <row r="997" spans="1:7" ht="28.5">
      <c r="A997" t="s">
        <v>8677</v>
      </c>
      <c r="B997" s="35" t="s">
        <v>556</v>
      </c>
      <c r="C997" s="36" t="s">
        <v>179</v>
      </c>
      <c r="D997" s="34" t="s">
        <v>137</v>
      </c>
      <c r="E997" s="36" t="s">
        <v>74</v>
      </c>
      <c r="F997" s="36" t="s">
        <v>557</v>
      </c>
      <c r="G997">
        <f>IF(getRGB1($C997)="FFFFFF",0,1)+IF(getRGB1($D997)="FFFFFF",0,2)+IF(getRGB1($E997)="FFFFFF",0,3)+IF(getRGB1($F997)="FFFFFF",0,4)</f>
        <v>2</v>
      </c>
    </row>
    <row r="998" spans="1:7" ht="28.5">
      <c r="A998" t="s">
        <v>8677</v>
      </c>
      <c r="B998" s="35" t="s">
        <v>558</v>
      </c>
      <c r="C998" s="34" t="s">
        <v>179</v>
      </c>
      <c r="D998" s="36" t="s">
        <v>137</v>
      </c>
      <c r="E998" s="36" t="s">
        <v>174</v>
      </c>
      <c r="F998" s="36" t="s">
        <v>74</v>
      </c>
      <c r="G998">
        <f>IF(getRGB1($C998)="FFFFFF",0,1)+IF(getRGB1($D998)="FFFFFF",0,2)+IF(getRGB1($E998)="FFFFFF",0,3)+IF(getRGB1($F998)="FFFFFF",0,4)</f>
        <v>1</v>
      </c>
    </row>
    <row r="999" spans="1:7" ht="28.5">
      <c r="A999" t="s">
        <v>8677</v>
      </c>
      <c r="B999" s="35" t="s">
        <v>559</v>
      </c>
      <c r="C999" s="36" t="s">
        <v>560</v>
      </c>
      <c r="D999" s="34" t="s">
        <v>561</v>
      </c>
      <c r="E999" s="36" t="s">
        <v>562</v>
      </c>
      <c r="F999" s="36" t="s">
        <v>563</v>
      </c>
      <c r="G999">
        <f>IF(getRGB1($C999)="FFFFFF",0,1)+IF(getRGB1($D999)="FFFFFF",0,2)+IF(getRGB1($E999)="FFFFFF",0,3)+IF(getRGB1($F999)="FFFFFF",0,4)</f>
        <v>2</v>
      </c>
    </row>
    <row r="1000" spans="1:7" ht="57">
      <c r="A1000" t="s">
        <v>8677</v>
      </c>
      <c r="B1000" s="35" t="s">
        <v>564</v>
      </c>
      <c r="C1000" s="36" t="s">
        <v>565</v>
      </c>
      <c r="D1000" s="36" t="s">
        <v>566</v>
      </c>
      <c r="E1000" s="34" t="s">
        <v>567</v>
      </c>
      <c r="F1000" s="36" t="s">
        <v>568</v>
      </c>
      <c r="G1000">
        <f>IF(getRGB1($C1000)="FFFFFF",0,1)+IF(getRGB1($D1000)="FFFFFF",0,2)+IF(getRGB1($E1000)="FFFFFF",0,3)+IF(getRGB1($F1000)="FFFFFF",0,4)</f>
        <v>3</v>
      </c>
    </row>
    <row r="1001" spans="1:7" ht="28.5">
      <c r="A1001" t="s">
        <v>8677</v>
      </c>
      <c r="B1001" s="35" t="s">
        <v>569</v>
      </c>
      <c r="C1001" s="34" t="s">
        <v>570</v>
      </c>
      <c r="D1001" s="36" t="s">
        <v>571</v>
      </c>
      <c r="E1001" s="36" t="s">
        <v>452</v>
      </c>
      <c r="F1001" s="36" t="s">
        <v>572</v>
      </c>
      <c r="G1001">
        <f>IF(getRGB1($C1001)="FFFFFF",0,1)+IF(getRGB1($D1001)="FFFFFF",0,2)+IF(getRGB1($E1001)="FFFFFF",0,3)+IF(getRGB1($F1001)="FFFFFF",0,4)</f>
        <v>1</v>
      </c>
    </row>
    <row r="1002" spans="1:7" ht="42.75">
      <c r="A1002" t="s">
        <v>8677</v>
      </c>
      <c r="B1002" s="35" t="s">
        <v>573</v>
      </c>
      <c r="C1002" s="36" t="s">
        <v>574</v>
      </c>
      <c r="D1002" s="34" t="s">
        <v>575</v>
      </c>
      <c r="E1002" s="36" t="s">
        <v>576</v>
      </c>
      <c r="F1002" s="36" t="s">
        <v>577</v>
      </c>
      <c r="G1002">
        <f>IF(getRGB1($C1002)="FFFFFF",0,1)+IF(getRGB1($D1002)="FFFFFF",0,2)+IF(getRGB1($E1002)="FFFFFF",0,3)+IF(getRGB1($F1002)="FFFFFF",0,4)</f>
        <v>2</v>
      </c>
    </row>
    <row r="1003" spans="1:7" ht="28.5">
      <c r="A1003" t="s">
        <v>8677</v>
      </c>
      <c r="B1003" s="35" t="s">
        <v>578</v>
      </c>
      <c r="C1003" s="36" t="s">
        <v>579</v>
      </c>
      <c r="D1003" s="36" t="s">
        <v>580</v>
      </c>
      <c r="E1003" s="33" t="s">
        <v>581</v>
      </c>
      <c r="F1003" s="34" t="s">
        <v>582</v>
      </c>
      <c r="G1003">
        <f>IF(getRGB1($C1003)="FFFFFF",0,1)+IF(getRGB1($D1003)="FFFFFF",0,2)+IF(getRGB1($E1003)="FFFFFF",0,3)+IF(getRGB1($F1003)="FFFFFF",0,4)</f>
        <v>4</v>
      </c>
    </row>
    <row r="1004" spans="1:7" ht="28.5">
      <c r="A1004" t="s">
        <v>8677</v>
      </c>
      <c r="B1004" s="35" t="s">
        <v>583</v>
      </c>
      <c r="C1004" s="36" t="s">
        <v>584</v>
      </c>
      <c r="D1004" s="33" t="s">
        <v>585</v>
      </c>
      <c r="E1004" s="36" t="s">
        <v>586</v>
      </c>
      <c r="F1004" s="34" t="s">
        <v>587</v>
      </c>
      <c r="G1004">
        <f>IF(getRGB1($C1004)="FFFFFF",0,1)+IF(getRGB1($D1004)="FFFFFF",0,2)+IF(getRGB1($E1004)="FFFFFF",0,3)+IF(getRGB1($F1004)="FFFFFF",0,4)</f>
        <v>4</v>
      </c>
    </row>
    <row r="1005" spans="1:7" ht="42.75">
      <c r="A1005" t="s">
        <v>8677</v>
      </c>
      <c r="B1005" s="35" t="s">
        <v>588</v>
      </c>
      <c r="C1005" s="36" t="s">
        <v>589</v>
      </c>
      <c r="D1005" s="36" t="s">
        <v>590</v>
      </c>
      <c r="E1005" s="33" t="s">
        <v>591</v>
      </c>
      <c r="F1005" s="34" t="s">
        <v>592</v>
      </c>
      <c r="G1005">
        <f>IF(getRGB1($C1005)="FFFFFF",0,1)+IF(getRGB1($D1005)="FFFFFF",0,2)+IF(getRGB1($E1005)="FFFFFF",0,3)+IF(getRGB1($F1005)="FFFFFF",0,4)</f>
        <v>4</v>
      </c>
    </row>
    <row r="1006" spans="1:7" ht="71.25">
      <c r="A1006" t="s">
        <v>8677</v>
      </c>
      <c r="B1006" s="35" t="s">
        <v>593</v>
      </c>
      <c r="C1006" s="36" t="s">
        <v>594</v>
      </c>
      <c r="D1006" s="33" t="s">
        <v>595</v>
      </c>
      <c r="E1006" s="34" t="s">
        <v>596</v>
      </c>
      <c r="F1006" s="33" t="s">
        <v>597</v>
      </c>
      <c r="G1006">
        <f>IF(getRGB1($C1006)="FFFFFF",0,1)+IF(getRGB1($D1006)="FFFFFF",0,2)+IF(getRGB1($E1006)="FFFFFF",0,3)+IF(getRGB1($F1006)="FFFFFF",0,4)</f>
        <v>3</v>
      </c>
    </row>
    <row r="1007" spans="1:7" ht="28.5">
      <c r="A1007" t="s">
        <v>8677</v>
      </c>
      <c r="B1007" s="32" t="s">
        <v>598</v>
      </c>
      <c r="C1007" s="33" t="s">
        <v>599</v>
      </c>
      <c r="D1007" s="33" t="s">
        <v>600</v>
      </c>
      <c r="E1007" s="33" t="s">
        <v>601</v>
      </c>
      <c r="F1007" s="34" t="s">
        <v>602</v>
      </c>
      <c r="G1007">
        <f>IF(getRGB1($C1007)="FFFFFF",0,1)+IF(getRGB1($D1007)="FFFFFF",0,2)+IF(getRGB1($E1007)="FFFFFF",0,3)+IF(getRGB1($F1007)="FFFFFF",0,4)</f>
        <v>4</v>
      </c>
    </row>
    <row r="1008" spans="1:7" ht="28.5">
      <c r="A1008" t="s">
        <v>8677</v>
      </c>
      <c r="B1008" s="32" t="s">
        <v>603</v>
      </c>
      <c r="C1008" s="33" t="s">
        <v>604</v>
      </c>
      <c r="D1008" s="33" t="s">
        <v>531</v>
      </c>
      <c r="E1008" s="34" t="s">
        <v>605</v>
      </c>
      <c r="F1008" s="33" t="s">
        <v>533</v>
      </c>
      <c r="G1008">
        <f>IF(getRGB1($C1008)="FFFFFF",0,1)+IF(getRGB1($D1008)="FFFFFF",0,2)+IF(getRGB1($E1008)="FFFFFF",0,3)+IF(getRGB1($F1008)="FFFFFF",0,4)</f>
        <v>3</v>
      </c>
    </row>
    <row r="1009" spans="1:7">
      <c r="A1009" t="s">
        <v>8677</v>
      </c>
      <c r="B1009" s="32" t="s">
        <v>606</v>
      </c>
      <c r="C1009" s="33" t="s">
        <v>607</v>
      </c>
      <c r="D1009" s="33" t="s">
        <v>608</v>
      </c>
      <c r="E1009" s="33" t="s">
        <v>609</v>
      </c>
      <c r="F1009" s="34" t="s">
        <v>610</v>
      </c>
      <c r="G1009">
        <f>IF(getRGB1($C1009)="FFFFFF",0,1)+IF(getRGB1($D1009)="FFFFFF",0,2)+IF(getRGB1($E1009)="FFFFFF",0,3)+IF(getRGB1($F1009)="FFFFFF",0,4)</f>
        <v>4</v>
      </c>
    </row>
    <row r="1010" spans="1:7">
      <c r="A1010" t="s">
        <v>8677</v>
      </c>
      <c r="B1010" s="32" t="s">
        <v>611</v>
      </c>
      <c r="C1010" s="33" t="s">
        <v>533</v>
      </c>
      <c r="D1010" s="34" t="s">
        <v>612</v>
      </c>
      <c r="E1010" s="33" t="s">
        <v>613</v>
      </c>
      <c r="F1010" s="33" t="s">
        <v>614</v>
      </c>
      <c r="G1010">
        <f>IF(getRGB1($C1010)="FFFFFF",0,1)+IF(getRGB1($D1010)="FFFFFF",0,2)+IF(getRGB1($E1010)="FFFFFF",0,3)+IF(getRGB1($F1010)="FFFFFF",0,4)</f>
        <v>2</v>
      </c>
    </row>
    <row r="1011" spans="1:7" ht="85.5">
      <c r="A1011" t="s">
        <v>8677</v>
      </c>
      <c r="B1011" s="33" t="s">
        <v>615</v>
      </c>
      <c r="C1011" s="34" t="s">
        <v>616</v>
      </c>
      <c r="D1011" s="33" t="s">
        <v>617</v>
      </c>
      <c r="E1011" s="33" t="s">
        <v>618</v>
      </c>
      <c r="F1011" s="33" t="s">
        <v>220</v>
      </c>
      <c r="G1011">
        <f>IF(getRGB1($C1011)="FFFFFF",0,1)+IF(getRGB1($D1011)="FFFFFF",0,2)+IF(getRGB1($E1011)="FFFFFF",0,3)+IF(getRGB1($F1011)="FFFFFF",0,4)</f>
        <v>1</v>
      </c>
    </row>
    <row r="1012" spans="1:7" ht="85.5">
      <c r="A1012" t="s">
        <v>8677</v>
      </c>
      <c r="B1012" s="33" t="s">
        <v>619</v>
      </c>
      <c r="C1012" s="33" t="s">
        <v>616</v>
      </c>
      <c r="D1012" s="33" t="s">
        <v>620</v>
      </c>
      <c r="E1012" s="34" t="s">
        <v>621</v>
      </c>
      <c r="F1012" s="33" t="s">
        <v>618</v>
      </c>
      <c r="G1012">
        <f>IF(getRGB1($C1012)="FFFFFF",0,1)+IF(getRGB1($D1012)="FFFFFF",0,2)+IF(getRGB1($E1012)="FFFFFF",0,3)+IF(getRGB1($F1012)="FFFFFF",0,4)</f>
        <v>3</v>
      </c>
    </row>
    <row r="1013" spans="1:7">
      <c r="A1013" t="s">
        <v>8677</v>
      </c>
      <c r="B1013" s="32" t="s">
        <v>622</v>
      </c>
      <c r="C1013" s="33" t="s">
        <v>623</v>
      </c>
      <c r="D1013" s="34" t="s">
        <v>624</v>
      </c>
      <c r="E1013" s="33" t="s">
        <v>625</v>
      </c>
      <c r="F1013" s="33" t="s">
        <v>61</v>
      </c>
      <c r="G1013">
        <f>IF(getRGB1($C1013)="FFFFFF",0,1)+IF(getRGB1($D1013)="FFFFFF",0,2)+IF(getRGB1($E1013)="FFFFFF",0,3)+IF(getRGB1($F1013)="FFFFFF",0,4)</f>
        <v>2</v>
      </c>
    </row>
    <row r="1014" spans="1:7" ht="71.25">
      <c r="A1014" t="s">
        <v>8677</v>
      </c>
      <c r="B1014" s="33" t="s">
        <v>626</v>
      </c>
      <c r="C1014" s="34" t="b">
        <v>1</v>
      </c>
      <c r="D1014" s="33" t="b">
        <v>0</v>
      </c>
      <c r="E1014" s="33" t="s">
        <v>61</v>
      </c>
      <c r="F1014" s="33"/>
      <c r="G1014">
        <f>IF(getRGB1($C1014)="FFFFFF",0,1)+IF(getRGB1($D1014)="FFFFFF",0,2)+IF(getRGB1($E1014)="FFFFFF",0,3)+IF(getRGB1($F1014)="FFFFFF",0,4)</f>
        <v>1</v>
      </c>
    </row>
    <row r="1015" spans="1:7" ht="57">
      <c r="A1015" t="s">
        <v>8677</v>
      </c>
      <c r="B1015" s="33" t="s">
        <v>627</v>
      </c>
      <c r="C1015" s="33" t="s">
        <v>628</v>
      </c>
      <c r="D1015" s="33" t="s">
        <v>629</v>
      </c>
      <c r="E1015" s="34" t="s">
        <v>630</v>
      </c>
      <c r="F1015" s="33" t="s">
        <v>61</v>
      </c>
      <c r="G1015">
        <f>IF(getRGB1($C1015)="FFFFFF",0,1)+IF(getRGB1($D1015)="FFFFFF",0,2)+IF(getRGB1($E1015)="FFFFFF",0,3)+IF(getRGB1($F1015)="FFFFFF",0,4)</f>
        <v>3</v>
      </c>
    </row>
    <row r="1016" spans="1:7" ht="71.25">
      <c r="A1016" t="s">
        <v>8677</v>
      </c>
      <c r="B1016" s="33" t="s">
        <v>8753</v>
      </c>
      <c r="C1016" s="34" t="b">
        <v>1</v>
      </c>
      <c r="D1016" s="33" t="b">
        <v>0</v>
      </c>
      <c r="E1016" s="33"/>
      <c r="F1016" s="33"/>
      <c r="G1016">
        <f>IF(getRGB1($C1016)="FFFFFF",0,1)+IF(getRGB1($D1016)="FFFFFF",0,2)+IF(getRGB1($E1016)="FFFFFF",0,3)+IF(getRGB1($F1016)="FFFFFF",0,4)</f>
        <v>1</v>
      </c>
    </row>
    <row r="1017" spans="1:7" ht="71.25">
      <c r="A1017" t="s">
        <v>8677</v>
      </c>
      <c r="B1017" s="33" t="s">
        <v>8703</v>
      </c>
      <c r="C1017" s="33" t="s">
        <v>633</v>
      </c>
      <c r="D1017" s="33" t="s">
        <v>634</v>
      </c>
      <c r="E1017" s="34" t="s">
        <v>635</v>
      </c>
      <c r="F1017" s="33" t="s">
        <v>61</v>
      </c>
      <c r="G1017">
        <f>IF(getRGB1($C1017)="FFFFFF",0,1)+IF(getRGB1($D1017)="FFFFFF",0,2)+IF(getRGB1($E1017)="FFFFFF",0,3)+IF(getRGB1($F1017)="FFFFFF",0,4)</f>
        <v>3</v>
      </c>
    </row>
    <row r="1018" spans="1:7" ht="57">
      <c r="A1018" t="s">
        <v>8677</v>
      </c>
      <c r="B1018" s="33" t="s">
        <v>8754</v>
      </c>
      <c r="C1018" s="34" t="b">
        <v>1</v>
      </c>
      <c r="D1018" s="33" t="b">
        <v>0</v>
      </c>
      <c r="E1018" s="33"/>
      <c r="F1018" s="33"/>
      <c r="G1018">
        <f>IF(getRGB1($C1018)="FFFFFF",0,1)+IF(getRGB1($D1018)="FFFFFF",0,2)+IF(getRGB1($E1018)="FFFFFF",0,3)+IF(getRGB1($F1018)="FFFFFF",0,4)</f>
        <v>1</v>
      </c>
    </row>
    <row r="1019" spans="1:7" ht="185.25">
      <c r="A1019" t="s">
        <v>8677</v>
      </c>
      <c r="B1019" s="33" t="s">
        <v>637</v>
      </c>
      <c r="C1019" s="33" t="s">
        <v>638</v>
      </c>
      <c r="D1019" s="34" t="s">
        <v>639</v>
      </c>
      <c r="E1019" s="33" t="s">
        <v>640</v>
      </c>
      <c r="F1019" s="33" t="s">
        <v>61</v>
      </c>
      <c r="G1019">
        <f>IF(getRGB1($C1019)="FFFFFF",0,1)+IF(getRGB1($D1019)="FFFFFF",0,2)+IF(getRGB1($E1019)="FFFFFF",0,3)+IF(getRGB1($F1019)="FFFFFF",0,4)</f>
        <v>2</v>
      </c>
    </row>
    <row r="1020" spans="1:7" ht="71.25">
      <c r="A1020" t="s">
        <v>8677</v>
      </c>
      <c r="B1020" s="33" t="s">
        <v>641</v>
      </c>
      <c r="C1020" s="34" t="b">
        <v>1</v>
      </c>
      <c r="D1020" s="33" t="b">
        <v>0</v>
      </c>
      <c r="E1020" s="33"/>
      <c r="F1020" s="33"/>
      <c r="G1020">
        <f>IF(getRGB1($C1020)="FFFFFF",0,1)+IF(getRGB1($D1020)="FFFFFF",0,2)+IF(getRGB1($E1020)="FFFFFF",0,3)+IF(getRGB1($F1020)="FFFFFF",0,4)</f>
        <v>1</v>
      </c>
    </row>
    <row r="1021" spans="1:7" ht="42.75">
      <c r="A1021" t="s">
        <v>8677</v>
      </c>
      <c r="B1021" s="37" t="s">
        <v>642</v>
      </c>
      <c r="C1021" s="34" t="s">
        <v>643</v>
      </c>
      <c r="D1021" s="33" t="s">
        <v>644</v>
      </c>
      <c r="E1021" s="33" t="s">
        <v>645</v>
      </c>
      <c r="F1021" s="33" t="s">
        <v>66</v>
      </c>
      <c r="G1021">
        <f>IF(getRGB1($C1021)="FFFFFF",0,1)+IF(getRGB1($D1021)="FFFFFF",0,2)+IF(getRGB1($E1021)="FFFFFF",0,3)+IF(getRGB1($F1021)="FFFFFF",0,4)</f>
        <v>1</v>
      </c>
    </row>
    <row r="1022" spans="1:7" ht="213.75">
      <c r="A1022" t="s">
        <v>8677</v>
      </c>
      <c r="B1022" s="33" t="s">
        <v>646</v>
      </c>
      <c r="C1022" s="33" t="s">
        <v>647</v>
      </c>
      <c r="D1022" s="34" t="s">
        <v>648</v>
      </c>
      <c r="E1022" s="33" t="s">
        <v>649</v>
      </c>
      <c r="F1022" s="33" t="s">
        <v>61</v>
      </c>
      <c r="G1022">
        <f>IF(getRGB1($C1022)="FFFFFF",0,1)+IF(getRGB1($D1022)="FFFFFF",0,2)+IF(getRGB1($E1022)="FFFFFF",0,3)+IF(getRGB1($F1022)="FFFFFF",0,4)</f>
        <v>2</v>
      </c>
    </row>
    <row r="1023" spans="1:7" ht="71.25">
      <c r="A1023" t="s">
        <v>8677</v>
      </c>
      <c r="B1023" s="33" t="s">
        <v>650</v>
      </c>
      <c r="C1023" s="34" t="s">
        <v>651</v>
      </c>
      <c r="D1023" s="33" t="s">
        <v>652</v>
      </c>
      <c r="E1023" s="33" t="s">
        <v>653</v>
      </c>
      <c r="F1023" s="33" t="s">
        <v>61</v>
      </c>
      <c r="G1023">
        <f>IF(getRGB1($C1023)="FFFFFF",0,1)+IF(getRGB1($D1023)="FFFFFF",0,2)+IF(getRGB1($E1023)="FFFFFF",0,3)+IF(getRGB1($F1023)="FFFFFF",0,4)</f>
        <v>1</v>
      </c>
    </row>
    <row r="1024" spans="1:7" ht="114">
      <c r="A1024" t="s">
        <v>8677</v>
      </c>
      <c r="B1024" s="33" t="s">
        <v>654</v>
      </c>
      <c r="C1024" s="33" t="s">
        <v>655</v>
      </c>
      <c r="D1024" s="34" t="s">
        <v>656</v>
      </c>
      <c r="E1024" s="33" t="s">
        <v>657</v>
      </c>
      <c r="F1024" s="33" t="s">
        <v>61</v>
      </c>
      <c r="G1024">
        <f>IF(getRGB1($C1024)="FFFFFF",0,1)+IF(getRGB1($D1024)="FFFFFF",0,2)+IF(getRGB1($E1024)="FFFFFF",0,3)+IF(getRGB1($F1024)="FFFFFF",0,4)</f>
        <v>2</v>
      </c>
    </row>
    <row r="1025" spans="1:7" ht="99.75">
      <c r="A1025" t="s">
        <v>8677</v>
      </c>
      <c r="B1025" s="33" t="s">
        <v>658</v>
      </c>
      <c r="C1025" s="33" t="s">
        <v>659</v>
      </c>
      <c r="D1025" s="33" t="s">
        <v>660</v>
      </c>
      <c r="E1025" s="34" t="s">
        <v>661</v>
      </c>
      <c r="F1025" s="33" t="s">
        <v>61</v>
      </c>
      <c r="G1025">
        <f>IF(getRGB1($C1025)="FFFFFF",0,1)+IF(getRGB1($D1025)="FFFFFF",0,2)+IF(getRGB1($E1025)="FFFFFF",0,3)+IF(getRGB1($F1025)="FFFFFF",0,4)</f>
        <v>3</v>
      </c>
    </row>
    <row r="1026" spans="1:7" ht="42.75">
      <c r="A1026" t="s">
        <v>8677</v>
      </c>
      <c r="B1026" s="33" t="s">
        <v>662</v>
      </c>
      <c r="C1026" s="38" t="s">
        <v>663</v>
      </c>
      <c r="D1026" s="34" t="s">
        <v>664</v>
      </c>
      <c r="E1026" s="33" t="s">
        <v>665</v>
      </c>
      <c r="F1026" s="33" t="s">
        <v>61</v>
      </c>
      <c r="G1026">
        <f>IF(getRGB1($C1026)="FFFFFF",0,1)+IF(getRGB1($D1026)="FFFFFF",0,2)+IF(getRGB1($E1026)="FFFFFF",0,3)+IF(getRGB1($F1026)="FFFFFF",0,4)</f>
        <v>2</v>
      </c>
    </row>
    <row r="1027" spans="1:7" ht="42.75">
      <c r="A1027" t="s">
        <v>8677</v>
      </c>
      <c r="B1027" s="33" t="s">
        <v>666</v>
      </c>
      <c r="C1027" s="33" t="s">
        <v>667</v>
      </c>
      <c r="D1027" s="34" t="s">
        <v>668</v>
      </c>
      <c r="E1027" s="33" t="s">
        <v>669</v>
      </c>
      <c r="F1027" s="33" t="s">
        <v>61</v>
      </c>
      <c r="G1027">
        <f>IF(getRGB1($C1027)="FFFFFF",0,1)+IF(getRGB1($D1027)="FFFFFF",0,2)+IF(getRGB1($E1027)="FFFFFF",0,3)+IF(getRGB1($F1027)="FFFFFF",0,4)</f>
        <v>2</v>
      </c>
    </row>
    <row r="1028" spans="1:7" ht="28.5">
      <c r="A1028" t="s">
        <v>8677</v>
      </c>
      <c r="B1028" s="578" t="s">
        <v>670</v>
      </c>
      <c r="C1028" s="578">
        <v>12</v>
      </c>
      <c r="D1028" s="579">
        <v>6</v>
      </c>
      <c r="E1028" s="578">
        <v>4</v>
      </c>
      <c r="F1028" s="578">
        <v>16</v>
      </c>
      <c r="G1028">
        <f>IF(getRGB1($C1028)="FFFFFF",0,1)+IF(getRGB1($D1028)="FFFFFF",0,2)+IF(getRGB1($E1028)="FFFFFF",0,3)+IF(getRGB1($F1028)="FFFFFF",0,4)</f>
        <v>2</v>
      </c>
    </row>
    <row r="1029" spans="1:7" ht="99.75">
      <c r="A1029" t="s">
        <v>8677</v>
      </c>
      <c r="B1029" s="580" t="s">
        <v>671</v>
      </c>
      <c r="C1029" s="580" t="s">
        <v>672</v>
      </c>
      <c r="D1029" s="580" t="s">
        <v>673</v>
      </c>
      <c r="E1029" s="580" t="s">
        <v>674</v>
      </c>
      <c r="F1029" s="581" t="s">
        <v>675</v>
      </c>
      <c r="G1029">
        <f>IF(getRGB1($C1029)="FFFFFF",0,1)+IF(getRGB1($D1029)="FFFFFF",0,2)+IF(getRGB1($E1029)="FFFFFF",0,3)+IF(getRGB1($F1029)="FFFFFF",0,4)</f>
        <v>4</v>
      </c>
    </row>
    <row r="1030" spans="1:7" ht="57">
      <c r="A1030" t="s">
        <v>8677</v>
      </c>
      <c r="B1030" s="33" t="s">
        <v>676</v>
      </c>
      <c r="C1030" s="33" t="s">
        <v>677</v>
      </c>
      <c r="D1030" s="34" t="s">
        <v>678</v>
      </c>
      <c r="E1030" s="33" t="s">
        <v>679</v>
      </c>
      <c r="F1030" s="33" t="s">
        <v>61</v>
      </c>
      <c r="G1030">
        <f>IF(getRGB1($C1030)="FFFFFF",0,1)+IF(getRGB1($D1030)="FFFFFF",0,2)+IF(getRGB1($E1030)="FFFFFF",0,3)+IF(getRGB1($F1030)="FFFFFF",0,4)</f>
        <v>2</v>
      </c>
    </row>
    <row r="1031" spans="1:7" ht="85.5">
      <c r="A1031" t="s">
        <v>8677</v>
      </c>
      <c r="B1031" s="33" t="s">
        <v>680</v>
      </c>
      <c r="C1031" s="33" t="s">
        <v>681</v>
      </c>
      <c r="D1031" s="33" t="s">
        <v>682</v>
      </c>
      <c r="E1031" s="34" t="s">
        <v>683</v>
      </c>
      <c r="F1031" s="33" t="s">
        <v>684</v>
      </c>
      <c r="G1031">
        <f>IF(getRGB1($C1031)="FFFFFF",0,1)+IF(getRGB1($D1031)="FFFFFF",0,2)+IF(getRGB1($E1031)="FFFFFF",0,3)+IF(getRGB1($F1031)="FFFFFF",0,4)</f>
        <v>3</v>
      </c>
    </row>
    <row r="1032" spans="1:7" ht="71.25">
      <c r="A1032" t="s">
        <v>8677</v>
      </c>
      <c r="B1032" s="37" t="s">
        <v>685</v>
      </c>
      <c r="C1032" s="38" t="s">
        <v>664</v>
      </c>
      <c r="D1032" s="34" t="s">
        <v>8704</v>
      </c>
      <c r="E1032" s="33" t="s">
        <v>8705</v>
      </c>
      <c r="F1032" s="33" t="s">
        <v>8706</v>
      </c>
      <c r="G1032">
        <f>IF(getRGB1($C1032)="FFFFFF",0,1)+IF(getRGB1($D1032)="FFFFFF",0,2)+IF(getRGB1($E1032)="FFFFFF",0,3)+IF(getRGB1($F1032)="FFFFFF",0,4)</f>
        <v>2</v>
      </c>
    </row>
    <row r="1033" spans="1:7" ht="85.5">
      <c r="A1033" t="s">
        <v>8677</v>
      </c>
      <c r="B1033" s="582" t="s">
        <v>689</v>
      </c>
      <c r="C1033" s="583" t="s">
        <v>690</v>
      </c>
      <c r="D1033" s="579" t="s">
        <v>691</v>
      </c>
      <c r="E1033" s="578" t="s">
        <v>692</v>
      </c>
      <c r="F1033" s="578" t="s">
        <v>693</v>
      </c>
      <c r="G1033">
        <f>IF(getRGB1($C1033)="FFFFFF",0,1)+IF(getRGB1($D1033)="FFFFFF",0,2)+IF(getRGB1($E1033)="FFFFFF",0,3)+IF(getRGB1($F1033)="FFFFFF",0,4)</f>
        <v>2</v>
      </c>
    </row>
    <row r="1034" spans="1:7" ht="71.25">
      <c r="A1034" t="s">
        <v>8677</v>
      </c>
      <c r="B1034" s="584" t="s">
        <v>694</v>
      </c>
      <c r="C1034" s="579" t="s">
        <v>690</v>
      </c>
      <c r="D1034" s="578" t="s">
        <v>695</v>
      </c>
      <c r="E1034" s="578" t="s">
        <v>696</v>
      </c>
      <c r="F1034" s="578" t="s">
        <v>697</v>
      </c>
      <c r="G1034">
        <f>IF(getRGB1($C1034)="FFFFFF",0,1)+IF(getRGB1($D1034)="FFFFFF",0,2)+IF(getRGB1($E1034)="FFFFFF",0,3)+IF(getRGB1($F1034)="FFFFFF",0,4)</f>
        <v>1</v>
      </c>
    </row>
    <row r="1035" spans="1:7" ht="28.5">
      <c r="A1035" t="s">
        <v>8677</v>
      </c>
      <c r="B1035" s="37" t="s">
        <v>698</v>
      </c>
      <c r="C1035" s="33" t="s">
        <v>699</v>
      </c>
      <c r="D1035" s="34" t="s">
        <v>700</v>
      </c>
      <c r="E1035" s="33" t="s">
        <v>701</v>
      </c>
      <c r="F1035" s="33" t="s">
        <v>702</v>
      </c>
      <c r="G1035">
        <f>IF(getRGB1($C1035)="FFFFFF",0,1)+IF(getRGB1($D1035)="FFFFFF",0,2)+IF(getRGB1($E1035)="FFFFFF",0,3)+IF(getRGB1($F1035)="FFFFFF",0,4)</f>
        <v>2</v>
      </c>
    </row>
    <row r="1036" spans="1:7" ht="42.75">
      <c r="A1036" t="s">
        <v>8677</v>
      </c>
      <c r="B1036" s="37" t="s">
        <v>703</v>
      </c>
      <c r="C1036" s="38">
        <v>13</v>
      </c>
      <c r="D1036" s="33">
        <v>14</v>
      </c>
      <c r="E1036" s="34">
        <v>15</v>
      </c>
      <c r="F1036" s="33">
        <v>16</v>
      </c>
      <c r="G1036">
        <f>IF(getRGB1($C1036)="FFFFFF",0,1)+IF(getRGB1($D1036)="FFFFFF",0,2)+IF(getRGB1($E1036)="FFFFFF",0,3)+IF(getRGB1($F1036)="FFFFFF",0,4)</f>
        <v>3</v>
      </c>
    </row>
    <row r="1037" spans="1:7" ht="57">
      <c r="A1037" t="s">
        <v>8677</v>
      </c>
      <c r="B1037" s="582" t="s">
        <v>704</v>
      </c>
      <c r="C1037" s="585" t="s">
        <v>705</v>
      </c>
      <c r="D1037" s="33" t="s">
        <v>706</v>
      </c>
      <c r="E1037" s="33" t="s">
        <v>707</v>
      </c>
      <c r="F1037" s="34" t="s">
        <v>708</v>
      </c>
      <c r="G1037">
        <f>IF(getRGB1($C1037)="FFFFFF",0,1)+IF(getRGB1($D1037)="FFFFFF",0,2)+IF(getRGB1($E1037)="FFFFFF",0,3)+IF(getRGB1($F1037)="FFFFFF",0,4)</f>
        <v>4</v>
      </c>
    </row>
    <row r="1038" spans="1:7" ht="28.5">
      <c r="A1038" t="s">
        <v>8677</v>
      </c>
      <c r="B1038" s="37" t="s">
        <v>709</v>
      </c>
      <c r="C1038" s="38" t="s">
        <v>710</v>
      </c>
      <c r="D1038" s="33" t="s">
        <v>711</v>
      </c>
      <c r="E1038" s="34" t="s">
        <v>712</v>
      </c>
      <c r="F1038" s="33" t="s">
        <v>61</v>
      </c>
      <c r="G1038">
        <f>IF(getRGB1($C1038)="FFFFFF",0,1)+IF(getRGB1($D1038)="FFFFFF",0,2)+IF(getRGB1($E1038)="FFFFFF",0,3)+IF(getRGB1($F1038)="FFFFFF",0,4)</f>
        <v>3</v>
      </c>
    </row>
    <row r="1039" spans="1:7" ht="71.25">
      <c r="A1039" t="s">
        <v>8677</v>
      </c>
      <c r="B1039" s="582" t="s">
        <v>8755</v>
      </c>
      <c r="C1039" s="38" t="s">
        <v>714</v>
      </c>
      <c r="D1039" s="38" t="s">
        <v>715</v>
      </c>
      <c r="E1039" s="38" t="s">
        <v>716</v>
      </c>
      <c r="F1039" s="34" t="s">
        <v>717</v>
      </c>
      <c r="G1039">
        <f>IF(getRGB1($C1039)="FFFFFF",0,1)+IF(getRGB1($D1039)="FFFFFF",0,2)+IF(getRGB1($E1039)="FFFFFF",0,3)+IF(getRGB1($F1039)="FFFFFF",0,4)</f>
        <v>4</v>
      </c>
    </row>
    <row r="1040" spans="1:7" ht="57">
      <c r="A1040" t="s">
        <v>8677</v>
      </c>
      <c r="B1040" s="37" t="s">
        <v>718</v>
      </c>
      <c r="C1040" s="34" t="s">
        <v>714</v>
      </c>
      <c r="D1040" s="38" t="s">
        <v>719</v>
      </c>
      <c r="E1040" s="38" t="s">
        <v>716</v>
      </c>
      <c r="F1040" s="33" t="s">
        <v>717</v>
      </c>
      <c r="G1040">
        <f>IF(getRGB1($C1040)="FFFFFF",0,1)+IF(getRGB1($D1040)="FFFFFF",0,2)+IF(getRGB1($E1040)="FFFFFF",0,3)+IF(getRGB1($F1040)="FFFFFF",0,4)</f>
        <v>1</v>
      </c>
    </row>
    <row r="1041" spans="1:7" ht="38.25">
      <c r="A1041" t="s">
        <v>8677</v>
      </c>
      <c r="B1041" s="586" t="s">
        <v>720</v>
      </c>
      <c r="C1041" s="40" t="s">
        <v>721</v>
      </c>
      <c r="D1041" s="41" t="s">
        <v>722</v>
      </c>
      <c r="E1041" s="41" t="s">
        <v>723</v>
      </c>
      <c r="F1041" s="42" t="s">
        <v>25</v>
      </c>
      <c r="G1041">
        <f>IF(getRGB1($C1041)="FFFFFF",0,1)+IF(getRGB1($D1041)="FFFFFF",0,2)+IF(getRGB1($E1041)="FFFFFF",0,3)+IF(getRGB1($F1041)="FFFFFF",0,4)</f>
        <v>1</v>
      </c>
    </row>
    <row r="1042" spans="1:7" ht="25.5">
      <c r="A1042" t="s">
        <v>8677</v>
      </c>
      <c r="B1042" s="586" t="s">
        <v>724</v>
      </c>
      <c r="C1042" s="40" t="s">
        <v>725</v>
      </c>
      <c r="D1042" s="41" t="s">
        <v>726</v>
      </c>
      <c r="E1042" s="41" t="s">
        <v>727</v>
      </c>
      <c r="F1042" s="42" t="s">
        <v>66</v>
      </c>
      <c r="G1042">
        <f>IF(getRGB1($C1042)="FFFFFF",0,1)+IF(getRGB1($D1042)="FFFFFF",0,2)+IF(getRGB1($E1042)="FFFFFF",0,3)+IF(getRGB1($F1042)="FFFFFF",0,4)</f>
        <v>1</v>
      </c>
    </row>
    <row r="1043" spans="1:7" ht="38.25">
      <c r="A1043" t="s">
        <v>8677</v>
      </c>
      <c r="B1043" s="586" t="s">
        <v>728</v>
      </c>
      <c r="C1043" s="40" t="s">
        <v>729</v>
      </c>
      <c r="D1043" s="41" t="s">
        <v>730</v>
      </c>
      <c r="E1043" s="41" t="s">
        <v>731</v>
      </c>
      <c r="F1043" s="42" t="s">
        <v>732</v>
      </c>
      <c r="G1043">
        <f>IF(getRGB1($C1043)="FFFFFF",0,1)+IF(getRGB1($D1043)="FFFFFF",0,2)+IF(getRGB1($E1043)="FFFFFF",0,3)+IF(getRGB1($F1043)="FFFFFF",0,4)</f>
        <v>1</v>
      </c>
    </row>
    <row r="1044" spans="1:7" ht="63.75">
      <c r="A1044" t="s">
        <v>8677</v>
      </c>
      <c r="B1044" s="586" t="s">
        <v>733</v>
      </c>
      <c r="C1044" s="43" t="s">
        <v>734</v>
      </c>
      <c r="D1044" s="44" t="s">
        <v>735</v>
      </c>
      <c r="E1044" s="41" t="s">
        <v>736</v>
      </c>
      <c r="F1044" s="42" t="s">
        <v>737</v>
      </c>
      <c r="G1044">
        <f>IF(getRGB1($C1044)="FFFFFF",0,1)+IF(getRGB1($D1044)="FFFFFF",0,2)+IF(getRGB1($E1044)="FFFFFF",0,3)+IF(getRGB1($F1044)="FFFFFF",0,4)</f>
        <v>1</v>
      </c>
    </row>
    <row r="1045" spans="1:7" ht="51">
      <c r="A1045" t="s">
        <v>8677</v>
      </c>
      <c r="B1045" s="586" t="s">
        <v>738</v>
      </c>
      <c r="C1045" s="43" t="s">
        <v>739</v>
      </c>
      <c r="D1045" s="41" t="s">
        <v>736</v>
      </c>
      <c r="E1045" s="41" t="s">
        <v>737</v>
      </c>
      <c r="F1045" s="42" t="s">
        <v>740</v>
      </c>
      <c r="G1045">
        <f>IF(getRGB1($C1045)="FFFFFF",0,1)+IF(getRGB1($D1045)="FFFFFF",0,2)+IF(getRGB1($E1045)="FFFFFF",0,3)+IF(getRGB1($F1045)="FFFFFF",0,4)</f>
        <v>1</v>
      </c>
    </row>
    <row r="1046" spans="1:7" ht="76.5">
      <c r="A1046" t="s">
        <v>8677</v>
      </c>
      <c r="B1046" s="586" t="s">
        <v>741</v>
      </c>
      <c r="C1046" s="43" t="s">
        <v>742</v>
      </c>
      <c r="D1046" s="41" t="s">
        <v>743</v>
      </c>
      <c r="E1046" s="41" t="s">
        <v>744</v>
      </c>
      <c r="F1046" s="42" t="s">
        <v>745</v>
      </c>
      <c r="G1046">
        <f>IF(getRGB1($C1046)="FFFFFF",0,1)+IF(getRGB1($D1046)="FFFFFF",0,2)+IF(getRGB1($E1046)="FFFFFF",0,3)+IF(getRGB1($F1046)="FFFFFF",0,4)</f>
        <v>1</v>
      </c>
    </row>
    <row r="1047" spans="1:7">
      <c r="A1047" t="s">
        <v>8677</v>
      </c>
      <c r="B1047" s="586" t="s">
        <v>746</v>
      </c>
      <c r="C1047" s="43" t="s">
        <v>747</v>
      </c>
      <c r="D1047" s="41" t="s">
        <v>748</v>
      </c>
      <c r="E1047" s="41" t="s">
        <v>749</v>
      </c>
      <c r="F1047" s="42" t="s">
        <v>750</v>
      </c>
      <c r="G1047">
        <f>IF(getRGB1($C1047)="FFFFFF",0,1)+IF(getRGB1($D1047)="FFFFFF",0,2)+IF(getRGB1($E1047)="FFFFFF",0,3)+IF(getRGB1($F1047)="FFFFFF",0,4)</f>
        <v>1</v>
      </c>
    </row>
    <row r="1048" spans="1:7" ht="38.25">
      <c r="A1048" t="s">
        <v>8677</v>
      </c>
      <c r="B1048" s="39" t="s">
        <v>751</v>
      </c>
      <c r="C1048" s="43" t="s">
        <v>752</v>
      </c>
      <c r="D1048" s="41" t="s">
        <v>753</v>
      </c>
      <c r="E1048" s="41" t="s">
        <v>137</v>
      </c>
      <c r="F1048" s="42" t="s">
        <v>174</v>
      </c>
      <c r="G1048">
        <f>IF(getRGB1($C1048)="FFFFFF",0,1)+IF(getRGB1($D1048)="FFFFFF",0,2)+IF(getRGB1($E1048)="FFFFFF",0,3)+IF(getRGB1($F1048)="FFFFFF",0,4)</f>
        <v>1</v>
      </c>
    </row>
    <row r="1049" spans="1:7" ht="38.25">
      <c r="A1049" t="s">
        <v>8677</v>
      </c>
      <c r="B1049" s="586" t="s">
        <v>754</v>
      </c>
      <c r="C1049" s="40" t="s">
        <v>755</v>
      </c>
      <c r="D1049" s="41" t="s">
        <v>756</v>
      </c>
      <c r="E1049" s="41" t="s">
        <v>757</v>
      </c>
      <c r="F1049" s="42" t="s">
        <v>66</v>
      </c>
      <c r="G1049">
        <f>IF(getRGB1($C1049)="FFFFFF",0,1)+IF(getRGB1($D1049)="FFFFFF",0,2)+IF(getRGB1($E1049)="FFFFFF",0,3)+IF(getRGB1($F1049)="FFFFFF",0,4)</f>
        <v>1</v>
      </c>
    </row>
    <row r="1050" spans="1:7" ht="51">
      <c r="A1050" t="s">
        <v>8677</v>
      </c>
      <c r="B1050" s="586" t="s">
        <v>758</v>
      </c>
      <c r="C1050" s="40">
        <v>48</v>
      </c>
      <c r="D1050" s="41">
        <v>250</v>
      </c>
      <c r="E1050" s="41">
        <v>40</v>
      </c>
      <c r="F1050" s="42">
        <v>0</v>
      </c>
      <c r="G1050">
        <f>IF(getRGB1($C1050)="FFFFFF",0,1)+IF(getRGB1($D1050)="FFFFFF",0,2)+IF(getRGB1($E1050)="FFFFFF",0,3)+IF(getRGB1($F1050)="FFFFFF",0,4)</f>
        <v>1</v>
      </c>
    </row>
    <row r="1051" spans="1:7" ht="38.25">
      <c r="A1051" t="s">
        <v>8677</v>
      </c>
      <c r="B1051" s="586" t="s">
        <v>759</v>
      </c>
      <c r="C1051" s="40" t="s">
        <v>755</v>
      </c>
      <c r="D1051" s="41" t="s">
        <v>756</v>
      </c>
      <c r="E1051" s="41" t="s">
        <v>757</v>
      </c>
      <c r="F1051" s="42" t="s">
        <v>66</v>
      </c>
      <c r="G1051">
        <f>IF(getRGB1($C1051)="FFFFFF",0,1)+IF(getRGB1($D1051)="FFFFFF",0,2)+IF(getRGB1($E1051)="FFFFFF",0,3)+IF(getRGB1($F1051)="FFFFFF",0,4)</f>
        <v>1</v>
      </c>
    </row>
    <row r="1052" spans="1:7" ht="51">
      <c r="A1052" t="s">
        <v>8677</v>
      </c>
      <c r="B1052" s="586" t="s">
        <v>760</v>
      </c>
      <c r="C1052" s="40">
        <v>48</v>
      </c>
      <c r="D1052" s="41">
        <v>250</v>
      </c>
      <c r="E1052" s="41">
        <v>40</v>
      </c>
      <c r="F1052" s="42">
        <v>0</v>
      </c>
      <c r="G1052">
        <f>IF(getRGB1($C1052)="FFFFFF",0,1)+IF(getRGB1($D1052)="FFFFFF",0,2)+IF(getRGB1($E1052)="FFFFFF",0,3)+IF(getRGB1($F1052)="FFFFFF",0,4)</f>
        <v>1</v>
      </c>
    </row>
    <row r="1053" spans="1:7" ht="63.75">
      <c r="A1053" t="s">
        <v>8677</v>
      </c>
      <c r="B1053" s="586" t="s">
        <v>761</v>
      </c>
      <c r="C1053" s="40" t="s">
        <v>762</v>
      </c>
      <c r="D1053" s="41" t="s">
        <v>763</v>
      </c>
      <c r="E1053" s="41" t="s">
        <v>764</v>
      </c>
      <c r="F1053" s="42" t="s">
        <v>66</v>
      </c>
      <c r="G1053">
        <f>IF(getRGB1($C1053)="FFFFFF",0,1)+IF(getRGB1($D1053)="FFFFFF",0,2)+IF(getRGB1($E1053)="FFFFFF",0,3)+IF(getRGB1($F1053)="FFFFFF",0,4)</f>
        <v>1</v>
      </c>
    </row>
    <row r="1054" spans="1:7" ht="51">
      <c r="A1054" t="s">
        <v>8677</v>
      </c>
      <c r="B1054" s="586" t="s">
        <v>765</v>
      </c>
      <c r="C1054" s="40" t="s">
        <v>762</v>
      </c>
      <c r="D1054" s="41" t="s">
        <v>763</v>
      </c>
      <c r="E1054" s="41" t="s">
        <v>764</v>
      </c>
      <c r="F1054" s="42" t="s">
        <v>66</v>
      </c>
      <c r="G1054">
        <f>IF(getRGB1($C1054)="FFFFFF",0,1)+IF(getRGB1($D1054)="FFFFFF",0,2)+IF(getRGB1($E1054)="FFFFFF",0,3)+IF(getRGB1($F1054)="FFFFFF",0,4)</f>
        <v>1</v>
      </c>
    </row>
    <row r="1055" spans="1:7" ht="51">
      <c r="A1055" t="s">
        <v>8677</v>
      </c>
      <c r="B1055" s="586" t="s">
        <v>766</v>
      </c>
      <c r="C1055" s="40" t="b">
        <v>1</v>
      </c>
      <c r="D1055" s="41" t="b">
        <v>0</v>
      </c>
      <c r="E1055" s="41"/>
      <c r="F1055" s="42"/>
      <c r="G1055">
        <f>IF(getRGB1($C1055)="FFFFFF",0,1)+IF(getRGB1($D1055)="FFFFFF",0,2)+IF(getRGB1($E1055)="FFFFFF",0,3)+IF(getRGB1($F1055)="FFFFFF",0,4)</f>
        <v>1</v>
      </c>
    </row>
    <row r="1056" spans="1:7" ht="76.5">
      <c r="A1056" t="s">
        <v>8677</v>
      </c>
      <c r="B1056" s="39" t="s">
        <v>767</v>
      </c>
      <c r="C1056" s="43" t="s">
        <v>768</v>
      </c>
      <c r="D1056" s="44" t="s">
        <v>769</v>
      </c>
      <c r="E1056" s="44" t="s">
        <v>770</v>
      </c>
      <c r="F1056" s="44" t="s">
        <v>771</v>
      </c>
      <c r="G1056">
        <f>IF(getRGB1($C1056)="FFFFFF",0,1)+IF(getRGB1($D1056)="FFFFFF",0,2)+IF(getRGB1($E1056)="FFFFFF",0,3)+IF(getRGB1($F1056)="FFFFFF",0,4)</f>
        <v>1</v>
      </c>
    </row>
    <row r="1057" spans="1:7" ht="76.5">
      <c r="A1057" t="s">
        <v>8677</v>
      </c>
      <c r="B1057" s="39" t="s">
        <v>772</v>
      </c>
      <c r="C1057" s="43" t="s">
        <v>773</v>
      </c>
      <c r="D1057" s="44" t="s">
        <v>769</v>
      </c>
      <c r="E1057" s="44" t="s">
        <v>770</v>
      </c>
      <c r="F1057" s="44" t="s">
        <v>771</v>
      </c>
      <c r="G1057">
        <f>IF(getRGB1($C1057)="FFFFFF",0,1)+IF(getRGB1($D1057)="FFFFFF",0,2)+IF(getRGB1($E1057)="FFFFFF",0,3)+IF(getRGB1($F1057)="FFFFFF",0,4)</f>
        <v>1</v>
      </c>
    </row>
    <row r="1058" spans="1:7" ht="76.5">
      <c r="A1058" t="s">
        <v>8677</v>
      </c>
      <c r="B1058" s="39" t="s">
        <v>774</v>
      </c>
      <c r="C1058" s="43" t="s">
        <v>775</v>
      </c>
      <c r="D1058" s="41" t="s">
        <v>757</v>
      </c>
      <c r="E1058" s="41" t="s">
        <v>740</v>
      </c>
      <c r="F1058" s="42" t="s">
        <v>776</v>
      </c>
      <c r="G1058">
        <f>IF(getRGB1($C1058)="FFFFFF",0,1)+IF(getRGB1($D1058)="FFFFFF",0,2)+IF(getRGB1($E1058)="FFFFFF",0,3)+IF(getRGB1($F1058)="FFFFFF",0,4)</f>
        <v>1</v>
      </c>
    </row>
    <row r="1059" spans="1:7" ht="38.25">
      <c r="A1059" t="s">
        <v>8677</v>
      </c>
      <c r="B1059" s="39" t="s">
        <v>777</v>
      </c>
      <c r="C1059" s="43" t="s">
        <v>778</v>
      </c>
      <c r="D1059" s="41" t="s">
        <v>779</v>
      </c>
      <c r="E1059" s="41" t="s">
        <v>780</v>
      </c>
      <c r="F1059" s="42" t="s">
        <v>776</v>
      </c>
      <c r="G1059">
        <f>IF(getRGB1($C1059)="FFFFFF",0,1)+IF(getRGB1($D1059)="FFFFFF",0,2)+IF(getRGB1($E1059)="FFFFFF",0,3)+IF(getRGB1($F1059)="FFFFFF",0,4)</f>
        <v>1</v>
      </c>
    </row>
    <row r="1060" spans="1:7" ht="63.75">
      <c r="A1060" t="s">
        <v>8677</v>
      </c>
      <c r="B1060" s="39" t="s">
        <v>781</v>
      </c>
      <c r="C1060" s="43" t="s">
        <v>782</v>
      </c>
      <c r="D1060" s="44" t="s">
        <v>783</v>
      </c>
      <c r="E1060" s="44" t="s">
        <v>778</v>
      </c>
      <c r="F1060" s="42" t="s">
        <v>784</v>
      </c>
      <c r="G1060">
        <f>IF(getRGB1($C1060)="FFFFFF",0,1)+IF(getRGB1($D1060)="FFFFFF",0,2)+IF(getRGB1($E1060)="FFFFFF",0,3)+IF(getRGB1($F1060)="FFFFFF",0,4)</f>
        <v>1</v>
      </c>
    </row>
    <row r="1061" spans="1:7" ht="38.25">
      <c r="A1061" t="s">
        <v>8677</v>
      </c>
      <c r="B1061" s="39" t="s">
        <v>785</v>
      </c>
      <c r="C1061" s="43" t="s">
        <v>786</v>
      </c>
      <c r="D1061" s="44" t="s">
        <v>787</v>
      </c>
      <c r="E1061" s="44" t="s">
        <v>788</v>
      </c>
      <c r="F1061" s="44" t="s">
        <v>789</v>
      </c>
      <c r="G1061">
        <f>IF(getRGB1($C1061)="FFFFFF",0,1)+IF(getRGB1($D1061)="FFFFFF",0,2)+IF(getRGB1($E1061)="FFFFFF",0,3)+IF(getRGB1($F1061)="FFFFFF",0,4)</f>
        <v>1</v>
      </c>
    </row>
    <row r="1062" spans="1:7" ht="76.5">
      <c r="A1062" t="s">
        <v>8677</v>
      </c>
      <c r="B1062" s="39" t="s">
        <v>790</v>
      </c>
      <c r="C1062" s="43" t="s">
        <v>8707</v>
      </c>
      <c r="D1062" s="44" t="s">
        <v>8708</v>
      </c>
      <c r="E1062" s="44" t="s">
        <v>8709</v>
      </c>
      <c r="F1062" s="44" t="s">
        <v>8710</v>
      </c>
      <c r="G1062">
        <f>IF(getRGB1($C1062)="FFFFFF",0,1)+IF(getRGB1($D1062)="FFFFFF",0,2)+IF(getRGB1($E1062)="FFFFFF",0,3)+IF(getRGB1($F1062)="FFFFFF",0,4)</f>
        <v>1</v>
      </c>
    </row>
    <row r="1063" spans="1:7" ht="25.5">
      <c r="A1063" t="s">
        <v>8678</v>
      </c>
      <c r="B1063" s="136" t="s">
        <v>2278</v>
      </c>
      <c r="C1063" s="131" t="s">
        <v>993</v>
      </c>
      <c r="D1063" s="102" t="s">
        <v>995</v>
      </c>
      <c r="E1063" s="131" t="s">
        <v>2279</v>
      </c>
      <c r="F1063" s="131" t="s">
        <v>2120</v>
      </c>
      <c r="G1063">
        <f>IF(getRGB1($C1063)="FFFFFF",0,1)+IF(getRGB1($D1063)="FFFFFF",0,2)+IF(getRGB1($E1063)="FFFFFF",0,3)+IF(getRGB1($F1063)="FFFFFF",0,4)</f>
        <v>2</v>
      </c>
    </row>
    <row r="1064" spans="1:7" ht="38.25">
      <c r="A1064" t="s">
        <v>8678</v>
      </c>
      <c r="B1064" s="136" t="s">
        <v>2280</v>
      </c>
      <c r="C1064" s="131" t="s">
        <v>2281</v>
      </c>
      <c r="D1064" s="131" t="s">
        <v>2282</v>
      </c>
      <c r="E1064" s="102" t="s">
        <v>2283</v>
      </c>
      <c r="F1064" s="131" t="s">
        <v>2284</v>
      </c>
      <c r="G1064">
        <f>IF(getRGB1($C1064)="FFFFFF",0,1)+IF(getRGB1($D1064)="FFFFFF",0,2)+IF(getRGB1($E1064)="FFFFFF",0,3)+IF(getRGB1($F1064)="FFFFFF",0,4)</f>
        <v>3</v>
      </c>
    </row>
    <row r="1065" spans="1:7" ht="51">
      <c r="A1065" t="s">
        <v>8678</v>
      </c>
      <c r="B1065" s="136" t="s">
        <v>2285</v>
      </c>
      <c r="C1065" s="131" t="s">
        <v>2286</v>
      </c>
      <c r="D1065" s="102" t="s">
        <v>2287</v>
      </c>
      <c r="E1065" s="131" t="s">
        <v>2288</v>
      </c>
      <c r="F1065" s="131" t="s">
        <v>2289</v>
      </c>
      <c r="G1065">
        <f>IF(getRGB1($C1065)="FFFFFF",0,1)+IF(getRGB1($D1065)="FFFFFF",0,2)+IF(getRGB1($E1065)="FFFFFF",0,3)+IF(getRGB1($F1065)="FFFFFF",0,4)</f>
        <v>2</v>
      </c>
    </row>
    <row r="1066" spans="1:7">
      <c r="A1066" t="s">
        <v>8678</v>
      </c>
      <c r="B1066" s="136" t="s">
        <v>2290</v>
      </c>
      <c r="C1066" s="131" t="s">
        <v>2291</v>
      </c>
      <c r="D1066" s="102" t="s">
        <v>2292</v>
      </c>
      <c r="E1066" s="131" t="s">
        <v>2293</v>
      </c>
      <c r="F1066" s="131" t="s">
        <v>1000</v>
      </c>
      <c r="G1066">
        <f>IF(getRGB1($C1066)="FFFFFF",0,1)+IF(getRGB1($D1066)="FFFFFF",0,2)+IF(getRGB1($E1066)="FFFFFF",0,3)+IF(getRGB1($F1066)="FFFFFF",0,4)</f>
        <v>2</v>
      </c>
    </row>
    <row r="1067" spans="1:7">
      <c r="A1067" t="s">
        <v>8678</v>
      </c>
      <c r="B1067" s="136" t="s">
        <v>2294</v>
      </c>
      <c r="C1067" s="131" t="s">
        <v>2295</v>
      </c>
      <c r="D1067" s="131" t="s">
        <v>2296</v>
      </c>
      <c r="E1067" s="131" t="s">
        <v>2297</v>
      </c>
      <c r="F1067" s="102" t="s">
        <v>1000</v>
      </c>
      <c r="G1067">
        <f>IF(getRGB1($C1067)="FFFFFF",0,1)+IF(getRGB1($D1067)="FFFFFF",0,2)+IF(getRGB1($E1067)="FFFFFF",0,3)+IF(getRGB1($F1067)="FFFFFF",0,4)</f>
        <v>4</v>
      </c>
    </row>
    <row r="1068" spans="1:7">
      <c r="A1068" t="s">
        <v>8678</v>
      </c>
      <c r="B1068" s="136" t="s">
        <v>2298</v>
      </c>
      <c r="C1068" s="102" t="s">
        <v>2299</v>
      </c>
      <c r="D1068" s="131" t="s">
        <v>2300</v>
      </c>
      <c r="E1068" s="131" t="s">
        <v>2301</v>
      </c>
      <c r="F1068" s="131" t="s">
        <v>2302</v>
      </c>
      <c r="G1068">
        <f>IF(getRGB1($C1068)="FFFFFF",0,1)+IF(getRGB1($D1068)="FFFFFF",0,2)+IF(getRGB1($E1068)="FFFFFF",0,3)+IF(getRGB1($F1068)="FFFFFF",0,4)</f>
        <v>1</v>
      </c>
    </row>
    <row r="1069" spans="1:7" ht="38.25">
      <c r="A1069" t="s">
        <v>8678</v>
      </c>
      <c r="B1069" s="136" t="s">
        <v>2303</v>
      </c>
      <c r="C1069" s="131" t="s">
        <v>2304</v>
      </c>
      <c r="D1069" s="102" t="s">
        <v>2305</v>
      </c>
      <c r="E1069" s="131" t="s">
        <v>2306</v>
      </c>
      <c r="F1069" s="131" t="s">
        <v>2307</v>
      </c>
      <c r="G1069">
        <f>IF(getRGB1($C1069)="FFFFFF",0,1)+IF(getRGB1($D1069)="FFFFFF",0,2)+IF(getRGB1($E1069)="FFFFFF",0,3)+IF(getRGB1($F1069)="FFFFFF",0,4)</f>
        <v>2</v>
      </c>
    </row>
    <row r="1070" spans="1:7" ht="25.5">
      <c r="A1070" t="s">
        <v>8678</v>
      </c>
      <c r="B1070" s="136" t="s">
        <v>2308</v>
      </c>
      <c r="C1070" s="131" t="s">
        <v>2309</v>
      </c>
      <c r="D1070" s="131" t="s">
        <v>2310</v>
      </c>
      <c r="E1070" s="131" t="s">
        <v>2311</v>
      </c>
      <c r="F1070" s="102" t="s">
        <v>2312</v>
      </c>
      <c r="G1070">
        <f>IF(getRGB1($C1070)="FFFFFF",0,1)+IF(getRGB1($D1070)="FFFFFF",0,2)+IF(getRGB1($E1070)="FFFFFF",0,3)+IF(getRGB1($F1070)="FFFFFF",0,4)</f>
        <v>4</v>
      </c>
    </row>
    <row r="1071" spans="1:7">
      <c r="A1071" t="s">
        <v>8678</v>
      </c>
      <c r="B1071" s="136" t="s">
        <v>2313</v>
      </c>
      <c r="C1071" s="131" t="s">
        <v>2314</v>
      </c>
      <c r="D1071" s="131" t="s">
        <v>2315</v>
      </c>
      <c r="E1071" s="102" t="s">
        <v>2316</v>
      </c>
      <c r="F1071" s="131" t="s">
        <v>2317</v>
      </c>
      <c r="G1071">
        <f>IF(getRGB1($C1071)="FFFFFF",0,1)+IF(getRGB1($D1071)="FFFFFF",0,2)+IF(getRGB1($E1071)="FFFFFF",0,3)+IF(getRGB1($F1071)="FFFFFF",0,4)</f>
        <v>3</v>
      </c>
    </row>
    <row r="1072" spans="1:7" ht="38.25">
      <c r="A1072" t="s">
        <v>8678</v>
      </c>
      <c r="B1072" s="136" t="s">
        <v>2318</v>
      </c>
      <c r="C1072" s="131" t="s">
        <v>2319</v>
      </c>
      <c r="D1072" s="131" t="s">
        <v>2320</v>
      </c>
      <c r="E1072" s="102" t="s">
        <v>2321</v>
      </c>
      <c r="F1072" s="131" t="s">
        <v>2322</v>
      </c>
      <c r="G1072">
        <f>IF(getRGB1($C1072)="FFFFFF",0,1)+IF(getRGB1($D1072)="FFFFFF",0,2)+IF(getRGB1($E1072)="FFFFFF",0,3)+IF(getRGB1($F1072)="FFFFFF",0,4)</f>
        <v>3</v>
      </c>
    </row>
    <row r="1073" spans="1:7" ht="25.5">
      <c r="A1073" t="s">
        <v>8678</v>
      </c>
      <c r="B1073" s="136" t="s">
        <v>2323</v>
      </c>
      <c r="C1073" s="131" t="s">
        <v>2324</v>
      </c>
      <c r="D1073" s="131" t="s">
        <v>2325</v>
      </c>
      <c r="E1073" s="102" t="s">
        <v>2326</v>
      </c>
      <c r="F1073" s="131" t="s">
        <v>2327</v>
      </c>
      <c r="G1073">
        <f>IF(getRGB1($C1073)="FFFFFF",0,1)+IF(getRGB1($D1073)="FFFFFF",0,2)+IF(getRGB1($E1073)="FFFFFF",0,3)+IF(getRGB1($F1073)="FFFFFF",0,4)</f>
        <v>3</v>
      </c>
    </row>
    <row r="1074" spans="1:7" ht="38.25">
      <c r="A1074" t="s">
        <v>8678</v>
      </c>
      <c r="B1074" s="136" t="s">
        <v>2328</v>
      </c>
      <c r="C1074" s="131" t="s">
        <v>2324</v>
      </c>
      <c r="D1074" s="102" t="s">
        <v>2325</v>
      </c>
      <c r="E1074" s="131" t="s">
        <v>2326</v>
      </c>
      <c r="F1074" s="131" t="s">
        <v>2327</v>
      </c>
      <c r="G1074">
        <f>IF(getRGB1($C1074)="FFFFFF",0,1)+IF(getRGB1($D1074)="FFFFFF",0,2)+IF(getRGB1($E1074)="FFFFFF",0,3)+IF(getRGB1($F1074)="FFFFFF",0,4)</f>
        <v>2</v>
      </c>
    </row>
    <row r="1075" spans="1:7" ht="51">
      <c r="A1075" t="s">
        <v>8678</v>
      </c>
      <c r="B1075" s="136" t="s">
        <v>2329</v>
      </c>
      <c r="C1075" s="131" t="s">
        <v>2330</v>
      </c>
      <c r="D1075" s="102" t="s">
        <v>2331</v>
      </c>
      <c r="E1075" s="131" t="s">
        <v>2332</v>
      </c>
      <c r="F1075" s="131" t="s">
        <v>2333</v>
      </c>
      <c r="G1075">
        <f>IF(getRGB1($C1075)="FFFFFF",0,1)+IF(getRGB1($D1075)="FFFFFF",0,2)+IF(getRGB1($E1075)="FFFFFF",0,3)+IF(getRGB1($F1075)="FFFFFF",0,4)</f>
        <v>2</v>
      </c>
    </row>
    <row r="1076" spans="1:7" ht="25.5">
      <c r="A1076" t="s">
        <v>8678</v>
      </c>
      <c r="B1076" s="136" t="s">
        <v>2334</v>
      </c>
      <c r="C1076" s="137" t="s">
        <v>2335</v>
      </c>
      <c r="D1076" s="138" t="s">
        <v>1086</v>
      </c>
      <c r="E1076" s="139" t="s">
        <v>2336</v>
      </c>
      <c r="F1076" s="139" t="s">
        <v>2337</v>
      </c>
      <c r="G1076">
        <f>IF(getRGB1($C1076)="FFFFFF",0,1)+IF(getRGB1($D1076)="FFFFFF",0,2)+IF(getRGB1($E1076)="FFFFFF",0,3)+IF(getRGB1($F1076)="FFFFFF",0,4)</f>
        <v>2</v>
      </c>
    </row>
    <row r="1077" spans="1:7" ht="51">
      <c r="A1077" t="s">
        <v>8678</v>
      </c>
      <c r="B1077" s="136" t="s">
        <v>2338</v>
      </c>
      <c r="C1077" s="131" t="s">
        <v>2339</v>
      </c>
      <c r="D1077" s="102" t="s">
        <v>2340</v>
      </c>
      <c r="E1077" s="131" t="s">
        <v>2341</v>
      </c>
      <c r="F1077" s="131" t="s">
        <v>2342</v>
      </c>
      <c r="G1077">
        <f>IF(getRGB1($C1077)="FFFFFF",0,1)+IF(getRGB1($D1077)="FFFFFF",0,2)+IF(getRGB1($E1077)="FFFFFF",0,3)+IF(getRGB1($F1077)="FFFFFF",0,4)</f>
        <v>2</v>
      </c>
    </row>
    <row r="1078" spans="1:7" ht="25.5">
      <c r="A1078" t="s">
        <v>8678</v>
      </c>
      <c r="B1078" s="136" t="s">
        <v>2343</v>
      </c>
      <c r="C1078" s="102" t="s">
        <v>2344</v>
      </c>
      <c r="D1078" s="131" t="s">
        <v>2345</v>
      </c>
      <c r="E1078" s="131" t="s">
        <v>2346</v>
      </c>
      <c r="F1078" s="131" t="s">
        <v>2347</v>
      </c>
      <c r="G1078">
        <f>IF(getRGB1($C1078)="FFFFFF",0,1)+IF(getRGB1($D1078)="FFFFFF",0,2)+IF(getRGB1($E1078)="FFFFFF",0,3)+IF(getRGB1($F1078)="FFFFFF",0,4)</f>
        <v>1</v>
      </c>
    </row>
    <row r="1079" spans="1:7" ht="25.5">
      <c r="A1079" t="s">
        <v>8678</v>
      </c>
      <c r="B1079" s="136" t="s">
        <v>2348</v>
      </c>
      <c r="C1079" s="131" t="s">
        <v>2349</v>
      </c>
      <c r="D1079" s="102" t="s">
        <v>2345</v>
      </c>
      <c r="E1079" s="131" t="s">
        <v>2346</v>
      </c>
      <c r="F1079" s="131" t="s">
        <v>2314</v>
      </c>
      <c r="G1079">
        <f>IF(getRGB1($C1079)="FFFFFF",0,1)+IF(getRGB1($D1079)="FFFFFF",0,2)+IF(getRGB1($E1079)="FFFFFF",0,3)+IF(getRGB1($F1079)="FFFFFF",0,4)</f>
        <v>2</v>
      </c>
    </row>
    <row r="1080" spans="1:7">
      <c r="A1080" t="s">
        <v>8678</v>
      </c>
      <c r="B1080" s="136" t="s">
        <v>2350</v>
      </c>
      <c r="C1080" s="131" t="s">
        <v>1029</v>
      </c>
      <c r="D1080" s="131" t="s">
        <v>1030</v>
      </c>
      <c r="E1080" s="131" t="s">
        <v>1031</v>
      </c>
      <c r="F1080" s="102" t="s">
        <v>2351</v>
      </c>
      <c r="G1080">
        <f>IF(getRGB1($C1080)="FFFFFF",0,1)+IF(getRGB1($D1080)="FFFFFF",0,2)+IF(getRGB1($E1080)="FFFFFF",0,3)+IF(getRGB1($F1080)="FFFFFF",0,4)</f>
        <v>4</v>
      </c>
    </row>
    <row r="1081" spans="1:7" ht="25.5">
      <c r="A1081" t="s">
        <v>8678</v>
      </c>
      <c r="B1081" s="136" t="s">
        <v>2352</v>
      </c>
      <c r="C1081" s="140">
        <v>0.155</v>
      </c>
      <c r="D1081" s="141">
        <v>0.16</v>
      </c>
      <c r="E1081" s="141">
        <v>0.14000000000000001</v>
      </c>
      <c r="F1081" s="141">
        <v>0.15</v>
      </c>
      <c r="G1081">
        <f>IF(getRGB1($C1081)="FFFFFF",0,1)+IF(getRGB1($D1081)="FFFFFF",0,2)+IF(getRGB1($E1081)="FFFFFF",0,3)+IF(getRGB1($F1081)="FFFFFF",0,4)</f>
        <v>1</v>
      </c>
    </row>
    <row r="1082" spans="1:7" ht="25.5">
      <c r="A1082" t="s">
        <v>8678</v>
      </c>
      <c r="B1082" s="136" t="s">
        <v>2353</v>
      </c>
      <c r="C1082" s="131" t="s">
        <v>2354</v>
      </c>
      <c r="D1082" s="131" t="s">
        <v>2355</v>
      </c>
      <c r="E1082" s="102" t="s">
        <v>2356</v>
      </c>
      <c r="F1082" s="131" t="s">
        <v>2357</v>
      </c>
      <c r="G1082">
        <f>IF(getRGB1($C1082)="FFFFFF",0,1)+IF(getRGB1($D1082)="FFFFFF",0,2)+IF(getRGB1($E1082)="FFFFFF",0,3)+IF(getRGB1($F1082)="FFFFFF",0,4)</f>
        <v>3</v>
      </c>
    </row>
    <row r="1083" spans="1:7" ht="25.5">
      <c r="A1083" t="s">
        <v>8678</v>
      </c>
      <c r="B1083" s="136" t="s">
        <v>2358</v>
      </c>
      <c r="C1083" s="141">
        <v>6.0000000000000001E-3</v>
      </c>
      <c r="D1083" s="141">
        <v>0.01</v>
      </c>
      <c r="E1083" s="140">
        <v>5.0000000000000001E-3</v>
      </c>
      <c r="F1083" s="141">
        <v>7.4999999999999997E-3</v>
      </c>
      <c r="G1083">
        <f>IF(getRGB1($C1083)="FFFFFF",0,1)+IF(getRGB1($D1083)="FFFFFF",0,2)+IF(getRGB1($E1083)="FFFFFF",0,3)+IF(getRGB1($F1083)="FFFFFF",0,4)</f>
        <v>3</v>
      </c>
    </row>
    <row r="1084" spans="1:7" ht="25.5">
      <c r="A1084" t="s">
        <v>8678</v>
      </c>
      <c r="B1084" s="136" t="s">
        <v>8756</v>
      </c>
      <c r="C1084" s="131" t="s">
        <v>2360</v>
      </c>
      <c r="D1084" s="131" t="s">
        <v>2361</v>
      </c>
      <c r="E1084" s="131" t="s">
        <v>2362</v>
      </c>
      <c r="F1084" s="102" t="s">
        <v>2363</v>
      </c>
      <c r="G1084">
        <f>IF(getRGB1($C1084)="FFFFFF",0,1)+IF(getRGB1($D1084)="FFFFFF",0,2)+IF(getRGB1($E1084)="FFFFFF",0,3)+IF(getRGB1($F1084)="FFFFFF",0,4)</f>
        <v>4</v>
      </c>
    </row>
    <row r="1085" spans="1:7">
      <c r="A1085" t="s">
        <v>8678</v>
      </c>
      <c r="B1085" s="136" t="s">
        <v>2364</v>
      </c>
      <c r="C1085" s="131" t="s">
        <v>2365</v>
      </c>
      <c r="D1085" s="102" t="s">
        <v>2366</v>
      </c>
      <c r="E1085" s="131" t="s">
        <v>2367</v>
      </c>
      <c r="F1085" s="131" t="s">
        <v>2368</v>
      </c>
      <c r="G1085">
        <f>IF(getRGB1($C1085)="FFFFFF",0,1)+IF(getRGB1($D1085)="FFFFFF",0,2)+IF(getRGB1($E1085)="FFFFFF",0,3)+IF(getRGB1($F1085)="FFFFFF",0,4)</f>
        <v>2</v>
      </c>
    </row>
    <row r="1086" spans="1:7">
      <c r="A1086" t="s">
        <v>8678</v>
      </c>
      <c r="B1086" s="136" t="s">
        <v>2369</v>
      </c>
      <c r="C1086" s="131" t="s">
        <v>2370</v>
      </c>
      <c r="D1086" s="131" t="s">
        <v>2371</v>
      </c>
      <c r="E1086" s="102" t="s">
        <v>2316</v>
      </c>
      <c r="F1086" s="131" t="s">
        <v>2317</v>
      </c>
      <c r="G1086">
        <f>IF(getRGB1($C1086)="FFFFFF",0,1)+IF(getRGB1($D1086)="FFFFFF",0,2)+IF(getRGB1($E1086)="FFFFFF",0,3)+IF(getRGB1($F1086)="FFFFFF",0,4)</f>
        <v>3</v>
      </c>
    </row>
    <row r="1087" spans="1:7" ht="25.5">
      <c r="A1087" t="s">
        <v>8678</v>
      </c>
      <c r="B1087" s="136" t="s">
        <v>2372</v>
      </c>
      <c r="C1087" s="142">
        <v>0.3</v>
      </c>
      <c r="D1087" s="143">
        <v>0.1</v>
      </c>
      <c r="E1087" s="142">
        <v>0.2</v>
      </c>
      <c r="F1087" s="142">
        <v>0.12</v>
      </c>
      <c r="G1087">
        <f>IF(getRGB1($C1087)="FFFFFF",0,1)+IF(getRGB1($D1087)="FFFFFF",0,2)+IF(getRGB1($E1087)="FFFFFF",0,3)+IF(getRGB1($F1087)="FFFFFF",0,4)</f>
        <v>2</v>
      </c>
    </row>
    <row r="1088" spans="1:7" ht="25.5">
      <c r="A1088" t="s">
        <v>8678</v>
      </c>
      <c r="B1088" s="136" t="s">
        <v>2373</v>
      </c>
      <c r="C1088" s="141">
        <v>5.7200000000000001E-2</v>
      </c>
      <c r="D1088" s="141">
        <v>3.3399999999999999E-2</v>
      </c>
      <c r="E1088" s="102" t="s">
        <v>2374</v>
      </c>
      <c r="F1088" s="142">
        <v>1</v>
      </c>
      <c r="G1088">
        <f>IF(getRGB1($C1088)="FFFFFF",0,1)+IF(getRGB1($D1088)="FFFFFF",0,2)+IF(getRGB1($E1088)="FFFFFF",0,3)+IF(getRGB1($F1088)="FFFFFF",0,4)</f>
        <v>3</v>
      </c>
    </row>
    <row r="1089" spans="1:7" ht="25.5">
      <c r="A1089" t="s">
        <v>8678</v>
      </c>
      <c r="B1089" s="136" t="s">
        <v>2375</v>
      </c>
      <c r="C1089" s="131" t="s">
        <v>2376</v>
      </c>
      <c r="D1089" s="131" t="s">
        <v>2377</v>
      </c>
      <c r="E1089" s="102" t="s">
        <v>2378</v>
      </c>
      <c r="F1089" s="131" t="s">
        <v>2379</v>
      </c>
      <c r="G1089">
        <f>IF(getRGB1($C1089)="FFFFFF",0,1)+IF(getRGB1($D1089)="FFFFFF",0,2)+IF(getRGB1($E1089)="FFFFFF",0,3)+IF(getRGB1($F1089)="FFFFFF",0,4)</f>
        <v>3</v>
      </c>
    </row>
    <row r="1090" spans="1:7" ht="38.25">
      <c r="A1090" t="s">
        <v>8678</v>
      </c>
      <c r="B1090" s="136" t="s">
        <v>2380</v>
      </c>
      <c r="C1090" s="131" t="s">
        <v>2381</v>
      </c>
      <c r="D1090" s="102" t="s">
        <v>2382</v>
      </c>
      <c r="E1090" s="131" t="s">
        <v>2383</v>
      </c>
      <c r="F1090" s="131" t="s">
        <v>2384</v>
      </c>
      <c r="G1090">
        <f>IF(getRGB1($C1090)="FFFFFF",0,1)+IF(getRGB1($D1090)="FFFFFF",0,2)+IF(getRGB1($E1090)="FFFFFF",0,3)+IF(getRGB1($F1090)="FFFFFF",0,4)</f>
        <v>2</v>
      </c>
    </row>
    <row r="1091" spans="1:7" ht="38.25">
      <c r="A1091" t="s">
        <v>8678</v>
      </c>
      <c r="B1091" s="104" t="s">
        <v>2385</v>
      </c>
      <c r="C1091" s="131" t="s">
        <v>2386</v>
      </c>
      <c r="D1091" s="102" t="s">
        <v>2387</v>
      </c>
      <c r="E1091" s="131" t="s">
        <v>2388</v>
      </c>
      <c r="F1091" s="131" t="s">
        <v>2389</v>
      </c>
      <c r="G1091">
        <f>IF(getRGB1($C1091)="FFFFFF",0,1)+IF(getRGB1($D1091)="FFFFFF",0,2)+IF(getRGB1($E1091)="FFFFFF",0,3)+IF(getRGB1($F1091)="FFFFFF",0,4)</f>
        <v>2</v>
      </c>
    </row>
    <row r="1092" spans="1:7" ht="25.5">
      <c r="A1092" t="s">
        <v>8678</v>
      </c>
      <c r="B1092" s="136" t="s">
        <v>2390</v>
      </c>
      <c r="C1092" s="131" t="s">
        <v>2391</v>
      </c>
      <c r="D1092" s="102" t="s">
        <v>2392</v>
      </c>
      <c r="E1092" s="131" t="s">
        <v>2393</v>
      </c>
      <c r="F1092" s="131" t="s">
        <v>2394</v>
      </c>
      <c r="G1092">
        <f>IF(getRGB1($C1092)="FFFFFF",0,1)+IF(getRGB1($D1092)="FFFFFF",0,2)+IF(getRGB1($E1092)="FFFFFF",0,3)+IF(getRGB1($F1092)="FFFFFF",0,4)</f>
        <v>2</v>
      </c>
    </row>
    <row r="1093" spans="1:7" ht="45">
      <c r="A1093" t="s">
        <v>8678</v>
      </c>
      <c r="B1093" s="700" t="s">
        <v>2395</v>
      </c>
      <c r="C1093" s="701" t="s">
        <v>2396</v>
      </c>
      <c r="D1093" s="702" t="s">
        <v>2397</v>
      </c>
      <c r="E1093" s="702" t="s">
        <v>2398</v>
      </c>
      <c r="F1093" s="702" t="s">
        <v>2399</v>
      </c>
      <c r="G1093">
        <f>IF(getRGB1($C1093)="FFFFFF",0,1)+IF(getRGB1($D1093)="FFFFFF",0,2)+IF(getRGB1($E1093)="FFFFFF",0,3)+IF(getRGB1($F1093)="FFFFFF",0,4)</f>
        <v>1</v>
      </c>
    </row>
    <row r="1094" spans="1:7" ht="38.25">
      <c r="A1094" t="s">
        <v>8678</v>
      </c>
      <c r="B1094" s="136" t="s">
        <v>2400</v>
      </c>
      <c r="C1094" s="131" t="s">
        <v>2401</v>
      </c>
      <c r="D1094" s="102" t="s">
        <v>2402</v>
      </c>
      <c r="E1094" s="131" t="s">
        <v>2403</v>
      </c>
      <c r="F1094" s="131" t="s">
        <v>2404</v>
      </c>
      <c r="G1094">
        <f>IF(getRGB1($C1094)="FFFFFF",0,1)+IF(getRGB1($D1094)="FFFFFF",0,2)+IF(getRGB1($E1094)="FFFFFF",0,3)+IF(getRGB1($F1094)="FFFFFF",0,4)</f>
        <v>2</v>
      </c>
    </row>
    <row r="1095" spans="1:7" ht="38.25">
      <c r="A1095" t="s">
        <v>8678</v>
      </c>
      <c r="B1095" s="136" t="s">
        <v>2405</v>
      </c>
      <c r="C1095" s="131" t="s">
        <v>2406</v>
      </c>
      <c r="D1095" s="102" t="s">
        <v>2407</v>
      </c>
      <c r="E1095" s="131" t="s">
        <v>2408</v>
      </c>
      <c r="F1095" s="131" t="s">
        <v>2409</v>
      </c>
      <c r="G1095">
        <f>IF(getRGB1($C1095)="FFFFFF",0,1)+IF(getRGB1($D1095)="FFFFFF",0,2)+IF(getRGB1($E1095)="FFFFFF",0,3)+IF(getRGB1($F1095)="FFFFFF",0,4)</f>
        <v>2</v>
      </c>
    </row>
    <row r="1096" spans="1:7">
      <c r="A1096" t="s">
        <v>8678</v>
      </c>
      <c r="B1096" s="136" t="s">
        <v>2410</v>
      </c>
      <c r="C1096" s="131" t="s">
        <v>2411</v>
      </c>
      <c r="D1096" s="102" t="s">
        <v>2412</v>
      </c>
      <c r="E1096" s="131" t="s">
        <v>2413</v>
      </c>
      <c r="F1096" s="131" t="s">
        <v>2414</v>
      </c>
      <c r="G1096">
        <f>IF(getRGB1($C1096)="FFFFFF",0,1)+IF(getRGB1($D1096)="FFFFFF",0,2)+IF(getRGB1($E1096)="FFFFFF",0,3)+IF(getRGB1($F1096)="FFFFFF",0,4)</f>
        <v>2</v>
      </c>
    </row>
    <row r="1097" spans="1:7" ht="45">
      <c r="A1097" t="s">
        <v>8678</v>
      </c>
      <c r="B1097" s="136" t="s">
        <v>2415</v>
      </c>
      <c r="C1097" s="131" t="s">
        <v>2416</v>
      </c>
      <c r="D1097" s="703" t="s">
        <v>2417</v>
      </c>
      <c r="E1097" s="131" t="s">
        <v>2418</v>
      </c>
      <c r="F1097" s="701" t="s">
        <v>2419</v>
      </c>
      <c r="G1097">
        <f>IF(getRGB1($C1097)="FFFFFF",0,1)+IF(getRGB1($D1097)="FFFFFF",0,2)+IF(getRGB1($E1097)="FFFFFF",0,3)+IF(getRGB1($F1097)="FFFFFF",0,4)</f>
        <v>4</v>
      </c>
    </row>
    <row r="1098" spans="1:7" ht="25.5">
      <c r="A1098" t="s">
        <v>8678</v>
      </c>
      <c r="B1098" s="136" t="s">
        <v>2420</v>
      </c>
      <c r="C1098" s="142">
        <v>0.9</v>
      </c>
      <c r="D1098" s="143">
        <v>0.85</v>
      </c>
      <c r="E1098" s="142">
        <v>0.8</v>
      </c>
      <c r="F1098" s="142">
        <v>0.75</v>
      </c>
      <c r="G1098">
        <f>IF(getRGB1($C1098)="FFFFFF",0,1)+IF(getRGB1($D1098)="FFFFFF",0,2)+IF(getRGB1($E1098)="FFFFFF",0,3)+IF(getRGB1($F1098)="FFFFFF",0,4)</f>
        <v>2</v>
      </c>
    </row>
    <row r="1099" spans="1:7" ht="25.5">
      <c r="A1099" t="s">
        <v>8678</v>
      </c>
      <c r="B1099" s="136" t="s">
        <v>2421</v>
      </c>
      <c r="C1099" s="131" t="s">
        <v>2422</v>
      </c>
      <c r="D1099" s="102" t="s">
        <v>2423</v>
      </c>
      <c r="E1099" s="131" t="s">
        <v>2424</v>
      </c>
      <c r="F1099" s="131" t="s">
        <v>2425</v>
      </c>
      <c r="G1099">
        <f>IF(getRGB1($C1099)="FFFFFF",0,1)+IF(getRGB1($D1099)="FFFFFF",0,2)+IF(getRGB1($E1099)="FFFFFF",0,3)+IF(getRGB1($F1099)="FFFFFF",0,4)</f>
        <v>2</v>
      </c>
    </row>
    <row r="1100" spans="1:7" ht="25.5">
      <c r="A1100" t="s">
        <v>8678</v>
      </c>
      <c r="B1100" s="704" t="s">
        <v>8711</v>
      </c>
      <c r="C1100" s="102" t="s">
        <v>2427</v>
      </c>
      <c r="D1100" s="703" t="s">
        <v>2428</v>
      </c>
      <c r="E1100" s="131" t="s">
        <v>2429</v>
      </c>
      <c r="F1100" s="131" t="s">
        <v>2430</v>
      </c>
      <c r="G1100">
        <f>IF(getRGB1($C1100)="FFFFFF",0,1)+IF(getRGB1($D1100)="FFFFFF",0,2)+IF(getRGB1($E1100)="FFFFFF",0,3)+IF(getRGB1($F1100)="FFFFFF",0,4)</f>
        <v>1</v>
      </c>
    </row>
    <row r="1101" spans="1:7" ht="38.25">
      <c r="A1101" t="s">
        <v>8678</v>
      </c>
      <c r="B1101" s="136" t="s">
        <v>2431</v>
      </c>
      <c r="C1101" s="102" t="s">
        <v>2432</v>
      </c>
      <c r="D1101" s="131" t="s">
        <v>2433</v>
      </c>
      <c r="E1101" s="131" t="s">
        <v>2434</v>
      </c>
      <c r="F1101" s="131" t="s">
        <v>2430</v>
      </c>
      <c r="G1101">
        <f>IF(getRGB1($C1101)="FFFFFF",0,1)+IF(getRGB1($D1101)="FFFFFF",0,2)+IF(getRGB1($E1101)="FFFFFF",0,3)+IF(getRGB1($F1101)="FFFFFF",0,4)</f>
        <v>1</v>
      </c>
    </row>
    <row r="1102" spans="1:7" ht="25.5">
      <c r="A1102" t="s">
        <v>8678</v>
      </c>
      <c r="B1102" s="136" t="s">
        <v>2435</v>
      </c>
      <c r="C1102" s="131" t="s">
        <v>2436</v>
      </c>
      <c r="D1102" s="102" t="s">
        <v>2437</v>
      </c>
      <c r="E1102" s="131" t="s">
        <v>2438</v>
      </c>
      <c r="F1102" s="131" t="s">
        <v>2439</v>
      </c>
      <c r="G1102">
        <f>IF(getRGB1($C1102)="FFFFFF",0,1)+IF(getRGB1($D1102)="FFFFFF",0,2)+IF(getRGB1($E1102)="FFFFFF",0,3)+IF(getRGB1($F1102)="FFFFFF",0,4)</f>
        <v>2</v>
      </c>
    </row>
    <row r="1103" spans="1:7" ht="25.5">
      <c r="A1103" t="s">
        <v>8678</v>
      </c>
      <c r="B1103" s="136" t="s">
        <v>2440</v>
      </c>
      <c r="C1103" s="131" t="s">
        <v>2441</v>
      </c>
      <c r="D1103" s="102" t="s">
        <v>2442</v>
      </c>
      <c r="E1103" s="131" t="s">
        <v>2443</v>
      </c>
      <c r="F1103" s="131" t="s">
        <v>2444</v>
      </c>
      <c r="G1103">
        <f>IF(getRGB1($C1103)="FFFFFF",0,1)+IF(getRGB1($D1103)="FFFFFF",0,2)+IF(getRGB1($E1103)="FFFFFF",0,3)+IF(getRGB1($F1103)="FFFFFF",0,4)</f>
        <v>2</v>
      </c>
    </row>
    <row r="1104" spans="1:7" ht="51">
      <c r="A1104" t="s">
        <v>8678</v>
      </c>
      <c r="B1104" s="136" t="s">
        <v>2445</v>
      </c>
      <c r="C1104" s="134" t="s">
        <v>2446</v>
      </c>
      <c r="D1104" s="134" t="s">
        <v>2447</v>
      </c>
      <c r="E1104" s="134" t="s">
        <v>2448</v>
      </c>
      <c r="F1104" s="102" t="s">
        <v>2449</v>
      </c>
      <c r="G1104">
        <f>IF(getRGB1($C1104)="FFFFFF",0,1)+IF(getRGB1($D1104)="FFFFFF",0,2)+IF(getRGB1($E1104)="FFFFFF",0,3)+IF(getRGB1($F1104)="FFFFFF",0,4)</f>
        <v>4</v>
      </c>
    </row>
    <row r="1105" spans="1:7" ht="25.5">
      <c r="A1105" t="s">
        <v>8678</v>
      </c>
      <c r="B1105" s="136" t="s">
        <v>2450</v>
      </c>
      <c r="C1105" s="131" t="s">
        <v>2451</v>
      </c>
      <c r="D1105" s="131" t="s">
        <v>2452</v>
      </c>
      <c r="E1105" s="102" t="s">
        <v>2453</v>
      </c>
      <c r="F1105" s="131" t="s">
        <v>2454</v>
      </c>
      <c r="G1105">
        <f>IF(getRGB1($C1105)="FFFFFF",0,1)+IF(getRGB1($D1105)="FFFFFF",0,2)+IF(getRGB1($E1105)="FFFFFF",0,3)+IF(getRGB1($F1105)="FFFFFF",0,4)</f>
        <v>3</v>
      </c>
    </row>
    <row r="1106" spans="1:7" ht="45">
      <c r="A1106" t="s">
        <v>8678</v>
      </c>
      <c r="B1106" s="144" t="s">
        <v>2455</v>
      </c>
      <c r="C1106" s="703" t="s">
        <v>2456</v>
      </c>
      <c r="D1106" s="701" t="s">
        <v>2457</v>
      </c>
      <c r="E1106" s="131" t="s">
        <v>2458</v>
      </c>
      <c r="F1106" s="131" t="s">
        <v>2459</v>
      </c>
      <c r="G1106">
        <f>IF(getRGB1($C1106)="FFFFFF",0,1)+IF(getRGB1($D1106)="FFFFFF",0,2)+IF(getRGB1($E1106)="FFFFFF",0,3)+IF(getRGB1($F1106)="FFFFFF",0,4)</f>
        <v>2</v>
      </c>
    </row>
    <row r="1107" spans="1:7" ht="25.5">
      <c r="A1107" t="s">
        <v>8678</v>
      </c>
      <c r="B1107" s="136" t="s">
        <v>2460</v>
      </c>
      <c r="C1107" s="131" t="s">
        <v>2461</v>
      </c>
      <c r="D1107" s="131" t="s">
        <v>2462</v>
      </c>
      <c r="E1107" s="102" t="s">
        <v>2463</v>
      </c>
      <c r="F1107" s="131" t="s">
        <v>2464</v>
      </c>
      <c r="G1107">
        <f>IF(getRGB1($C1107)="FFFFFF",0,1)+IF(getRGB1($D1107)="FFFFFF",0,2)+IF(getRGB1($E1107)="FFFFFF",0,3)+IF(getRGB1($F1107)="FFFFFF",0,4)</f>
        <v>3</v>
      </c>
    </row>
    <row r="1108" spans="1:7" ht="38.25">
      <c r="A1108" t="s">
        <v>8678</v>
      </c>
      <c r="B1108" s="704" t="s">
        <v>2465</v>
      </c>
      <c r="C1108" s="131" t="s">
        <v>2466</v>
      </c>
      <c r="D1108" s="102" t="s">
        <v>2467</v>
      </c>
      <c r="E1108" s="131" t="s">
        <v>2468</v>
      </c>
      <c r="F1108" s="131" t="s">
        <v>2469</v>
      </c>
      <c r="G1108">
        <f>IF(getRGB1($C1108)="FFFFFF",0,1)+IF(getRGB1($D1108)="FFFFFF",0,2)+IF(getRGB1($E1108)="FFFFFF",0,3)+IF(getRGB1($F1108)="FFFFFF",0,4)</f>
        <v>2</v>
      </c>
    </row>
    <row r="1109" spans="1:7" ht="25.5">
      <c r="A1109" t="s">
        <v>8678</v>
      </c>
      <c r="B1109" s="136" t="s">
        <v>2470</v>
      </c>
      <c r="C1109" s="102" t="s">
        <v>2471</v>
      </c>
      <c r="D1109" s="131" t="s">
        <v>2472</v>
      </c>
      <c r="E1109" s="131" t="s">
        <v>2473</v>
      </c>
      <c r="F1109" s="131" t="s">
        <v>74</v>
      </c>
      <c r="G1109">
        <f>IF(getRGB1($C1109)="FFFFFF",0,1)+IF(getRGB1($D1109)="FFFFFF",0,2)+IF(getRGB1($E1109)="FFFFFF",0,3)+IF(getRGB1($F1109)="FFFFFF",0,4)</f>
        <v>1</v>
      </c>
    </row>
    <row r="1110" spans="1:7" ht="25.5">
      <c r="A1110" t="s">
        <v>8678</v>
      </c>
      <c r="B1110" s="136" t="s">
        <v>2474</v>
      </c>
      <c r="C1110" s="131" t="s">
        <v>2475</v>
      </c>
      <c r="D1110" s="102" t="s">
        <v>2476</v>
      </c>
      <c r="E1110" s="131" t="s">
        <v>2477</v>
      </c>
      <c r="F1110" s="131" t="s">
        <v>2478</v>
      </c>
      <c r="G1110">
        <f>IF(getRGB1($C1110)="FFFFFF",0,1)+IF(getRGB1($D1110)="FFFFFF",0,2)+IF(getRGB1($E1110)="FFFFFF",0,3)+IF(getRGB1($F1110)="FFFFFF",0,4)</f>
        <v>2</v>
      </c>
    </row>
    <row r="1111" spans="1:7">
      <c r="A1111" t="s">
        <v>8678</v>
      </c>
      <c r="B1111" s="101" t="s">
        <v>2479</v>
      </c>
      <c r="C1111" s="131" t="s">
        <v>2120</v>
      </c>
      <c r="D1111" s="102" t="s">
        <v>2121</v>
      </c>
      <c r="E1111" s="131" t="s">
        <v>2480</v>
      </c>
      <c r="F1111" s="131" t="s">
        <v>2481</v>
      </c>
      <c r="G1111">
        <f>IF(getRGB1($C1111)="FFFFFF",0,1)+IF(getRGB1($D1111)="FFFFFF",0,2)+IF(getRGB1($E1111)="FFFFFF",0,3)+IF(getRGB1($F1111)="FFFFFF",0,4)</f>
        <v>2</v>
      </c>
    </row>
    <row r="1112" spans="1:7" ht="25.5">
      <c r="A1112" t="s">
        <v>8678</v>
      </c>
      <c r="B1112" s="101" t="s">
        <v>2482</v>
      </c>
      <c r="C1112" s="143">
        <v>0.01</v>
      </c>
      <c r="D1112" s="142">
        <v>0.05</v>
      </c>
      <c r="E1112" s="141">
        <v>7.4999999999999997E-3</v>
      </c>
      <c r="F1112" s="141">
        <v>3.5000000000000003E-2</v>
      </c>
      <c r="G1112">
        <f>IF(getRGB1($C1112)="FFFFFF",0,1)+IF(getRGB1($D1112)="FFFFFF",0,2)+IF(getRGB1($E1112)="FFFFFF",0,3)+IF(getRGB1($F1112)="FFFFFF",0,4)</f>
        <v>1</v>
      </c>
    </row>
    <row r="1113" spans="1:7" ht="25.5">
      <c r="A1113" t="s">
        <v>8678</v>
      </c>
      <c r="B1113" s="101" t="s">
        <v>2483</v>
      </c>
      <c r="C1113" s="131" t="s">
        <v>2484</v>
      </c>
      <c r="D1113" s="131" t="s">
        <v>2485</v>
      </c>
      <c r="E1113" s="102" t="s">
        <v>2486</v>
      </c>
      <c r="F1113" s="131" t="s">
        <v>2487</v>
      </c>
      <c r="G1113">
        <f>IF(getRGB1($C1113)="FFFFFF",0,1)+IF(getRGB1($D1113)="FFFFFF",0,2)+IF(getRGB1($E1113)="FFFFFF",0,3)+IF(getRGB1($F1113)="FFFFFF",0,4)</f>
        <v>3</v>
      </c>
    </row>
    <row r="1114" spans="1:7" ht="25.5">
      <c r="A1114" t="s">
        <v>8678</v>
      </c>
      <c r="B1114" s="101" t="s">
        <v>2488</v>
      </c>
      <c r="C1114" s="131" t="s">
        <v>2489</v>
      </c>
      <c r="D1114" s="102" t="s">
        <v>2490</v>
      </c>
      <c r="E1114" s="131" t="s">
        <v>2491</v>
      </c>
      <c r="F1114" s="131" t="s">
        <v>2492</v>
      </c>
      <c r="G1114">
        <f>IF(getRGB1($C1114)="FFFFFF",0,1)+IF(getRGB1($D1114)="FFFFFF",0,2)+IF(getRGB1($E1114)="FFFFFF",0,3)+IF(getRGB1($F1114)="FFFFFF",0,4)</f>
        <v>2</v>
      </c>
    </row>
    <row r="1115" spans="1:7" ht="25.5">
      <c r="A1115" t="s">
        <v>8678</v>
      </c>
      <c r="B1115" s="101" t="s">
        <v>2493</v>
      </c>
      <c r="C1115" s="131" t="s">
        <v>1490</v>
      </c>
      <c r="D1115" s="102" t="s">
        <v>1136</v>
      </c>
      <c r="E1115" s="131" t="s">
        <v>1137</v>
      </c>
      <c r="F1115" s="131" t="s">
        <v>2494</v>
      </c>
      <c r="G1115">
        <f>IF(getRGB1($C1115)="FFFFFF",0,1)+IF(getRGB1($D1115)="FFFFFF",0,2)+IF(getRGB1($E1115)="FFFFFF",0,3)+IF(getRGB1($F1115)="FFFFFF",0,4)</f>
        <v>2</v>
      </c>
    </row>
    <row r="1116" spans="1:7">
      <c r="A1116" t="s">
        <v>8678</v>
      </c>
      <c r="B1116" s="101" t="s">
        <v>2495</v>
      </c>
      <c r="C1116" s="131" t="s">
        <v>2496</v>
      </c>
      <c r="D1116" s="131" t="s">
        <v>2497</v>
      </c>
      <c r="E1116" s="131" t="s">
        <v>2498</v>
      </c>
      <c r="F1116" s="102" t="s">
        <v>2499</v>
      </c>
      <c r="G1116">
        <f>IF(getRGB1($C1116)="FFFFFF",0,1)+IF(getRGB1($D1116)="FFFFFF",0,2)+IF(getRGB1($E1116)="FFFFFF",0,3)+IF(getRGB1($F1116)="FFFFFF",0,4)</f>
        <v>4</v>
      </c>
    </row>
    <row r="1117" spans="1:7" ht="25.5">
      <c r="A1117" t="s">
        <v>8678</v>
      </c>
      <c r="B1117" s="101" t="s">
        <v>2500</v>
      </c>
      <c r="C1117" s="131" t="s">
        <v>2501</v>
      </c>
      <c r="D1117" s="131" t="s">
        <v>2502</v>
      </c>
      <c r="E1117" s="131" t="s">
        <v>2503</v>
      </c>
      <c r="F1117" s="102" t="s">
        <v>2504</v>
      </c>
      <c r="G1117">
        <f>IF(getRGB1($C1117)="FFFFFF",0,1)+IF(getRGB1($D1117)="FFFFFF",0,2)+IF(getRGB1($E1117)="FFFFFF",0,3)+IF(getRGB1($F1117)="FFFFFF",0,4)</f>
        <v>4</v>
      </c>
    </row>
    <row r="1118" spans="1:7" ht="25.5">
      <c r="A1118" t="s">
        <v>8678</v>
      </c>
      <c r="B1118" s="101" t="s">
        <v>2505</v>
      </c>
      <c r="C1118" s="145" t="s">
        <v>1064</v>
      </c>
      <c r="D1118" s="146">
        <v>4.2361111111111106E-2</v>
      </c>
      <c r="E1118" s="131" t="s">
        <v>2506</v>
      </c>
      <c r="F1118" s="131" t="s">
        <v>2507</v>
      </c>
      <c r="G1118">
        <f>IF(getRGB1($C1118)="FFFFFF",0,1)+IF(getRGB1($D1118)="FFFFFF",0,2)+IF(getRGB1($E1118)="FFFFFF",0,3)+IF(getRGB1($F1118)="FFFFFF",0,4)</f>
        <v>1</v>
      </c>
    </row>
    <row r="1119" spans="1:7" ht="38.25">
      <c r="A1119" t="s">
        <v>8678</v>
      </c>
      <c r="B1119" s="101" t="s">
        <v>2508</v>
      </c>
      <c r="C1119" s="131" t="s">
        <v>2509</v>
      </c>
      <c r="D1119" s="102" t="s">
        <v>2510</v>
      </c>
      <c r="E1119" s="131" t="s">
        <v>2511</v>
      </c>
      <c r="F1119" s="131" t="s">
        <v>2512</v>
      </c>
      <c r="G1119">
        <f>IF(getRGB1($C1119)="FFFFFF",0,1)+IF(getRGB1($D1119)="FFFFFF",0,2)+IF(getRGB1($E1119)="FFFFFF",0,3)+IF(getRGB1($F1119)="FFFFFF",0,4)</f>
        <v>2</v>
      </c>
    </row>
    <row r="1120" spans="1:7" ht="30">
      <c r="A1120" t="s">
        <v>8678</v>
      </c>
      <c r="B1120" s="705" t="s">
        <v>2513</v>
      </c>
      <c r="C1120" s="131" t="s">
        <v>2514</v>
      </c>
      <c r="D1120" s="131" t="s">
        <v>2515</v>
      </c>
      <c r="E1120" s="102" t="s">
        <v>2516</v>
      </c>
      <c r="F1120" s="131" t="s">
        <v>2517</v>
      </c>
      <c r="G1120">
        <f>IF(getRGB1($C1120)="FFFFFF",0,1)+IF(getRGB1($D1120)="FFFFFF",0,2)+IF(getRGB1($E1120)="FFFFFF",0,3)+IF(getRGB1($F1120)="FFFFFF",0,4)</f>
        <v>3</v>
      </c>
    </row>
    <row r="1121" spans="1:7">
      <c r="A1121" t="s">
        <v>8678</v>
      </c>
      <c r="B1121" s="101" t="s">
        <v>2518</v>
      </c>
      <c r="C1121" s="131" t="s">
        <v>90</v>
      </c>
      <c r="D1121" s="131" t="s">
        <v>46</v>
      </c>
      <c r="E1121" s="102" t="s">
        <v>45</v>
      </c>
      <c r="F1121" s="131" t="s">
        <v>44</v>
      </c>
      <c r="G1121">
        <f>IF(getRGB1($C1121)="FFFFFF",0,1)+IF(getRGB1($D1121)="FFFFFF",0,2)+IF(getRGB1($E1121)="FFFFFF",0,3)+IF(getRGB1($F1121)="FFFFFF",0,4)</f>
        <v>3</v>
      </c>
    </row>
    <row r="1122" spans="1:7" ht="25.5">
      <c r="A1122" t="s">
        <v>8678</v>
      </c>
      <c r="B1122" s="101" t="s">
        <v>2519</v>
      </c>
      <c r="C1122" s="142">
        <v>0</v>
      </c>
      <c r="D1122" s="142">
        <v>0.01</v>
      </c>
      <c r="E1122" s="142">
        <v>0.05</v>
      </c>
      <c r="F1122" s="143">
        <v>0.02</v>
      </c>
      <c r="G1122">
        <f>IF(getRGB1($C1122)="FFFFFF",0,1)+IF(getRGB1($D1122)="FFFFFF",0,2)+IF(getRGB1($E1122)="FFFFFF",0,3)+IF(getRGB1($F1122)="FFFFFF",0,4)</f>
        <v>4</v>
      </c>
    </row>
    <row r="1123" spans="1:7" ht="25.5">
      <c r="A1123" t="s">
        <v>8678</v>
      </c>
      <c r="B1123" s="101" t="s">
        <v>2520</v>
      </c>
      <c r="C1123" s="131" t="s">
        <v>2521</v>
      </c>
      <c r="D1123" s="131" t="s">
        <v>2522</v>
      </c>
      <c r="E1123" s="102" t="s">
        <v>2523</v>
      </c>
      <c r="F1123" s="131" t="s">
        <v>2524</v>
      </c>
      <c r="G1123">
        <f>IF(getRGB1($C1123)="FFFFFF",0,1)+IF(getRGB1($D1123)="FFFFFF",0,2)+IF(getRGB1($E1123)="FFFFFF",0,3)+IF(getRGB1($F1123)="FFFFFF",0,4)</f>
        <v>3</v>
      </c>
    </row>
    <row r="1124" spans="1:7" ht="25.5">
      <c r="A1124" t="s">
        <v>8678</v>
      </c>
      <c r="B1124" s="101" t="s">
        <v>2525</v>
      </c>
      <c r="C1124" s="141">
        <v>0.68500000000000005</v>
      </c>
      <c r="D1124" s="142">
        <v>0.75</v>
      </c>
      <c r="E1124" s="142">
        <v>0.8</v>
      </c>
      <c r="F1124" s="143">
        <v>0.85</v>
      </c>
      <c r="G1124">
        <f>IF(getRGB1($C1124)="FFFFFF",0,1)+IF(getRGB1($D1124)="FFFFFF",0,2)+IF(getRGB1($E1124)="FFFFFF",0,3)+IF(getRGB1($F1124)="FFFFFF",0,4)</f>
        <v>4</v>
      </c>
    </row>
    <row r="1125" spans="1:7" ht="25.5">
      <c r="A1125" t="s">
        <v>8678</v>
      </c>
      <c r="B1125" s="101" t="s">
        <v>2526</v>
      </c>
      <c r="C1125" s="131" t="s">
        <v>2527</v>
      </c>
      <c r="D1125" s="115" t="s">
        <v>2528</v>
      </c>
      <c r="E1125" s="131" t="s">
        <v>2529</v>
      </c>
      <c r="F1125" s="131" t="s">
        <v>2530</v>
      </c>
      <c r="G1125">
        <f>IF(getRGB1($C1125)="FFFFFF",0,1)+IF(getRGB1($D1125)="FFFFFF",0,2)+IF(getRGB1($E1125)="FFFFFF",0,3)+IF(getRGB1($F1125)="FFFFFF",0,4)</f>
        <v>2</v>
      </c>
    </row>
    <row r="1126" spans="1:7" ht="25.5">
      <c r="A1126" t="s">
        <v>8678</v>
      </c>
      <c r="B1126" s="101" t="s">
        <v>2531</v>
      </c>
      <c r="C1126" s="131" t="s">
        <v>2532</v>
      </c>
      <c r="D1126" s="131" t="s">
        <v>2533</v>
      </c>
      <c r="E1126" s="102" t="s">
        <v>2534</v>
      </c>
      <c r="F1126" s="131" t="s">
        <v>2535</v>
      </c>
      <c r="G1126">
        <f>IF(getRGB1($C1126)="FFFFFF",0,1)+IF(getRGB1($D1126)="FFFFFF",0,2)+IF(getRGB1($E1126)="FFFFFF",0,3)+IF(getRGB1($F1126)="FFFFFF",0,4)</f>
        <v>3</v>
      </c>
    </row>
    <row r="1127" spans="1:7">
      <c r="A1127" t="s">
        <v>8678</v>
      </c>
      <c r="B1127" s="101" t="s">
        <v>2536</v>
      </c>
      <c r="C1127" s="131" t="s">
        <v>2122</v>
      </c>
      <c r="D1127" s="131" t="s">
        <v>2537</v>
      </c>
      <c r="E1127" s="131" t="s">
        <v>2120</v>
      </c>
      <c r="F1127" s="102" t="s">
        <v>2121</v>
      </c>
      <c r="G1127">
        <f>IF(getRGB1($C1127)="FFFFFF",0,1)+IF(getRGB1($D1127)="FFFFFF",0,2)+IF(getRGB1($E1127)="FFFFFF",0,3)+IF(getRGB1($F1127)="FFFFFF",0,4)</f>
        <v>4</v>
      </c>
    </row>
    <row r="1128" spans="1:7" ht="38.25">
      <c r="A1128" t="s">
        <v>8678</v>
      </c>
      <c r="B1128" s="101" t="s">
        <v>2538</v>
      </c>
      <c r="C1128" s="131" t="s">
        <v>2539</v>
      </c>
      <c r="D1128" s="131" t="s">
        <v>2540</v>
      </c>
      <c r="E1128" s="102" t="s">
        <v>2541</v>
      </c>
      <c r="F1128" s="131" t="s">
        <v>2542</v>
      </c>
      <c r="G1128">
        <f>IF(getRGB1($C1128)="FFFFFF",0,1)+IF(getRGB1($D1128)="FFFFFF",0,2)+IF(getRGB1($E1128)="FFFFFF",0,3)+IF(getRGB1($F1128)="FFFFFF",0,4)</f>
        <v>3</v>
      </c>
    </row>
    <row r="1129" spans="1:7">
      <c r="A1129" t="s">
        <v>8678</v>
      </c>
      <c r="B1129" s="101" t="s">
        <v>2543</v>
      </c>
      <c r="C1129" s="131" t="s">
        <v>2544</v>
      </c>
      <c r="D1129" s="102" t="s">
        <v>2545</v>
      </c>
      <c r="E1129" s="131" t="s">
        <v>2546</v>
      </c>
      <c r="F1129" s="131" t="s">
        <v>2547</v>
      </c>
      <c r="G1129">
        <f>IF(getRGB1($C1129)="FFFFFF",0,1)+IF(getRGB1($D1129)="FFFFFF",0,2)+IF(getRGB1($E1129)="FFFFFF",0,3)+IF(getRGB1($F1129)="FFFFFF",0,4)</f>
        <v>2</v>
      </c>
    </row>
    <row r="1130" spans="1:7">
      <c r="A1130" t="s">
        <v>8678</v>
      </c>
      <c r="B1130" s="101" t="s">
        <v>2548</v>
      </c>
      <c r="C1130" s="131" t="s">
        <v>2549</v>
      </c>
      <c r="D1130" s="131" t="s">
        <v>2550</v>
      </c>
      <c r="E1130" s="131" t="s">
        <v>2551</v>
      </c>
      <c r="F1130" s="102" t="s">
        <v>2552</v>
      </c>
      <c r="G1130">
        <f>IF(getRGB1($C1130)="FFFFFF",0,1)+IF(getRGB1($D1130)="FFFFFF",0,2)+IF(getRGB1($E1130)="FFFFFF",0,3)+IF(getRGB1($F1130)="FFFFFF",0,4)</f>
        <v>4</v>
      </c>
    </row>
    <row r="1131" spans="1:7" ht="25.5">
      <c r="A1131" t="s">
        <v>8678</v>
      </c>
      <c r="B1131" s="101" t="s">
        <v>2553</v>
      </c>
      <c r="C1131" s="131" t="s">
        <v>2514</v>
      </c>
      <c r="D1131" s="131" t="s">
        <v>2517</v>
      </c>
      <c r="E1131" s="102" t="s">
        <v>2515</v>
      </c>
      <c r="F1131" s="131" t="s">
        <v>2554</v>
      </c>
      <c r="G1131">
        <f>IF(getRGB1($C1131)="FFFFFF",0,1)+IF(getRGB1($D1131)="FFFFFF",0,2)+IF(getRGB1($E1131)="FFFFFF",0,3)+IF(getRGB1($F1131)="FFFFFF",0,4)</f>
        <v>3</v>
      </c>
    </row>
    <row r="1132" spans="1:7" ht="30">
      <c r="A1132" t="s">
        <v>8678</v>
      </c>
      <c r="B1132" s="705" t="s">
        <v>2555</v>
      </c>
      <c r="C1132" s="131">
        <v>2</v>
      </c>
      <c r="D1132" s="131">
        <v>6</v>
      </c>
      <c r="E1132" s="131">
        <v>3</v>
      </c>
      <c r="F1132" s="102">
        <v>5</v>
      </c>
      <c r="G1132">
        <f>IF(getRGB1($C1132)="FFFFFF",0,1)+IF(getRGB1($D1132)="FFFFFF",0,2)+IF(getRGB1($E1132)="FFFFFF",0,3)+IF(getRGB1($F1132)="FFFFFF",0,4)</f>
        <v>4</v>
      </c>
    </row>
    <row r="1133" spans="1:7" ht="25.5">
      <c r="A1133" t="s">
        <v>8678</v>
      </c>
      <c r="B1133" s="101" t="s">
        <v>2556</v>
      </c>
      <c r="C1133" s="142">
        <v>0.05</v>
      </c>
      <c r="D1133" s="142">
        <v>0.12</v>
      </c>
      <c r="E1133" s="142">
        <v>0.14000000000000001</v>
      </c>
      <c r="F1133" s="140">
        <v>0.20960000000000001</v>
      </c>
      <c r="G1133">
        <f>IF(getRGB1($C1133)="FFFFFF",0,1)+IF(getRGB1($D1133)="FFFFFF",0,2)+IF(getRGB1($E1133)="FFFFFF",0,3)+IF(getRGB1($F1133)="FFFFFF",0,4)</f>
        <v>4</v>
      </c>
    </row>
    <row r="1134" spans="1:7" ht="30">
      <c r="A1134" t="s">
        <v>8678</v>
      </c>
      <c r="B1134" s="706" t="s">
        <v>2557</v>
      </c>
      <c r="C1134" s="702" t="s">
        <v>2558</v>
      </c>
      <c r="D1134" s="701" t="s">
        <v>2559</v>
      </c>
      <c r="E1134" s="702" t="s">
        <v>2560</v>
      </c>
      <c r="F1134" s="702" t="s">
        <v>2561</v>
      </c>
      <c r="G1134">
        <f>IF(getRGB1($C1134)="FFFFFF",0,1)+IF(getRGB1($D1134)="FFFFFF",0,2)+IF(getRGB1($E1134)="FFFFFF",0,3)+IF(getRGB1($F1134)="FFFFFF",0,4)</f>
        <v>2</v>
      </c>
    </row>
    <row r="1135" spans="1:7" ht="30">
      <c r="A1135" t="s">
        <v>8678</v>
      </c>
      <c r="B1135" s="705" t="s">
        <v>2562</v>
      </c>
      <c r="C1135" s="142">
        <v>0.7</v>
      </c>
      <c r="D1135" s="143">
        <v>0.9</v>
      </c>
      <c r="E1135" s="142">
        <v>0.8</v>
      </c>
      <c r="F1135" s="142">
        <v>1</v>
      </c>
      <c r="G1135">
        <f>IF(getRGB1($C1135)="FFFFFF",0,1)+IF(getRGB1($D1135)="FFFFFF",0,2)+IF(getRGB1($E1135)="FFFFFF",0,3)+IF(getRGB1($F1135)="FFFFFF",0,4)</f>
        <v>2</v>
      </c>
    </row>
    <row r="1136" spans="1:7" ht="25.5">
      <c r="A1136" t="s">
        <v>8678</v>
      </c>
      <c r="B1136" s="704" t="s">
        <v>2563</v>
      </c>
      <c r="C1136" s="142">
        <v>0.05</v>
      </c>
      <c r="D1136" s="140">
        <v>0.04</v>
      </c>
      <c r="E1136" s="141">
        <v>2.5000000000000001E-2</v>
      </c>
      <c r="F1136" s="141">
        <v>7.4999999999999997E-3</v>
      </c>
      <c r="G1136">
        <f>IF(getRGB1($C1136)="FFFFFF",0,1)+IF(getRGB1($D1136)="FFFFFF",0,2)+IF(getRGB1($E1136)="FFFFFF",0,3)+IF(getRGB1($F1136)="FFFFFF",0,4)</f>
        <v>2</v>
      </c>
    </row>
    <row r="1137" spans="1:7" ht="25.5">
      <c r="A1137" t="s">
        <v>8678</v>
      </c>
      <c r="B1137" s="101" t="s">
        <v>2564</v>
      </c>
      <c r="C1137" s="141">
        <v>0.06</v>
      </c>
      <c r="D1137" s="141">
        <v>7.4999999999999997E-2</v>
      </c>
      <c r="E1137" s="141">
        <v>6.25E-2</v>
      </c>
      <c r="F1137" s="140">
        <v>5.2499999999999998E-2</v>
      </c>
      <c r="G1137">
        <f>IF(getRGB1($C1137)="FFFFFF",0,1)+IF(getRGB1($D1137)="FFFFFF",0,2)+IF(getRGB1($E1137)="FFFFFF",0,3)+IF(getRGB1($F1137)="FFFFFF",0,4)</f>
        <v>4</v>
      </c>
    </row>
    <row r="1138" spans="1:7">
      <c r="A1138" t="s">
        <v>8678</v>
      </c>
      <c r="B1138" s="101" t="s">
        <v>2565</v>
      </c>
      <c r="C1138" s="131" t="s">
        <v>2566</v>
      </c>
      <c r="D1138" s="131" t="s">
        <v>2567</v>
      </c>
      <c r="E1138" s="102" t="s">
        <v>2568</v>
      </c>
      <c r="F1138" s="131" t="s">
        <v>2569</v>
      </c>
      <c r="G1138">
        <f>IF(getRGB1($C1138)="FFFFFF",0,1)+IF(getRGB1($D1138)="FFFFFF",0,2)+IF(getRGB1($E1138)="FFFFFF",0,3)+IF(getRGB1($F1138)="FFFFFF",0,4)</f>
        <v>3</v>
      </c>
    </row>
    <row r="1139" spans="1:7" ht="25.5">
      <c r="A1139" t="s">
        <v>8678</v>
      </c>
      <c r="B1139" s="101" t="s">
        <v>2570</v>
      </c>
      <c r="C1139" s="102" t="s">
        <v>2222</v>
      </c>
      <c r="D1139" s="131" t="s">
        <v>2571</v>
      </c>
      <c r="E1139" s="131" t="s">
        <v>2572</v>
      </c>
      <c r="F1139" s="131" t="s">
        <v>2573</v>
      </c>
      <c r="G1139">
        <f>IF(getRGB1($C1139)="FFFFFF",0,1)+IF(getRGB1($D1139)="FFFFFF",0,2)+IF(getRGB1($E1139)="FFFFFF",0,3)+IF(getRGB1($F1139)="FFFFFF",0,4)</f>
        <v>1</v>
      </c>
    </row>
    <row r="1140" spans="1:7" ht="45">
      <c r="A1140" t="s">
        <v>8678</v>
      </c>
      <c r="B1140" s="707" t="s">
        <v>2574</v>
      </c>
      <c r="C1140" s="702" t="s">
        <v>2575</v>
      </c>
      <c r="D1140" s="702" t="s">
        <v>2576</v>
      </c>
      <c r="E1140" s="701" t="s">
        <v>2577</v>
      </c>
      <c r="F1140" s="702" t="s">
        <v>2578</v>
      </c>
      <c r="G1140">
        <f>IF(getRGB1($C1140)="FFFFFF",0,1)+IF(getRGB1($D1140)="FFFFFF",0,2)+IF(getRGB1($E1140)="FFFFFF",0,3)+IF(getRGB1($F1140)="FFFFFF",0,4)</f>
        <v>3</v>
      </c>
    </row>
    <row r="1141" spans="1:7" ht="30">
      <c r="A1141" t="s">
        <v>8678</v>
      </c>
      <c r="B1141" s="705" t="s">
        <v>2579</v>
      </c>
      <c r="C1141" s="131" t="s">
        <v>2580</v>
      </c>
      <c r="D1141" s="131" t="s">
        <v>2581</v>
      </c>
      <c r="E1141" s="102" t="s">
        <v>2582</v>
      </c>
      <c r="F1141" s="131" t="s">
        <v>2583</v>
      </c>
      <c r="G1141">
        <f>IF(getRGB1($C1141)="FFFFFF",0,1)+IF(getRGB1($D1141)="FFFFFF",0,2)+IF(getRGB1($E1141)="FFFFFF",0,3)+IF(getRGB1($F1141)="FFFFFF",0,4)</f>
        <v>3</v>
      </c>
    </row>
    <row r="1142" spans="1:7" ht="51">
      <c r="A1142" t="s">
        <v>8678</v>
      </c>
      <c r="B1142" s="101" t="s">
        <v>2584</v>
      </c>
      <c r="C1142" s="131" t="s">
        <v>2585</v>
      </c>
      <c r="D1142" s="131" t="s">
        <v>2586</v>
      </c>
      <c r="E1142" s="102" t="s">
        <v>2587</v>
      </c>
      <c r="F1142" s="131" t="s">
        <v>2588</v>
      </c>
      <c r="G1142">
        <f>IF(getRGB1($C1142)="FFFFFF",0,1)+IF(getRGB1($D1142)="FFFFFF",0,2)+IF(getRGB1($E1142)="FFFFFF",0,3)+IF(getRGB1($F1142)="FFFFFF",0,4)</f>
        <v>3</v>
      </c>
    </row>
    <row r="1143" spans="1:7" ht="45">
      <c r="A1143" t="s">
        <v>8678</v>
      </c>
      <c r="B1143" s="706" t="s">
        <v>2589</v>
      </c>
      <c r="C1143" s="702" t="s">
        <v>2590</v>
      </c>
      <c r="D1143" s="702" t="s">
        <v>2428</v>
      </c>
      <c r="E1143" s="701" t="s">
        <v>2591</v>
      </c>
      <c r="F1143" s="693" t="s">
        <v>2592</v>
      </c>
      <c r="G1143">
        <f>IF(getRGB1($C1143)="FFFFFF",0,1)+IF(getRGB1($D1143)="FFFFFF",0,2)+IF(getRGB1($E1143)="FFFFFF",0,3)+IF(getRGB1($F1143)="FFFFFF",0,4)</f>
        <v>3</v>
      </c>
    </row>
    <row r="1144" spans="1:7" ht="25.5">
      <c r="A1144" t="s">
        <v>8678</v>
      </c>
      <c r="B1144" s="101" t="s">
        <v>2593</v>
      </c>
      <c r="C1144" s="131" t="s">
        <v>2594</v>
      </c>
      <c r="D1144" s="703" t="s">
        <v>2595</v>
      </c>
      <c r="E1144" s="102" t="s">
        <v>2596</v>
      </c>
      <c r="F1144" s="131" t="s">
        <v>2597</v>
      </c>
      <c r="G1144">
        <f>IF(getRGB1($C1144)="FFFFFF",0,1)+IF(getRGB1($D1144)="FFFFFF",0,2)+IF(getRGB1($E1144)="FFFFFF",0,3)+IF(getRGB1($F1144)="FFFFFF",0,4)</f>
        <v>3</v>
      </c>
    </row>
    <row r="1145" spans="1:7">
      <c r="A1145" t="s">
        <v>8678</v>
      </c>
      <c r="B1145" s="101" t="s">
        <v>2598</v>
      </c>
      <c r="C1145" s="131" t="s">
        <v>2599</v>
      </c>
      <c r="D1145" s="102" t="s">
        <v>2600</v>
      </c>
      <c r="E1145" s="131" t="s">
        <v>2601</v>
      </c>
      <c r="F1145" s="131" t="s">
        <v>2602</v>
      </c>
      <c r="G1145">
        <f>IF(getRGB1($C1145)="FFFFFF",0,1)+IF(getRGB1($D1145)="FFFFFF",0,2)+IF(getRGB1($E1145)="FFFFFF",0,3)+IF(getRGB1($F1145)="FFFFFF",0,4)</f>
        <v>2</v>
      </c>
    </row>
    <row r="1146" spans="1:7" ht="25.5">
      <c r="A1146" t="s">
        <v>8678</v>
      </c>
      <c r="B1146" s="101" t="s">
        <v>2603</v>
      </c>
      <c r="C1146" s="142">
        <v>0.95</v>
      </c>
      <c r="D1146" s="143">
        <v>0.98</v>
      </c>
      <c r="E1146" s="142">
        <v>0.99</v>
      </c>
      <c r="F1146" s="142">
        <v>0.92</v>
      </c>
      <c r="G1146">
        <f>IF(getRGB1($C1146)="FFFFFF",0,1)+IF(getRGB1($D1146)="FFFFFF",0,2)+IF(getRGB1($E1146)="FFFFFF",0,3)+IF(getRGB1($F1146)="FFFFFF",0,4)</f>
        <v>2</v>
      </c>
    </row>
    <row r="1147" spans="1:7" ht="25.5">
      <c r="A1147" t="s">
        <v>8678</v>
      </c>
      <c r="B1147" s="101" t="s">
        <v>2604</v>
      </c>
      <c r="C1147" s="131" t="s">
        <v>2605</v>
      </c>
      <c r="D1147" s="131" t="s">
        <v>2606</v>
      </c>
      <c r="E1147" s="102" t="s">
        <v>2607</v>
      </c>
      <c r="F1147" s="131" t="s">
        <v>2608</v>
      </c>
      <c r="G1147">
        <f>IF(getRGB1($C1147)="FFFFFF",0,1)+IF(getRGB1($D1147)="FFFFFF",0,2)+IF(getRGB1($E1147)="FFFFFF",0,3)+IF(getRGB1($F1147)="FFFFFF",0,4)</f>
        <v>3</v>
      </c>
    </row>
    <row r="1148" spans="1:7" ht="25.5">
      <c r="A1148" t="s">
        <v>8678</v>
      </c>
      <c r="B1148" s="101" t="s">
        <v>2609</v>
      </c>
      <c r="C1148" s="131" t="s">
        <v>2610</v>
      </c>
      <c r="D1148" s="102" t="s">
        <v>2611</v>
      </c>
      <c r="E1148" s="131" t="s">
        <v>2612</v>
      </c>
      <c r="F1148" s="131" t="s">
        <v>2561</v>
      </c>
      <c r="G1148">
        <f>IF(getRGB1($C1148)="FFFFFF",0,1)+IF(getRGB1($D1148)="FFFFFF",0,2)+IF(getRGB1($E1148)="FFFFFF",0,3)+IF(getRGB1($F1148)="FFFFFF",0,4)</f>
        <v>2</v>
      </c>
    </row>
    <row r="1149" spans="1:7" ht="127.5">
      <c r="A1149" t="s">
        <v>8678</v>
      </c>
      <c r="B1149" s="708" t="s">
        <v>2613</v>
      </c>
      <c r="C1149" s="102" t="s">
        <v>239</v>
      </c>
      <c r="D1149" s="703" t="s">
        <v>2614</v>
      </c>
      <c r="E1149" s="703" t="s">
        <v>237</v>
      </c>
      <c r="F1149" s="703" t="s">
        <v>2615</v>
      </c>
      <c r="G1149">
        <f>IF(getRGB1($C1149)="FFFFFF",0,1)+IF(getRGB1($D1149)="FFFFFF",0,2)+IF(getRGB1($E1149)="FFFFFF",0,3)+IF(getRGB1($F1149)="FFFFFF",0,4)</f>
        <v>1</v>
      </c>
    </row>
    <row r="1150" spans="1:7" ht="25.5">
      <c r="A1150" t="s">
        <v>8678</v>
      </c>
      <c r="B1150" s="704" t="s">
        <v>2616</v>
      </c>
      <c r="C1150" s="709">
        <v>0.14000000000000001</v>
      </c>
      <c r="D1150" s="140">
        <v>0.16500000000000001</v>
      </c>
      <c r="E1150" s="710">
        <v>0.14499999999999999</v>
      </c>
      <c r="F1150" s="710">
        <v>0.155</v>
      </c>
      <c r="G1150">
        <f>IF(getRGB1($C1150)="FFFFFF",0,1)+IF(getRGB1($D1150)="FFFFFF",0,2)+IF(getRGB1($E1150)="FFFFFF",0,3)+IF(getRGB1($F1150)="FFFFFF",0,4)</f>
        <v>2</v>
      </c>
    </row>
    <row r="1151" spans="1:7">
      <c r="A1151" t="s">
        <v>8678</v>
      </c>
      <c r="B1151" s="704" t="s">
        <v>2617</v>
      </c>
      <c r="C1151" s="102" t="s">
        <v>2120</v>
      </c>
      <c r="D1151" s="703" t="s">
        <v>2121</v>
      </c>
      <c r="E1151" s="703" t="s">
        <v>2480</v>
      </c>
      <c r="F1151" s="703" t="s">
        <v>2618</v>
      </c>
      <c r="G1151">
        <f>IF(getRGB1($C1151)="FFFFFF",0,1)+IF(getRGB1($D1151)="FFFFFF",0,2)+IF(getRGB1($E1151)="FFFFFF",0,3)+IF(getRGB1($F1151)="FFFFFF",0,4)</f>
        <v>1</v>
      </c>
    </row>
    <row r="1152" spans="1:7" ht="25.5">
      <c r="A1152" t="s">
        <v>8678</v>
      </c>
      <c r="B1152" s="149" t="s">
        <v>2619</v>
      </c>
      <c r="C1152" s="710">
        <v>2.5000000000000001E-2</v>
      </c>
      <c r="D1152" s="710">
        <v>3.5000000000000003E-2</v>
      </c>
      <c r="E1152" s="140">
        <v>0.04</v>
      </c>
      <c r="F1152" s="710">
        <v>1.4999999999999999E-2</v>
      </c>
      <c r="G1152">
        <f>IF(getRGB1($C1152)="FFFFFF",0,1)+IF(getRGB1($D1152)="FFFFFF",0,2)+IF(getRGB1($E1152)="FFFFFF",0,3)+IF(getRGB1($F1152)="FFFFFF",0,4)</f>
        <v>3</v>
      </c>
    </row>
    <row r="1153" spans="1:7" ht="38.25">
      <c r="A1153" t="s">
        <v>8678</v>
      </c>
      <c r="B1153" s="704" t="s">
        <v>2620</v>
      </c>
      <c r="C1153" s="711" t="s">
        <v>1086</v>
      </c>
      <c r="D1153" s="711" t="s">
        <v>1085</v>
      </c>
      <c r="E1153" s="711" t="s">
        <v>1084</v>
      </c>
      <c r="F1153" s="145" t="s">
        <v>2336</v>
      </c>
      <c r="G1153">
        <f>IF(getRGB1($C1153)="FFFFFF",0,1)+IF(getRGB1($D1153)="FFFFFF",0,2)+IF(getRGB1($E1153)="FFFFFF",0,3)+IF(getRGB1($F1153)="FFFFFF",0,4)</f>
        <v>4</v>
      </c>
    </row>
    <row r="1154" spans="1:7" ht="25.5">
      <c r="A1154" t="s">
        <v>8678</v>
      </c>
      <c r="B1154" s="101" t="s">
        <v>2621</v>
      </c>
      <c r="C1154" s="102" t="s">
        <v>2622</v>
      </c>
      <c r="D1154" s="131" t="s">
        <v>2623</v>
      </c>
      <c r="E1154" s="131" t="s">
        <v>2624</v>
      </c>
      <c r="F1154" s="131" t="s">
        <v>2625</v>
      </c>
      <c r="G1154">
        <f>IF(getRGB1($C1154)="FFFFFF",0,1)+IF(getRGB1($D1154)="FFFFFF",0,2)+IF(getRGB1($E1154)="FFFFFF",0,3)+IF(getRGB1($F1154)="FFFFFF",0,4)</f>
        <v>1</v>
      </c>
    </row>
    <row r="1155" spans="1:7" ht="30">
      <c r="A1155" t="s">
        <v>8678</v>
      </c>
      <c r="B1155" s="706" t="s">
        <v>2626</v>
      </c>
      <c r="C1155" s="701" t="s">
        <v>2627</v>
      </c>
      <c r="D1155" s="702" t="s">
        <v>2628</v>
      </c>
      <c r="E1155" s="702" t="s">
        <v>2629</v>
      </c>
      <c r="F1155" s="702" t="s">
        <v>2630</v>
      </c>
      <c r="G1155">
        <f>IF(getRGB1($C1155)="FFFFFF",0,1)+IF(getRGB1($D1155)="FFFFFF",0,2)+IF(getRGB1($E1155)="FFFFFF",0,3)+IF(getRGB1($F1155)="FFFFFF",0,4)</f>
        <v>1</v>
      </c>
    </row>
    <row r="1156" spans="1:7" ht="60">
      <c r="A1156" t="s">
        <v>8678</v>
      </c>
      <c r="B1156" s="706" t="s">
        <v>2631</v>
      </c>
      <c r="C1156" s="701" t="s">
        <v>2632</v>
      </c>
      <c r="D1156" s="702" t="s">
        <v>2633</v>
      </c>
      <c r="E1156" s="702" t="s">
        <v>2634</v>
      </c>
      <c r="F1156" s="702" t="s">
        <v>2635</v>
      </c>
      <c r="G1156">
        <f>IF(getRGB1($C1156)="FFFFFF",0,1)+IF(getRGB1($D1156)="FFFFFF",0,2)+IF(getRGB1($E1156)="FFFFFF",0,3)+IF(getRGB1($F1156)="FFFFFF",0,4)</f>
        <v>1</v>
      </c>
    </row>
    <row r="1157" spans="1:7" ht="30">
      <c r="A1157" t="s">
        <v>8678</v>
      </c>
      <c r="B1157" s="706" t="s">
        <v>2636</v>
      </c>
      <c r="C1157" s="702" t="s">
        <v>2637</v>
      </c>
      <c r="D1157" s="701" t="s">
        <v>2638</v>
      </c>
      <c r="E1157" s="702" t="s">
        <v>2639</v>
      </c>
      <c r="F1157" s="702" t="s">
        <v>2640</v>
      </c>
      <c r="G1157">
        <f>IF(getRGB1($C1157)="FFFFFF",0,1)+IF(getRGB1($D1157)="FFFFFF",0,2)+IF(getRGB1($E1157)="FFFFFF",0,3)+IF(getRGB1($F1157)="FFFFFF",0,4)</f>
        <v>2</v>
      </c>
    </row>
    <row r="1158" spans="1:7" ht="25.5">
      <c r="A1158" t="s">
        <v>8678</v>
      </c>
      <c r="B1158" s="101" t="s">
        <v>2641</v>
      </c>
      <c r="C1158" s="131" t="s">
        <v>2642</v>
      </c>
      <c r="D1158" s="131" t="s">
        <v>2643</v>
      </c>
      <c r="E1158" s="131" t="s">
        <v>2644</v>
      </c>
      <c r="F1158" s="102" t="s">
        <v>2645</v>
      </c>
      <c r="G1158">
        <f>IF(getRGB1($C1158)="FFFFFF",0,1)+IF(getRGB1($D1158)="FFFFFF",0,2)+IF(getRGB1($E1158)="FFFFFF",0,3)+IF(getRGB1($F1158)="FFFFFF",0,4)</f>
        <v>4</v>
      </c>
    </row>
    <row r="1159" spans="1:7" ht="38.25">
      <c r="A1159" t="s">
        <v>8678</v>
      </c>
      <c r="B1159" s="101" t="s">
        <v>2646</v>
      </c>
      <c r="C1159" s="131" t="s">
        <v>2647</v>
      </c>
      <c r="D1159" s="131" t="s">
        <v>2648</v>
      </c>
      <c r="E1159" s="701" t="s">
        <v>2649</v>
      </c>
      <c r="F1159" s="131" t="s">
        <v>2650</v>
      </c>
      <c r="G1159">
        <f>IF(getRGB1($C1159)="FFFFFF",0,1)+IF(getRGB1($D1159)="FFFFFF",0,2)+IF(getRGB1($E1159)="FFFFFF",0,3)+IF(getRGB1($F1159)="FFFFFF",0,4)</f>
        <v>3</v>
      </c>
    </row>
    <row r="1160" spans="1:7" ht="25.5">
      <c r="A1160" t="s">
        <v>8678</v>
      </c>
      <c r="B1160" s="101" t="s">
        <v>2651</v>
      </c>
      <c r="C1160" s="102" t="s">
        <v>823</v>
      </c>
      <c r="D1160" s="131" t="s">
        <v>2517</v>
      </c>
      <c r="E1160" s="131" t="s">
        <v>2515</v>
      </c>
      <c r="F1160" s="131" t="s">
        <v>2652</v>
      </c>
      <c r="G1160">
        <f>IF(getRGB1($C1160)="FFFFFF",0,1)+IF(getRGB1($D1160)="FFFFFF",0,2)+IF(getRGB1($E1160)="FFFFFF",0,3)+IF(getRGB1($F1160)="FFFFFF",0,4)</f>
        <v>1</v>
      </c>
    </row>
    <row r="1161" spans="1:7" ht="25.5">
      <c r="A1161" t="s">
        <v>8678</v>
      </c>
      <c r="B1161" s="101" t="s">
        <v>2653</v>
      </c>
      <c r="C1161" s="131">
        <v>8</v>
      </c>
      <c r="D1161" s="131">
        <v>6</v>
      </c>
      <c r="E1161" s="131">
        <v>7</v>
      </c>
      <c r="F1161" s="102">
        <v>5</v>
      </c>
      <c r="G1161">
        <f>IF(getRGB1($C1161)="FFFFFF",0,1)+IF(getRGB1($D1161)="FFFFFF",0,2)+IF(getRGB1($E1161)="FFFFFF",0,3)+IF(getRGB1($F1161)="FFFFFF",0,4)</f>
        <v>4</v>
      </c>
    </row>
    <row r="1162" spans="1:7" ht="25.5">
      <c r="A1162" t="s">
        <v>8678</v>
      </c>
      <c r="B1162" s="101" t="s">
        <v>2654</v>
      </c>
      <c r="C1162" s="131" t="s">
        <v>2655</v>
      </c>
      <c r="D1162" s="131" t="s">
        <v>2656</v>
      </c>
      <c r="E1162" s="131" t="s">
        <v>2657</v>
      </c>
      <c r="F1162" s="131" t="s">
        <v>2658</v>
      </c>
      <c r="G1162">
        <f>IF(getRGB1($C1162)="FFFFFF",0,1)+IF(getRGB1($D1162)="FFFFFF",0,2)+IF(getRGB1($E1162)="FFFFFF",0,3)+IF(getRGB1($F1162)="FFFFFF",0,4)</f>
        <v>0</v>
      </c>
    </row>
    <row r="1163" spans="1:7" ht="38.25">
      <c r="A1163" t="s">
        <v>8678</v>
      </c>
      <c r="B1163" s="101" t="s">
        <v>2659</v>
      </c>
      <c r="C1163" s="140">
        <v>0.19375000000000001</v>
      </c>
      <c r="D1163" s="142">
        <v>0.2</v>
      </c>
      <c r="E1163" s="142">
        <v>0.18</v>
      </c>
      <c r="F1163" s="141">
        <v>0.155</v>
      </c>
      <c r="G1163">
        <f>IF(getRGB1($C1163)="FFFFFF",0,1)+IF(getRGB1($D1163)="FFFFFF",0,2)+IF(getRGB1($E1163)="FFFFFF",0,3)+IF(getRGB1($F1163)="FFFFFF",0,4)</f>
        <v>1</v>
      </c>
    </row>
    <row r="1164" spans="1:7" ht="25.5">
      <c r="A1164" t="s">
        <v>8678</v>
      </c>
      <c r="B1164" s="101" t="s">
        <v>2660</v>
      </c>
      <c r="C1164" s="131" t="s">
        <v>2661</v>
      </c>
      <c r="D1164" s="131" t="s">
        <v>2662</v>
      </c>
      <c r="E1164" s="701" t="s">
        <v>2663</v>
      </c>
      <c r="F1164" s="131" t="s">
        <v>2664</v>
      </c>
      <c r="G1164">
        <f>IF(getRGB1($C1164)="FFFFFF",0,1)+IF(getRGB1($D1164)="FFFFFF",0,2)+IF(getRGB1($E1164)="FFFFFF",0,3)+IF(getRGB1($F1164)="FFFFFF",0,4)</f>
        <v>3</v>
      </c>
    </row>
    <row r="1165" spans="1:7" ht="25.5">
      <c r="A1165" t="s">
        <v>8678</v>
      </c>
      <c r="B1165" s="101" t="s">
        <v>2665</v>
      </c>
      <c r="C1165" s="102" t="s">
        <v>2666</v>
      </c>
      <c r="D1165" s="131" t="s">
        <v>2667</v>
      </c>
      <c r="E1165" s="131" t="s">
        <v>2668</v>
      </c>
      <c r="F1165" s="131" t="s">
        <v>2669</v>
      </c>
      <c r="G1165">
        <f>IF(getRGB1($C1165)="FFFFFF",0,1)+IF(getRGB1($D1165)="FFFFFF",0,2)+IF(getRGB1($E1165)="FFFFFF",0,3)+IF(getRGB1($F1165)="FFFFFF",0,4)</f>
        <v>1</v>
      </c>
    </row>
    <row r="1166" spans="1:7" ht="25.5">
      <c r="A1166" t="s">
        <v>8678</v>
      </c>
      <c r="B1166" s="101" t="s">
        <v>2670</v>
      </c>
      <c r="C1166" s="131" t="s">
        <v>2671</v>
      </c>
      <c r="D1166" s="131" t="s">
        <v>2672</v>
      </c>
      <c r="E1166" s="131" t="s">
        <v>2673</v>
      </c>
      <c r="F1166" s="102" t="s">
        <v>2674</v>
      </c>
      <c r="G1166">
        <f>IF(getRGB1($C1166)="FFFFFF",0,1)+IF(getRGB1($D1166)="FFFFFF",0,2)+IF(getRGB1($E1166)="FFFFFF",0,3)+IF(getRGB1($F1166)="FFFFFF",0,4)</f>
        <v>4</v>
      </c>
    </row>
    <row r="1167" spans="1:7" ht="25.5">
      <c r="A1167" t="s">
        <v>8678</v>
      </c>
      <c r="B1167" s="101" t="s">
        <v>2675</v>
      </c>
      <c r="C1167" s="131" t="s">
        <v>2676</v>
      </c>
      <c r="D1167" s="131" t="s">
        <v>2677</v>
      </c>
      <c r="E1167" s="102" t="s">
        <v>2678</v>
      </c>
      <c r="F1167" s="131" t="s">
        <v>2679</v>
      </c>
      <c r="G1167">
        <f>IF(getRGB1($C1167)="FFFFFF",0,1)+IF(getRGB1($D1167)="FFFFFF",0,2)+IF(getRGB1($E1167)="FFFFFF",0,3)+IF(getRGB1($F1167)="FFFFFF",0,4)</f>
        <v>3</v>
      </c>
    </row>
    <row r="1168" spans="1:7" ht="25.5">
      <c r="A1168" t="s">
        <v>8678</v>
      </c>
      <c r="B1168" s="101" t="s">
        <v>2680</v>
      </c>
      <c r="C1168" s="131" t="s">
        <v>2681</v>
      </c>
      <c r="D1168" s="102" t="s">
        <v>2682</v>
      </c>
      <c r="E1168" s="131" t="s">
        <v>2683</v>
      </c>
      <c r="F1168" s="131" t="s">
        <v>2684</v>
      </c>
      <c r="G1168">
        <f>IF(getRGB1($C1168)="FFFFFF",0,1)+IF(getRGB1($D1168)="FFFFFF",0,2)+IF(getRGB1($E1168)="FFFFFF",0,3)+IF(getRGB1($F1168)="FFFFFF",0,4)</f>
        <v>2</v>
      </c>
    </row>
    <row r="1169" spans="1:7" ht="25.5">
      <c r="A1169" t="s">
        <v>8678</v>
      </c>
      <c r="B1169" s="101" t="s">
        <v>2685</v>
      </c>
      <c r="C1169" s="141">
        <v>2E-3</v>
      </c>
      <c r="D1169" s="141">
        <v>5.0000000000000001E-3</v>
      </c>
      <c r="E1169" s="140">
        <v>8.0000000000000002E-3</v>
      </c>
      <c r="F1169" s="141">
        <v>3.0000000000000001E-3</v>
      </c>
      <c r="G1169">
        <f>IF(getRGB1($C1169)="FFFFFF",0,1)+IF(getRGB1($D1169)="FFFFFF",0,2)+IF(getRGB1($E1169)="FFFFFF",0,3)+IF(getRGB1($F1169)="FFFFFF",0,4)</f>
        <v>3</v>
      </c>
    </row>
    <row r="1170" spans="1:7" ht="25.5">
      <c r="A1170" t="s">
        <v>8678</v>
      </c>
      <c r="B1170" s="101" t="s">
        <v>2686</v>
      </c>
      <c r="C1170" s="131" t="s">
        <v>2687</v>
      </c>
      <c r="D1170" s="102" t="s">
        <v>2688</v>
      </c>
      <c r="E1170" s="131" t="s">
        <v>2689</v>
      </c>
      <c r="F1170" s="131" t="s">
        <v>2690</v>
      </c>
      <c r="G1170">
        <f>IF(getRGB1($C1170)="FFFFFF",0,1)+IF(getRGB1($D1170)="FFFFFF",0,2)+IF(getRGB1($E1170)="FFFFFF",0,3)+IF(getRGB1($F1170)="FFFFFF",0,4)</f>
        <v>2</v>
      </c>
    </row>
    <row r="1171" spans="1:7" ht="25.5">
      <c r="A1171" t="s">
        <v>8678</v>
      </c>
      <c r="B1171" s="101" t="s">
        <v>2691</v>
      </c>
      <c r="C1171" s="131" t="s">
        <v>2692</v>
      </c>
      <c r="D1171" s="131" t="s">
        <v>2693</v>
      </c>
      <c r="E1171" s="131" t="s">
        <v>2694</v>
      </c>
      <c r="F1171" s="102" t="s">
        <v>2695</v>
      </c>
      <c r="G1171">
        <f>IF(getRGB1($C1171)="FFFFFF",0,1)+IF(getRGB1($D1171)="FFFFFF",0,2)+IF(getRGB1($E1171)="FFFFFF",0,3)+IF(getRGB1($F1171)="FFFFFF",0,4)</f>
        <v>4</v>
      </c>
    </row>
    <row r="1172" spans="1:7" ht="25.5">
      <c r="A1172" t="s">
        <v>8678</v>
      </c>
      <c r="B1172" s="101" t="s">
        <v>2696</v>
      </c>
      <c r="C1172" s="131" t="s">
        <v>2697</v>
      </c>
      <c r="D1172" s="131" t="s">
        <v>2698</v>
      </c>
      <c r="E1172" s="102" t="s">
        <v>2699</v>
      </c>
      <c r="F1172" s="131" t="s">
        <v>2700</v>
      </c>
      <c r="G1172">
        <f>IF(getRGB1($C1172)="FFFFFF",0,1)+IF(getRGB1($D1172)="FFFFFF",0,2)+IF(getRGB1($E1172)="FFFFFF",0,3)+IF(getRGB1($F1172)="FFFFFF",0,4)</f>
        <v>3</v>
      </c>
    </row>
    <row r="1173" spans="1:7" ht="25.5">
      <c r="A1173" t="s">
        <v>8678</v>
      </c>
      <c r="B1173" s="101" t="s">
        <v>2701</v>
      </c>
      <c r="C1173" s="142">
        <v>0.06</v>
      </c>
      <c r="D1173" s="140">
        <v>8.5000000000000006E-2</v>
      </c>
      <c r="E1173" s="131" t="s">
        <v>2702</v>
      </c>
      <c r="F1173" s="142">
        <v>0.09</v>
      </c>
      <c r="G1173">
        <f>IF(getRGB1($C1173)="FFFFFF",0,1)+IF(getRGB1($D1173)="FFFFFF",0,2)+IF(getRGB1($E1173)="FFFFFF",0,3)+IF(getRGB1($F1173)="FFFFFF",0,4)</f>
        <v>2</v>
      </c>
    </row>
    <row r="1174" spans="1:7">
      <c r="A1174" t="s">
        <v>8678</v>
      </c>
      <c r="B1174" s="151" t="s">
        <v>2703</v>
      </c>
      <c r="C1174" s="152">
        <v>2225</v>
      </c>
      <c r="D1174" s="153">
        <v>2250</v>
      </c>
      <c r="E1174" s="152">
        <v>2350</v>
      </c>
      <c r="F1174" s="152">
        <v>2175</v>
      </c>
      <c r="G1174">
        <f>IF(getRGB1($C1174)="FFFFFF",0,1)+IF(getRGB1($D1174)="FFFFFF",0,2)+IF(getRGB1($E1174)="FFFFFF",0,3)+IF(getRGB1($F1174)="FFFFFF",0,4)</f>
        <v>2</v>
      </c>
    </row>
    <row r="1175" spans="1:7">
      <c r="A1175" t="s">
        <v>8678</v>
      </c>
      <c r="B1175" s="151" t="s">
        <v>2704</v>
      </c>
      <c r="C1175" s="152" t="s">
        <v>179</v>
      </c>
      <c r="D1175" s="152" t="s">
        <v>2472</v>
      </c>
      <c r="E1175" s="153" t="s">
        <v>2705</v>
      </c>
      <c r="F1175" s="152" t="s">
        <v>174</v>
      </c>
      <c r="G1175">
        <f>IF(getRGB1($C1175)="FFFFFF",0,1)+IF(getRGB1($D1175)="FFFFFF",0,2)+IF(getRGB1($E1175)="FFFFFF",0,3)+IF(getRGB1($F1175)="FFFFFF",0,4)</f>
        <v>3</v>
      </c>
    </row>
    <row r="1176" spans="1:7">
      <c r="A1176" t="s">
        <v>8678</v>
      </c>
      <c r="B1176" s="151" t="s">
        <v>2706</v>
      </c>
      <c r="C1176" s="153" t="s">
        <v>179</v>
      </c>
      <c r="D1176" s="152" t="s">
        <v>2472</v>
      </c>
      <c r="E1176" s="712" t="s">
        <v>2705</v>
      </c>
      <c r="F1176" s="152" t="s">
        <v>174</v>
      </c>
      <c r="G1176">
        <f>IF(getRGB1($C1176)="FFFFFF",0,1)+IF(getRGB1($D1176)="FFFFFF",0,2)+IF(getRGB1($E1176)="FFFFFF",0,3)+IF(getRGB1($F1176)="FFFFFF",0,4)</f>
        <v>1</v>
      </c>
    </row>
    <row r="1177" spans="1:7">
      <c r="A1177" t="s">
        <v>8678</v>
      </c>
      <c r="B1177" s="151" t="s">
        <v>2707</v>
      </c>
      <c r="C1177" s="152" t="s">
        <v>179</v>
      </c>
      <c r="D1177" s="153" t="s">
        <v>2472</v>
      </c>
      <c r="E1177" s="712" t="s">
        <v>2705</v>
      </c>
      <c r="F1177" s="152" t="s">
        <v>174</v>
      </c>
      <c r="G1177">
        <f>IF(getRGB1($C1177)="FFFFFF",0,1)+IF(getRGB1($D1177)="FFFFFF",0,2)+IF(getRGB1($E1177)="FFFFFF",0,3)+IF(getRGB1($F1177)="FFFFFF",0,4)</f>
        <v>2</v>
      </c>
    </row>
    <row r="1178" spans="1:7">
      <c r="A1178" t="s">
        <v>8678</v>
      </c>
      <c r="B1178" s="151" t="s">
        <v>2708</v>
      </c>
      <c r="C1178" s="153" t="s">
        <v>2709</v>
      </c>
      <c r="D1178" s="152" t="s">
        <v>2710</v>
      </c>
      <c r="E1178" s="152" t="s">
        <v>2711</v>
      </c>
      <c r="F1178" s="152" t="s">
        <v>468</v>
      </c>
      <c r="G1178">
        <f>IF(getRGB1($C1178)="FFFFFF",0,1)+IF(getRGB1($D1178)="FFFFFF",0,2)+IF(getRGB1($E1178)="FFFFFF",0,3)+IF(getRGB1($F1178)="FFFFFF",0,4)</f>
        <v>1</v>
      </c>
    </row>
    <row r="1179" spans="1:7">
      <c r="A1179" t="s">
        <v>8678</v>
      </c>
      <c r="B1179" s="151" t="s">
        <v>2712</v>
      </c>
      <c r="C1179" s="154">
        <v>3.3399999999999999E-2</v>
      </c>
      <c r="D1179" s="155">
        <v>5.3800000000000001E-2</v>
      </c>
      <c r="E1179" s="154">
        <v>6.3299999999999995E-2</v>
      </c>
      <c r="F1179" s="154">
        <v>9.5000000000000001E-2</v>
      </c>
      <c r="G1179">
        <f>IF(getRGB1($C1179)="FFFFFF",0,1)+IF(getRGB1($D1179)="FFFFFF",0,2)+IF(getRGB1($E1179)="FFFFFF",0,3)+IF(getRGB1($F1179)="FFFFFF",0,4)</f>
        <v>2</v>
      </c>
    </row>
    <row r="1180" spans="1:7" ht="30">
      <c r="A1180" t="s">
        <v>8678</v>
      </c>
      <c r="B1180" s="151" t="s">
        <v>2713</v>
      </c>
      <c r="C1180" s="152" t="s">
        <v>2714</v>
      </c>
      <c r="D1180" s="152" t="s">
        <v>2715</v>
      </c>
      <c r="E1180" s="153" t="s">
        <v>2716</v>
      </c>
      <c r="F1180" s="152" t="s">
        <v>2717</v>
      </c>
      <c r="G1180">
        <f>IF(getRGB1($C1180)="FFFFFF",0,1)+IF(getRGB1($D1180)="FFFFFF",0,2)+IF(getRGB1($E1180)="FFFFFF",0,3)+IF(getRGB1($F1180)="FFFFFF",0,4)</f>
        <v>3</v>
      </c>
    </row>
    <row r="1181" spans="1:7">
      <c r="A1181" t="s">
        <v>8678</v>
      </c>
      <c r="B1181" s="151" t="s">
        <v>2718</v>
      </c>
      <c r="C1181" s="152" t="s">
        <v>2719</v>
      </c>
      <c r="D1181" s="152" t="s">
        <v>2720</v>
      </c>
      <c r="E1181" s="152" t="s">
        <v>2717</v>
      </c>
      <c r="F1181" s="152" t="s">
        <v>2721</v>
      </c>
      <c r="G1181">
        <f>IF(getRGB1($C1181)="FFFFFF",0,1)+IF(getRGB1($D1181)="FFFFFF",0,2)+IF(getRGB1($E1181)="FFFFFF",0,3)+IF(getRGB1($F1181)="FFFFFF",0,4)</f>
        <v>0</v>
      </c>
    </row>
    <row r="1182" spans="1:7" ht="30">
      <c r="A1182" t="s">
        <v>8678</v>
      </c>
      <c r="B1182" s="151" t="s">
        <v>2722</v>
      </c>
      <c r="C1182" s="152" t="s">
        <v>2723</v>
      </c>
      <c r="D1182" s="152" t="s">
        <v>2724</v>
      </c>
      <c r="E1182" s="153" t="s">
        <v>2725</v>
      </c>
      <c r="F1182" s="152" t="s">
        <v>2726</v>
      </c>
      <c r="G1182">
        <f>IF(getRGB1($C1182)="FFFFFF",0,1)+IF(getRGB1($D1182)="FFFFFF",0,2)+IF(getRGB1($E1182)="FFFFFF",0,3)+IF(getRGB1($F1182)="FFFFFF",0,4)</f>
        <v>3</v>
      </c>
    </row>
    <row r="1183" spans="1:7">
      <c r="A1183" t="s">
        <v>8678</v>
      </c>
      <c r="B1183" s="151" t="s">
        <v>2727</v>
      </c>
      <c r="C1183" s="152" t="s">
        <v>2728</v>
      </c>
      <c r="D1183" s="153" t="s">
        <v>2729</v>
      </c>
      <c r="E1183" s="152" t="s">
        <v>2730</v>
      </c>
      <c r="F1183" s="152" t="s">
        <v>2731</v>
      </c>
      <c r="G1183">
        <f>IF(getRGB1($C1183)="FFFFFF",0,1)+IF(getRGB1($D1183)="FFFFFF",0,2)+IF(getRGB1($E1183)="FFFFFF",0,3)+IF(getRGB1($F1183)="FFFFFF",0,4)</f>
        <v>2</v>
      </c>
    </row>
    <row r="1184" spans="1:7" ht="30">
      <c r="A1184" t="s">
        <v>8678</v>
      </c>
      <c r="B1184" s="151" t="s">
        <v>2732</v>
      </c>
      <c r="C1184" s="152">
        <v>1.5</v>
      </c>
      <c r="D1184" s="152" t="s">
        <v>2733</v>
      </c>
      <c r="E1184" s="153">
        <v>2</v>
      </c>
      <c r="F1184" s="152">
        <v>3</v>
      </c>
      <c r="G1184">
        <f>IF(getRGB1($C1184)="FFFFFF",0,1)+IF(getRGB1($D1184)="FFFFFF",0,2)+IF(getRGB1($E1184)="FFFFFF",0,3)+IF(getRGB1($F1184)="FFFFFF",0,4)</f>
        <v>3</v>
      </c>
    </row>
    <row r="1185" spans="1:7" ht="30">
      <c r="A1185" t="s">
        <v>8678</v>
      </c>
      <c r="B1185" s="151" t="s">
        <v>2734</v>
      </c>
      <c r="C1185" s="153" t="s">
        <v>2735</v>
      </c>
      <c r="D1185" s="152" t="s">
        <v>2736</v>
      </c>
      <c r="E1185" s="152" t="s">
        <v>2737</v>
      </c>
      <c r="F1185" s="152" t="s">
        <v>66</v>
      </c>
      <c r="G1185">
        <f>IF(getRGB1($C1185)="FFFFFF",0,1)+IF(getRGB1($D1185)="FFFFFF",0,2)+IF(getRGB1($E1185)="FFFFFF",0,3)+IF(getRGB1($F1185)="FFFFFF",0,4)</f>
        <v>1</v>
      </c>
    </row>
    <row r="1186" spans="1:7" ht="30">
      <c r="A1186" t="s">
        <v>8678</v>
      </c>
      <c r="B1186" s="151" t="s">
        <v>2738</v>
      </c>
      <c r="C1186" s="154">
        <v>2E-3</v>
      </c>
      <c r="D1186" s="155">
        <v>3.0000000000000001E-3</v>
      </c>
      <c r="E1186" s="156">
        <v>0.01</v>
      </c>
      <c r="F1186" s="154">
        <v>5.0000000000000001E-3</v>
      </c>
      <c r="G1186">
        <f>IF(getRGB1($C1186)="FFFFFF",0,1)+IF(getRGB1($D1186)="FFFFFF",0,2)+IF(getRGB1($E1186)="FFFFFF",0,3)+IF(getRGB1($F1186)="FFFFFF",0,4)</f>
        <v>2</v>
      </c>
    </row>
    <row r="1187" spans="1:7">
      <c r="A1187" t="s">
        <v>8678</v>
      </c>
      <c r="B1187" s="151" t="s">
        <v>2739</v>
      </c>
      <c r="C1187" s="154">
        <v>8.5000000000000006E-2</v>
      </c>
      <c r="D1187" s="154">
        <v>5.2499999999999998E-2</v>
      </c>
      <c r="E1187" s="154">
        <v>7.7499999999999999E-2</v>
      </c>
      <c r="F1187" s="157">
        <v>0.1</v>
      </c>
      <c r="G1187">
        <f>IF(getRGB1($C1187)="FFFFFF",0,1)+IF(getRGB1($D1187)="FFFFFF",0,2)+IF(getRGB1($E1187)="FFFFFF",0,3)+IF(getRGB1($F1187)="FFFFFF",0,4)</f>
        <v>4</v>
      </c>
    </row>
    <row r="1188" spans="1:7" ht="30">
      <c r="A1188" t="s">
        <v>8678</v>
      </c>
      <c r="B1188" s="151" t="s">
        <v>2740</v>
      </c>
      <c r="C1188" s="152" t="s">
        <v>2741</v>
      </c>
      <c r="D1188" s="153" t="s">
        <v>2742</v>
      </c>
      <c r="E1188" s="152" t="s">
        <v>2743</v>
      </c>
      <c r="F1188" s="152" t="s">
        <v>2744</v>
      </c>
      <c r="G1188">
        <f>IF(getRGB1($C1188)="FFFFFF",0,1)+IF(getRGB1($D1188)="FFFFFF",0,2)+IF(getRGB1($E1188)="FFFFFF",0,3)+IF(getRGB1($F1188)="FFFFFF",0,4)</f>
        <v>2</v>
      </c>
    </row>
    <row r="1189" spans="1:7" ht="30">
      <c r="A1189" t="s">
        <v>8678</v>
      </c>
      <c r="B1189" s="151" t="s">
        <v>2745</v>
      </c>
      <c r="C1189" s="152" t="s">
        <v>2746</v>
      </c>
      <c r="D1189" s="152" t="s">
        <v>2747</v>
      </c>
      <c r="E1189" s="153" t="s">
        <v>2748</v>
      </c>
      <c r="F1189" s="152" t="s">
        <v>66</v>
      </c>
      <c r="G1189">
        <f>IF(getRGB1($C1189)="FFFFFF",0,1)+IF(getRGB1($D1189)="FFFFFF",0,2)+IF(getRGB1($E1189)="FFFFFF",0,3)+IF(getRGB1($F1189)="FFFFFF",0,4)</f>
        <v>3</v>
      </c>
    </row>
    <row r="1190" spans="1:7" ht="30">
      <c r="A1190" t="s">
        <v>8678</v>
      </c>
      <c r="B1190" s="151" t="s">
        <v>2749</v>
      </c>
      <c r="C1190" s="152" t="s">
        <v>2750</v>
      </c>
      <c r="D1190" s="152" t="s">
        <v>2751</v>
      </c>
      <c r="E1190" s="153" t="s">
        <v>2752</v>
      </c>
      <c r="F1190" s="152" t="s">
        <v>2753</v>
      </c>
      <c r="G1190">
        <f>IF(getRGB1($C1190)="FFFFFF",0,1)+IF(getRGB1($D1190)="FFFFFF",0,2)+IF(getRGB1($E1190)="FFFFFF",0,3)+IF(getRGB1($F1190)="FFFFFF",0,4)</f>
        <v>3</v>
      </c>
    </row>
    <row r="1191" spans="1:7" ht="30">
      <c r="A1191" t="s">
        <v>8678</v>
      </c>
      <c r="B1191" s="151" t="s">
        <v>2754</v>
      </c>
      <c r="C1191" s="152" t="s">
        <v>2755</v>
      </c>
      <c r="D1191" s="153" t="s">
        <v>2756</v>
      </c>
      <c r="E1191" s="152" t="s">
        <v>2757</v>
      </c>
      <c r="F1191" s="152" t="s">
        <v>2753</v>
      </c>
      <c r="G1191">
        <f>IF(getRGB1($C1191)="FFFFFF",0,1)+IF(getRGB1($D1191)="FFFFFF",0,2)+IF(getRGB1($E1191)="FFFFFF",0,3)+IF(getRGB1($F1191)="FFFFFF",0,4)</f>
        <v>2</v>
      </c>
    </row>
    <row r="1192" spans="1:7" ht="30">
      <c r="A1192" t="s">
        <v>8678</v>
      </c>
      <c r="B1192" s="151" t="s">
        <v>2758</v>
      </c>
      <c r="C1192" s="152" t="s">
        <v>2759</v>
      </c>
      <c r="D1192" s="152" t="s">
        <v>2760</v>
      </c>
      <c r="E1192" s="153" t="s">
        <v>2761</v>
      </c>
      <c r="F1192" s="152" t="s">
        <v>2762</v>
      </c>
      <c r="G1192">
        <f>IF(getRGB1($C1192)="FFFFFF",0,1)+IF(getRGB1($D1192)="FFFFFF",0,2)+IF(getRGB1($E1192)="FFFFFF",0,3)+IF(getRGB1($F1192)="FFFFFF",0,4)</f>
        <v>3</v>
      </c>
    </row>
    <row r="1193" spans="1:7" ht="30">
      <c r="A1193" t="s">
        <v>8678</v>
      </c>
      <c r="B1193" s="151" t="s">
        <v>2763</v>
      </c>
      <c r="C1193" s="152" t="s">
        <v>2764</v>
      </c>
      <c r="D1193" s="153" t="s">
        <v>2765</v>
      </c>
      <c r="E1193" s="152" t="s">
        <v>2694</v>
      </c>
      <c r="F1193" s="152" t="s">
        <v>2766</v>
      </c>
      <c r="G1193">
        <f>IF(getRGB1($C1193)="FFFFFF",0,1)+IF(getRGB1($D1193)="FFFFFF",0,2)+IF(getRGB1($E1193)="FFFFFF",0,3)+IF(getRGB1($F1193)="FFFFFF",0,4)</f>
        <v>2</v>
      </c>
    </row>
    <row r="1194" spans="1:7">
      <c r="A1194" t="s">
        <v>8678</v>
      </c>
      <c r="B1194" s="151" t="s">
        <v>2767</v>
      </c>
      <c r="C1194" s="152" t="b">
        <v>1</v>
      </c>
      <c r="D1194" s="153" t="b">
        <v>0</v>
      </c>
      <c r="E1194" s="152" t="s">
        <v>2768</v>
      </c>
      <c r="F1194" s="152"/>
      <c r="G1194">
        <f>IF(getRGB1($C1194)="FFFFFF",0,1)+IF(getRGB1($D1194)="FFFFFF",0,2)+IF(getRGB1($E1194)="FFFFFF",0,3)+IF(getRGB1($F1194)="FFFFFF",0,4)</f>
        <v>2</v>
      </c>
    </row>
    <row r="1195" spans="1:7" ht="60">
      <c r="A1195" t="s">
        <v>8678</v>
      </c>
      <c r="B1195" s="151" t="s">
        <v>2769</v>
      </c>
      <c r="C1195" s="153" t="s">
        <v>2770</v>
      </c>
      <c r="D1195" s="152" t="s">
        <v>2771</v>
      </c>
      <c r="E1195" s="152" t="s">
        <v>2772</v>
      </c>
      <c r="F1195" s="152" t="s">
        <v>2773</v>
      </c>
      <c r="G1195">
        <f>IF(getRGB1($C1195)="FFFFFF",0,1)+IF(getRGB1($D1195)="FFFFFF",0,2)+IF(getRGB1($E1195)="FFFFFF",0,3)+IF(getRGB1($F1195)="FFFFFF",0,4)</f>
        <v>1</v>
      </c>
    </row>
    <row r="1196" spans="1:7" ht="30">
      <c r="A1196" t="s">
        <v>8678</v>
      </c>
      <c r="B1196" s="151" t="s">
        <v>2774</v>
      </c>
      <c r="C1196" s="152" t="s">
        <v>2775</v>
      </c>
      <c r="D1196" s="152" t="s">
        <v>2776</v>
      </c>
      <c r="E1196" s="153" t="s">
        <v>2777</v>
      </c>
      <c r="F1196" s="152" t="s">
        <v>2778</v>
      </c>
      <c r="G1196">
        <f>IF(getRGB1($C1196)="FFFFFF",0,1)+IF(getRGB1($D1196)="FFFFFF",0,2)+IF(getRGB1($E1196)="FFFFFF",0,3)+IF(getRGB1($F1196)="FFFFFF",0,4)</f>
        <v>3</v>
      </c>
    </row>
    <row r="1197" spans="1:7" ht="30">
      <c r="A1197" t="s">
        <v>8678</v>
      </c>
      <c r="B1197" s="151" t="s">
        <v>2779</v>
      </c>
      <c r="C1197" s="154">
        <v>5.0000000000000001E-3</v>
      </c>
      <c r="D1197" s="154">
        <v>1.4999999999999999E-2</v>
      </c>
      <c r="E1197" s="154">
        <v>1.7500000000000002E-2</v>
      </c>
      <c r="F1197" s="157">
        <v>0.02</v>
      </c>
      <c r="G1197">
        <f>IF(getRGB1($C1197)="FFFFFF",0,1)+IF(getRGB1($D1197)="FFFFFF",0,2)+IF(getRGB1($E1197)="FFFFFF",0,3)+IF(getRGB1($F1197)="FFFFFF",0,4)</f>
        <v>4</v>
      </c>
    </row>
    <row r="1198" spans="1:7" ht="90">
      <c r="A1198" t="s">
        <v>8678</v>
      </c>
      <c r="B1198" s="151" t="s">
        <v>2780</v>
      </c>
      <c r="C1198" s="152" t="s">
        <v>2781</v>
      </c>
      <c r="D1198" s="152" t="s">
        <v>2782</v>
      </c>
      <c r="E1198" s="153" t="s">
        <v>2783</v>
      </c>
      <c r="F1198" s="152" t="s">
        <v>2784</v>
      </c>
      <c r="G1198">
        <f>IF(getRGB1($C1198)="FFFFFF",0,1)+IF(getRGB1($D1198)="FFFFFF",0,2)+IF(getRGB1($E1198)="FFFFFF",0,3)+IF(getRGB1($F1198)="FFFFFF",0,4)</f>
        <v>3</v>
      </c>
    </row>
    <row r="1199" spans="1:7" ht="30">
      <c r="A1199" t="s">
        <v>8678</v>
      </c>
      <c r="B1199" s="151" t="s">
        <v>2785</v>
      </c>
      <c r="C1199" s="153" t="s">
        <v>2786</v>
      </c>
      <c r="D1199" s="152" t="s">
        <v>2787</v>
      </c>
      <c r="E1199" s="152" t="s">
        <v>2788</v>
      </c>
      <c r="F1199" s="152" t="s">
        <v>328</v>
      </c>
      <c r="G1199">
        <f>IF(getRGB1($C1199)="FFFFFF",0,1)+IF(getRGB1($D1199)="FFFFFF",0,2)+IF(getRGB1($E1199)="FFFFFF",0,3)+IF(getRGB1($F1199)="FFFFFF",0,4)</f>
        <v>1</v>
      </c>
    </row>
    <row r="1200" spans="1:7" ht="45">
      <c r="A1200" t="s">
        <v>8678</v>
      </c>
      <c r="B1200" s="151" t="s">
        <v>2789</v>
      </c>
      <c r="C1200" s="153" t="s">
        <v>2790</v>
      </c>
      <c r="D1200" s="152" t="s">
        <v>2791</v>
      </c>
      <c r="E1200" s="152" t="s">
        <v>2792</v>
      </c>
      <c r="F1200" s="152" t="s">
        <v>2793</v>
      </c>
      <c r="G1200">
        <f>IF(getRGB1($C1200)="FFFFFF",0,1)+IF(getRGB1($D1200)="FFFFFF",0,2)+IF(getRGB1($E1200)="FFFFFF",0,3)+IF(getRGB1($F1200)="FFFFFF",0,4)</f>
        <v>1</v>
      </c>
    </row>
    <row r="1201" spans="1:7">
      <c r="A1201" t="s">
        <v>8678</v>
      </c>
      <c r="B1201" s="151" t="s">
        <v>2794</v>
      </c>
      <c r="C1201" s="153" t="s">
        <v>2795</v>
      </c>
      <c r="D1201" s="152" t="s">
        <v>2796</v>
      </c>
      <c r="E1201" s="152"/>
      <c r="F1201" s="152"/>
      <c r="G1201">
        <f>IF(getRGB1($C1201)="FFFFFF",0,1)+IF(getRGB1($D1201)="FFFFFF",0,2)+IF(getRGB1($E1201)="FFFFFF",0,3)+IF(getRGB1($F1201)="FFFFFF",0,4)</f>
        <v>1</v>
      </c>
    </row>
    <row r="1202" spans="1:7" ht="60">
      <c r="A1202" t="s">
        <v>8678</v>
      </c>
      <c r="B1202" s="151" t="s">
        <v>2797</v>
      </c>
      <c r="C1202" s="153" t="s">
        <v>2798</v>
      </c>
      <c r="D1202" s="152" t="s">
        <v>2799</v>
      </c>
      <c r="E1202" s="152" t="s">
        <v>2800</v>
      </c>
      <c r="F1202" s="152" t="s">
        <v>2801</v>
      </c>
      <c r="G1202">
        <f>IF(getRGB1($C1202)="FFFFFF",0,1)+IF(getRGB1($D1202)="FFFFFF",0,2)+IF(getRGB1($E1202)="FFFFFF",0,3)+IF(getRGB1($F1202)="FFFFFF",0,4)</f>
        <v>1</v>
      </c>
    </row>
    <row r="1203" spans="1:7" ht="45">
      <c r="A1203" t="s">
        <v>8678</v>
      </c>
      <c r="B1203" s="151" t="s">
        <v>2802</v>
      </c>
      <c r="C1203" s="152" t="s">
        <v>2803</v>
      </c>
      <c r="D1203" s="152" t="s">
        <v>2804</v>
      </c>
      <c r="E1203" s="153" t="s">
        <v>2783</v>
      </c>
      <c r="F1203" s="152" t="s">
        <v>328</v>
      </c>
      <c r="G1203">
        <f>IF(getRGB1($C1203)="FFFFFF",0,1)+IF(getRGB1($D1203)="FFFFFF",0,2)+IF(getRGB1($E1203)="FFFFFF",0,3)+IF(getRGB1($F1203)="FFFFFF",0,4)</f>
        <v>3</v>
      </c>
    </row>
    <row r="1204" spans="1:7" ht="60">
      <c r="A1204" t="s">
        <v>8678</v>
      </c>
      <c r="B1204" s="151" t="s">
        <v>2805</v>
      </c>
      <c r="C1204" s="152" t="s">
        <v>2806</v>
      </c>
      <c r="D1204" s="152" t="s">
        <v>1031</v>
      </c>
      <c r="E1204" s="152" t="s">
        <v>2807</v>
      </c>
      <c r="F1204" s="153" t="s">
        <v>2808</v>
      </c>
      <c r="G1204">
        <f>IF(getRGB1($C1204)="FFFFFF",0,1)+IF(getRGB1($D1204)="FFFFFF",0,2)+IF(getRGB1($E1204)="FFFFFF",0,3)+IF(getRGB1($F1204)="FFFFFF",0,4)</f>
        <v>4</v>
      </c>
    </row>
    <row r="1205" spans="1:7" ht="30">
      <c r="A1205" t="s">
        <v>8678</v>
      </c>
      <c r="B1205" s="151" t="s">
        <v>2809</v>
      </c>
      <c r="C1205" s="152" t="s">
        <v>2810</v>
      </c>
      <c r="D1205" s="152" t="s">
        <v>2811</v>
      </c>
      <c r="E1205" s="153" t="s">
        <v>2812</v>
      </c>
      <c r="F1205" s="152" t="s">
        <v>328</v>
      </c>
      <c r="G1205">
        <f>IF(getRGB1($C1205)="FFFFFF",0,1)+IF(getRGB1($D1205)="FFFFFF",0,2)+IF(getRGB1($E1205)="FFFFFF",0,3)+IF(getRGB1($F1205)="FFFFFF",0,4)</f>
        <v>3</v>
      </c>
    </row>
    <row r="1206" spans="1:7" ht="90">
      <c r="A1206" t="s">
        <v>8678</v>
      </c>
      <c r="B1206" s="151" t="s">
        <v>1029</v>
      </c>
      <c r="C1206" s="152" t="s">
        <v>2813</v>
      </c>
      <c r="D1206" s="152" t="s">
        <v>2814</v>
      </c>
      <c r="E1206" s="153" t="s">
        <v>2812</v>
      </c>
      <c r="F1206" s="152" t="s">
        <v>328</v>
      </c>
      <c r="G1206">
        <f>IF(getRGB1($C1206)="FFFFFF",0,1)+IF(getRGB1($D1206)="FFFFFF",0,2)+IF(getRGB1($E1206)="FFFFFF",0,3)+IF(getRGB1($F1206)="FFFFFF",0,4)</f>
        <v>3</v>
      </c>
    </row>
    <row r="1207" spans="1:7" ht="75">
      <c r="A1207" t="s">
        <v>8678</v>
      </c>
      <c r="B1207" s="151" t="s">
        <v>2815</v>
      </c>
      <c r="C1207" s="152" t="s">
        <v>2816</v>
      </c>
      <c r="D1207" s="152" t="s">
        <v>2817</v>
      </c>
      <c r="E1207" s="152" t="s">
        <v>2818</v>
      </c>
      <c r="F1207" s="153" t="s">
        <v>2808</v>
      </c>
      <c r="G1207">
        <f>IF(getRGB1($C1207)="FFFFFF",0,1)+IF(getRGB1($D1207)="FFFFFF",0,2)+IF(getRGB1($E1207)="FFFFFF",0,3)+IF(getRGB1($F1207)="FFFFFF",0,4)</f>
        <v>4</v>
      </c>
    </row>
    <row r="1208" spans="1:7" ht="60">
      <c r="A1208" t="s">
        <v>8678</v>
      </c>
      <c r="B1208" s="151" t="s">
        <v>2819</v>
      </c>
      <c r="C1208" s="153" t="s">
        <v>2820</v>
      </c>
      <c r="D1208" s="152" t="s">
        <v>2821</v>
      </c>
      <c r="E1208" s="152" t="s">
        <v>2822</v>
      </c>
      <c r="F1208" s="152" t="s">
        <v>2823</v>
      </c>
      <c r="G1208">
        <f>IF(getRGB1($C1208)="FFFFFF",0,1)+IF(getRGB1($D1208)="FFFFFF",0,2)+IF(getRGB1($E1208)="FFFFFF",0,3)+IF(getRGB1($F1208)="FFFFFF",0,4)</f>
        <v>1</v>
      </c>
    </row>
    <row r="1209" spans="1:7" ht="30">
      <c r="A1209" t="s">
        <v>8678</v>
      </c>
      <c r="B1209" s="151" t="s">
        <v>2824</v>
      </c>
      <c r="C1209" s="141">
        <v>0.06</v>
      </c>
      <c r="D1209" s="140">
        <v>7.7499999999999999E-2</v>
      </c>
      <c r="E1209" s="141">
        <v>6.25E-2</v>
      </c>
      <c r="F1209" s="710">
        <v>5.2499999999999998E-2</v>
      </c>
      <c r="G1209">
        <f>IF(getRGB1($C1209)="FFFFFF",0,1)+IF(getRGB1($D1209)="FFFFFF",0,2)+IF(getRGB1($E1209)="FFFFFF",0,3)+IF(getRGB1($F1209)="FFFFFF",0,4)</f>
        <v>2</v>
      </c>
    </row>
    <row r="1210" spans="1:7" ht="30">
      <c r="A1210" t="s">
        <v>8678</v>
      </c>
      <c r="B1210" s="151" t="s">
        <v>2825</v>
      </c>
      <c r="C1210" s="153" t="s">
        <v>2826</v>
      </c>
      <c r="D1210" s="152" t="s">
        <v>2827</v>
      </c>
      <c r="E1210" s="152" t="s">
        <v>2828</v>
      </c>
      <c r="F1210" s="152" t="s">
        <v>2829</v>
      </c>
      <c r="G1210">
        <f>IF(getRGB1($C1210)="FFFFFF",0,1)+IF(getRGB1($D1210)="FFFFFF",0,2)+IF(getRGB1($E1210)="FFFFFF",0,3)+IF(getRGB1($F1210)="FFFFFF",0,4)</f>
        <v>1</v>
      </c>
    </row>
    <row r="1211" spans="1:7" ht="45">
      <c r="A1211" t="s">
        <v>8678</v>
      </c>
      <c r="B1211" s="151" t="s">
        <v>2830</v>
      </c>
      <c r="C1211" s="157">
        <v>0.01</v>
      </c>
      <c r="D1211" s="156">
        <v>0.02</v>
      </c>
      <c r="E1211" s="154">
        <v>2.5000000000000001E-2</v>
      </c>
      <c r="F1211" s="154">
        <v>1.4999999999999999E-2</v>
      </c>
      <c r="G1211">
        <f>IF(getRGB1($C1211)="FFFFFF",0,1)+IF(getRGB1($D1211)="FFFFFF",0,2)+IF(getRGB1($E1211)="FFFFFF",0,3)+IF(getRGB1($F1211)="FFFFFF",0,4)</f>
        <v>1</v>
      </c>
    </row>
    <row r="1212" spans="1:7" ht="45">
      <c r="A1212" t="s">
        <v>8678</v>
      </c>
      <c r="B1212" s="151" t="s">
        <v>2831</v>
      </c>
      <c r="C1212" s="713">
        <v>0.01</v>
      </c>
      <c r="D1212" s="713">
        <v>0.02</v>
      </c>
      <c r="E1212" s="714">
        <v>2.5000000000000001E-2</v>
      </c>
      <c r="F1212" s="155">
        <v>1.4999999999999999E-2</v>
      </c>
      <c r="G1212">
        <f>IF(getRGB1($C1212)="FFFFFF",0,1)+IF(getRGB1($D1212)="FFFFFF",0,2)+IF(getRGB1($E1212)="FFFFFF",0,3)+IF(getRGB1($F1212)="FFFFFF",0,4)</f>
        <v>4</v>
      </c>
    </row>
    <row r="1213" spans="1:7" ht="30">
      <c r="A1213" t="s">
        <v>8678</v>
      </c>
      <c r="B1213" s="151" t="s">
        <v>2832</v>
      </c>
      <c r="C1213" s="160">
        <v>43799</v>
      </c>
      <c r="D1213" s="161">
        <v>43830</v>
      </c>
      <c r="E1213" s="161">
        <v>43496</v>
      </c>
      <c r="F1213" s="161">
        <v>43555</v>
      </c>
      <c r="G1213">
        <f>IF(getRGB1($C1213)="FFFFFF",0,1)+IF(getRGB1($D1213)="FFFFFF",0,2)+IF(getRGB1($E1213)="FFFFFF",0,3)+IF(getRGB1($F1213)="FFFFFF",0,4)</f>
        <v>1</v>
      </c>
    </row>
    <row r="1214" spans="1:7" ht="30">
      <c r="A1214" t="s">
        <v>8678</v>
      </c>
      <c r="B1214" s="151" t="s">
        <v>2833</v>
      </c>
      <c r="C1214" s="152" t="s">
        <v>2834</v>
      </c>
      <c r="D1214" s="152" t="s">
        <v>2835</v>
      </c>
      <c r="E1214" s="152" t="s">
        <v>2836</v>
      </c>
      <c r="F1214" s="162" t="s">
        <v>1000</v>
      </c>
      <c r="G1214">
        <f>IF(getRGB1($C1214)="FFFFFF",0,1)+IF(getRGB1($D1214)="FFFFFF",0,2)+IF(getRGB1($E1214)="FFFFFF",0,3)+IF(getRGB1($F1214)="FFFFFF",0,4)</f>
        <v>4</v>
      </c>
    </row>
    <row r="1215" spans="1:7">
      <c r="A1215" t="s">
        <v>8679</v>
      </c>
      <c r="B1215" s="715" t="s">
        <v>3103</v>
      </c>
      <c r="C1215" s="716" t="s">
        <v>3104</v>
      </c>
      <c r="D1215" s="716" t="s">
        <v>3105</v>
      </c>
      <c r="E1215" s="192" t="s">
        <v>3106</v>
      </c>
      <c r="F1215" s="716" t="s">
        <v>3107</v>
      </c>
      <c r="G1215">
        <f>IF(getRGB1($C1215)="FFFFFF",0,1)+IF(getRGB1($D1215)="FFFFFF",0,2)+IF(getRGB1($E1215)="FFFFFF",0,3)+IF(getRGB1($F1215)="FFFFFF",0,4)</f>
        <v>3</v>
      </c>
    </row>
    <row r="1216" spans="1:7" ht="25.5">
      <c r="A1216" t="s">
        <v>8679</v>
      </c>
      <c r="B1216" s="715" t="s">
        <v>3108</v>
      </c>
      <c r="C1216" s="716" t="s">
        <v>3109</v>
      </c>
      <c r="D1216" s="716" t="s">
        <v>3110</v>
      </c>
      <c r="E1216" s="716" t="s">
        <v>3111</v>
      </c>
      <c r="F1216" s="192" t="s">
        <v>3112</v>
      </c>
      <c r="G1216">
        <f>IF(getRGB1($C1216)="FFFFFF",0,1)+IF(getRGB1($D1216)="FFFFFF",0,2)+IF(getRGB1($E1216)="FFFFFF",0,3)+IF(getRGB1($F1216)="FFFFFF",0,4)</f>
        <v>4</v>
      </c>
    </row>
    <row r="1217" spans="1:7" ht="38.25">
      <c r="A1217" t="s">
        <v>8679</v>
      </c>
      <c r="B1217" s="715" t="s">
        <v>3113</v>
      </c>
      <c r="C1217" s="716" t="s">
        <v>3114</v>
      </c>
      <c r="D1217" s="716" t="s">
        <v>3115</v>
      </c>
      <c r="E1217" s="192" t="s">
        <v>3116</v>
      </c>
      <c r="F1217" s="716" t="s">
        <v>3117</v>
      </c>
      <c r="G1217">
        <f>IF(getRGB1($C1217)="FFFFFF",0,1)+IF(getRGB1($D1217)="FFFFFF",0,2)+IF(getRGB1($E1217)="FFFFFF",0,3)+IF(getRGB1($F1217)="FFFFFF",0,4)</f>
        <v>3</v>
      </c>
    </row>
    <row r="1218" spans="1:7">
      <c r="A1218" t="s">
        <v>8679</v>
      </c>
      <c r="B1218" s="715" t="s">
        <v>3118</v>
      </c>
      <c r="C1218" s="716" t="s">
        <v>3119</v>
      </c>
      <c r="D1218" s="716" t="s">
        <v>3120</v>
      </c>
      <c r="E1218" s="716" t="s">
        <v>3121</v>
      </c>
      <c r="F1218" s="192" t="s">
        <v>3122</v>
      </c>
      <c r="G1218">
        <f>IF(getRGB1($C1218)="FFFFFF",0,1)+IF(getRGB1($D1218)="FFFFFF",0,2)+IF(getRGB1($E1218)="FFFFFF",0,3)+IF(getRGB1($F1218)="FFFFFF",0,4)</f>
        <v>4</v>
      </c>
    </row>
    <row r="1219" spans="1:7" ht="38.25">
      <c r="A1219" t="s">
        <v>8679</v>
      </c>
      <c r="B1219" s="715" t="s">
        <v>3123</v>
      </c>
      <c r="C1219" s="717" t="s">
        <v>3124</v>
      </c>
      <c r="D1219" s="717" t="s">
        <v>994</v>
      </c>
      <c r="E1219" s="192" t="s">
        <v>7552</v>
      </c>
      <c r="F1219" s="717" t="s">
        <v>7553</v>
      </c>
      <c r="G1219">
        <f>IF(getRGB1($C1219)="FFFFFF",0,1)+IF(getRGB1($D1219)="FFFFFF",0,2)+IF(getRGB1($E1219)="FFFFFF",0,3)+IF(getRGB1($F1219)="FFFFFF",0,4)</f>
        <v>3</v>
      </c>
    </row>
    <row r="1220" spans="1:7" ht="25.5">
      <c r="A1220" t="s">
        <v>8679</v>
      </c>
      <c r="B1220" s="715" t="s">
        <v>3125</v>
      </c>
      <c r="C1220" s="716" t="s">
        <v>3126</v>
      </c>
      <c r="D1220" s="192" t="s">
        <v>3127</v>
      </c>
      <c r="E1220" s="716" t="s">
        <v>3128</v>
      </c>
      <c r="F1220" s="716" t="s">
        <v>3129</v>
      </c>
      <c r="G1220">
        <f>IF(getRGB1($C1220)="FFFFFF",0,1)+IF(getRGB1($D1220)="FFFFFF",0,2)+IF(getRGB1($E1220)="FFFFFF",0,3)+IF(getRGB1($F1220)="FFFFFF",0,4)</f>
        <v>2</v>
      </c>
    </row>
    <row r="1221" spans="1:7" ht="25.5">
      <c r="A1221" t="s">
        <v>8679</v>
      </c>
      <c r="B1221" s="715" t="s">
        <v>3130</v>
      </c>
      <c r="C1221" s="716" t="s">
        <v>3131</v>
      </c>
      <c r="D1221" s="716" t="s">
        <v>3132</v>
      </c>
      <c r="E1221" s="192" t="s">
        <v>3133</v>
      </c>
      <c r="F1221" s="716" t="s">
        <v>3134</v>
      </c>
      <c r="G1221">
        <f>IF(getRGB1($C1221)="FFFFFF",0,1)+IF(getRGB1($D1221)="FFFFFF",0,2)+IF(getRGB1($E1221)="FFFFFF",0,3)+IF(getRGB1($F1221)="FFFFFF",0,4)</f>
        <v>3</v>
      </c>
    </row>
    <row r="1222" spans="1:7">
      <c r="A1222" t="s">
        <v>8679</v>
      </c>
      <c r="B1222" s="715" t="s">
        <v>3135</v>
      </c>
      <c r="C1222" s="194" t="s">
        <v>3136</v>
      </c>
      <c r="D1222" s="716" t="s">
        <v>3137</v>
      </c>
      <c r="E1222" s="716" t="s">
        <v>3138</v>
      </c>
      <c r="F1222" s="192" t="s">
        <v>3139</v>
      </c>
      <c r="G1222">
        <f>IF(getRGB1($C1222)="FFFFFF",0,1)+IF(getRGB1($D1222)="FFFFFF",0,2)+IF(getRGB1($E1222)="FFFFFF",0,3)+IF(getRGB1($F1222)="FFFFFF",0,4)</f>
        <v>4</v>
      </c>
    </row>
    <row r="1223" spans="1:7" ht="25.5">
      <c r="A1223" t="s">
        <v>8679</v>
      </c>
      <c r="B1223" s="715" t="s">
        <v>3140</v>
      </c>
      <c r="C1223" s="716" t="s">
        <v>3141</v>
      </c>
      <c r="D1223" s="716" t="s">
        <v>3142</v>
      </c>
      <c r="E1223" s="716" t="s">
        <v>3143</v>
      </c>
      <c r="F1223" s="192" t="s">
        <v>3144</v>
      </c>
      <c r="G1223">
        <f>IF(getRGB1($C1223)="FFFFFF",0,1)+IF(getRGB1($D1223)="FFFFFF",0,2)+IF(getRGB1($E1223)="FFFFFF",0,3)+IF(getRGB1($F1223)="FFFFFF",0,4)</f>
        <v>4</v>
      </c>
    </row>
    <row r="1224" spans="1:7" ht="38.25">
      <c r="A1224" t="s">
        <v>8679</v>
      </c>
      <c r="B1224" s="715" t="s">
        <v>3145</v>
      </c>
      <c r="C1224" s="716" t="s">
        <v>1422</v>
      </c>
      <c r="D1224" s="716" t="s">
        <v>3146</v>
      </c>
      <c r="E1224" s="716" t="s">
        <v>3147</v>
      </c>
      <c r="F1224" s="192" t="s">
        <v>3148</v>
      </c>
      <c r="G1224">
        <f>IF(getRGB1($C1224)="FFFFFF",0,1)+IF(getRGB1($D1224)="FFFFFF",0,2)+IF(getRGB1($E1224)="FFFFFF",0,3)+IF(getRGB1($F1224)="FFFFFF",0,4)</f>
        <v>4</v>
      </c>
    </row>
    <row r="1225" spans="1:7" ht="25.5">
      <c r="A1225" t="s">
        <v>8679</v>
      </c>
      <c r="B1225" s="715" t="s">
        <v>3149</v>
      </c>
      <c r="C1225" s="716" t="s">
        <v>3150</v>
      </c>
      <c r="D1225" s="192" t="s">
        <v>3151</v>
      </c>
      <c r="E1225" s="716" t="s">
        <v>3152</v>
      </c>
      <c r="F1225" s="716" t="s">
        <v>3153</v>
      </c>
      <c r="G1225">
        <f>IF(getRGB1($C1225)="FFFFFF",0,1)+IF(getRGB1($D1225)="FFFFFF",0,2)+IF(getRGB1($E1225)="FFFFFF",0,3)+IF(getRGB1($F1225)="FFFFFF",0,4)</f>
        <v>2</v>
      </c>
    </row>
    <row r="1226" spans="1:7" ht="38.25">
      <c r="A1226" t="s">
        <v>8679</v>
      </c>
      <c r="B1226" s="715" t="s">
        <v>3154</v>
      </c>
      <c r="C1226" s="716" t="s">
        <v>3155</v>
      </c>
      <c r="D1226" s="716" t="s">
        <v>3156</v>
      </c>
      <c r="E1226" s="716" t="s">
        <v>3157</v>
      </c>
      <c r="F1226" s="192" t="s">
        <v>3158</v>
      </c>
      <c r="G1226">
        <f>IF(getRGB1($C1226)="FFFFFF",0,1)+IF(getRGB1($D1226)="FFFFFF",0,2)+IF(getRGB1($E1226)="FFFFFF",0,3)+IF(getRGB1($F1226)="FFFFFF",0,4)</f>
        <v>4</v>
      </c>
    </row>
    <row r="1227" spans="1:7">
      <c r="A1227" t="s">
        <v>8679</v>
      </c>
      <c r="B1227" s="715" t="s">
        <v>3159</v>
      </c>
      <c r="C1227" s="716" t="s">
        <v>3160</v>
      </c>
      <c r="D1227" s="194" t="s">
        <v>3161</v>
      </c>
      <c r="E1227" s="192" t="s">
        <v>3162</v>
      </c>
      <c r="F1227" s="716" t="s">
        <v>3163</v>
      </c>
      <c r="G1227">
        <f>IF(getRGB1($C1227)="FFFFFF",0,1)+IF(getRGB1($D1227)="FFFFFF",0,2)+IF(getRGB1($E1227)="FFFFFF",0,3)+IF(getRGB1($F1227)="FFFFFF",0,4)</f>
        <v>3</v>
      </c>
    </row>
    <row r="1228" spans="1:7" ht="25.5">
      <c r="A1228" t="s">
        <v>8679</v>
      </c>
      <c r="B1228" s="715" t="s">
        <v>3164</v>
      </c>
      <c r="C1228" s="716" t="s">
        <v>3165</v>
      </c>
      <c r="D1228" s="194" t="s">
        <v>3166</v>
      </c>
      <c r="E1228" s="716" t="s">
        <v>3167</v>
      </c>
      <c r="F1228" s="192" t="s">
        <v>3168</v>
      </c>
      <c r="G1228">
        <f>IF(getRGB1($C1228)="FFFFFF",0,1)+IF(getRGB1($D1228)="FFFFFF",0,2)+IF(getRGB1($E1228)="FFFFFF",0,3)+IF(getRGB1($F1228)="FFFFFF",0,4)</f>
        <v>4</v>
      </c>
    </row>
    <row r="1229" spans="1:7" ht="51">
      <c r="A1229" t="s">
        <v>8679</v>
      </c>
      <c r="B1229" s="715" t="s">
        <v>3169</v>
      </c>
      <c r="C1229" s="716">
        <v>1500</v>
      </c>
      <c r="D1229" s="716">
        <v>1500000</v>
      </c>
      <c r="E1229" s="716">
        <v>15</v>
      </c>
      <c r="F1229" s="192" t="s">
        <v>1422</v>
      </c>
      <c r="G1229">
        <f>IF(getRGB1($C1229)="FFFFFF",0,1)+IF(getRGB1($D1229)="FFFFFF",0,2)+IF(getRGB1($E1229)="FFFFFF",0,3)+IF(getRGB1($F1229)="FFFFFF",0,4)</f>
        <v>4</v>
      </c>
    </row>
    <row r="1230" spans="1:7" ht="25.5">
      <c r="A1230" t="s">
        <v>8679</v>
      </c>
      <c r="B1230" s="715" t="s">
        <v>3170</v>
      </c>
      <c r="C1230" s="716" t="s">
        <v>3171</v>
      </c>
      <c r="D1230" s="192" t="s">
        <v>3172</v>
      </c>
      <c r="E1230" s="716" t="s">
        <v>3173</v>
      </c>
      <c r="F1230" s="716" t="s">
        <v>3174</v>
      </c>
      <c r="G1230">
        <f>IF(getRGB1($C1230)="FFFFFF",0,1)+IF(getRGB1($D1230)="FFFFFF",0,2)+IF(getRGB1($E1230)="FFFFFF",0,3)+IF(getRGB1($F1230)="FFFFFF",0,4)</f>
        <v>2</v>
      </c>
    </row>
    <row r="1231" spans="1:7" ht="75">
      <c r="A1231" t="s">
        <v>8679</v>
      </c>
      <c r="B1231" s="715" t="s">
        <v>3175</v>
      </c>
      <c r="C1231" s="716" t="s">
        <v>3176</v>
      </c>
      <c r="D1231" s="716" t="s">
        <v>3177</v>
      </c>
      <c r="E1231" s="716" t="s">
        <v>3178</v>
      </c>
      <c r="F1231" s="195" t="s">
        <v>3179</v>
      </c>
      <c r="G1231">
        <f>IF(getRGB1($C1231)="FFFFFF",0,1)+IF(getRGB1($D1231)="FFFFFF",0,2)+IF(getRGB1($E1231)="FFFFFF",0,3)+IF(getRGB1($F1231)="FFFFFF",0,4)</f>
        <v>4</v>
      </c>
    </row>
    <row r="1232" spans="1:7" ht="25.5">
      <c r="A1232" t="s">
        <v>8679</v>
      </c>
      <c r="B1232" s="715" t="s">
        <v>3180</v>
      </c>
      <c r="C1232" s="716" t="s">
        <v>173</v>
      </c>
      <c r="D1232" s="192" t="s">
        <v>3181</v>
      </c>
      <c r="E1232" s="716" t="s">
        <v>3182</v>
      </c>
      <c r="F1232" s="716" t="s">
        <v>76</v>
      </c>
      <c r="G1232">
        <f>IF(getRGB1($C1232)="FFFFFF",0,1)+IF(getRGB1($D1232)="FFFFFF",0,2)+IF(getRGB1($E1232)="FFFFFF",0,3)+IF(getRGB1($F1232)="FFFFFF",0,4)</f>
        <v>2</v>
      </c>
    </row>
    <row r="1233" spans="1:7" ht="51">
      <c r="A1233" t="s">
        <v>8679</v>
      </c>
      <c r="B1233" s="718" t="s">
        <v>3183</v>
      </c>
      <c r="C1233" s="716" t="s">
        <v>3184</v>
      </c>
      <c r="D1233" s="716" t="s">
        <v>3185</v>
      </c>
      <c r="E1233" s="192" t="s">
        <v>3186</v>
      </c>
      <c r="F1233" s="716" t="s">
        <v>3187</v>
      </c>
      <c r="G1233">
        <f>IF(getRGB1($C1233)="FFFFFF",0,1)+IF(getRGB1($D1233)="FFFFFF",0,2)+IF(getRGB1($E1233)="FFFFFF",0,3)+IF(getRGB1($F1233)="FFFFFF",0,4)</f>
        <v>3</v>
      </c>
    </row>
    <row r="1234" spans="1:7" ht="25.5">
      <c r="A1234" t="s">
        <v>8679</v>
      </c>
      <c r="B1234" s="715" t="s">
        <v>3188</v>
      </c>
      <c r="C1234" s="192" t="s">
        <v>3189</v>
      </c>
      <c r="D1234" s="716" t="s">
        <v>3190</v>
      </c>
      <c r="E1234" s="716" t="s">
        <v>3191</v>
      </c>
      <c r="F1234" s="716" t="s">
        <v>3192</v>
      </c>
      <c r="G1234">
        <f>IF(getRGB1($C1234)="FFFFFF",0,1)+IF(getRGB1($D1234)="FFFFFF",0,2)+IF(getRGB1($E1234)="FFFFFF",0,3)+IF(getRGB1($F1234)="FFFFFF",0,4)</f>
        <v>1</v>
      </c>
    </row>
    <row r="1235" spans="1:7" ht="25.5">
      <c r="A1235" t="s">
        <v>8679</v>
      </c>
      <c r="B1235" s="715" t="s">
        <v>3193</v>
      </c>
      <c r="C1235" s="716" t="s">
        <v>3194</v>
      </c>
      <c r="D1235" s="716" t="s">
        <v>3195</v>
      </c>
      <c r="E1235" s="192" t="s">
        <v>3196</v>
      </c>
      <c r="F1235" s="716" t="s">
        <v>3197</v>
      </c>
      <c r="G1235">
        <f>IF(getRGB1($C1235)="FFFFFF",0,1)+IF(getRGB1($D1235)="FFFFFF",0,2)+IF(getRGB1($E1235)="FFFFFF",0,3)+IF(getRGB1($F1235)="FFFFFF",0,4)</f>
        <v>3</v>
      </c>
    </row>
    <row r="1236" spans="1:7">
      <c r="A1236" t="s">
        <v>8679</v>
      </c>
      <c r="B1236" s="715" t="s">
        <v>3198</v>
      </c>
      <c r="C1236" s="192" t="s">
        <v>3136</v>
      </c>
      <c r="D1236" s="716" t="s">
        <v>3137</v>
      </c>
      <c r="E1236" s="716" t="s">
        <v>3138</v>
      </c>
      <c r="F1236" s="716" t="s">
        <v>3139</v>
      </c>
      <c r="G1236">
        <f>IF(getRGB1($C1236)="FFFFFF",0,1)+IF(getRGB1($D1236)="FFFFFF",0,2)+IF(getRGB1($E1236)="FFFFFF",0,3)+IF(getRGB1($F1236)="FFFFFF",0,4)</f>
        <v>1</v>
      </c>
    </row>
    <row r="1237" spans="1:7">
      <c r="A1237" t="s">
        <v>8679</v>
      </c>
      <c r="B1237" s="719" t="s">
        <v>3199</v>
      </c>
      <c r="C1237" s="587" t="s">
        <v>1976</v>
      </c>
      <c r="D1237" s="719" t="s">
        <v>3200</v>
      </c>
      <c r="E1237" s="719" t="s">
        <v>3201</v>
      </c>
      <c r="F1237" s="719" t="s">
        <v>3202</v>
      </c>
      <c r="G1237">
        <f>IF(getRGB1($C1237)="FFFFFF",0,1)+IF(getRGB1($D1237)="FFFFFF",0,2)+IF(getRGB1($E1237)="FFFFFF",0,3)+IF(getRGB1($F1237)="FFFFFF",0,4)</f>
        <v>1</v>
      </c>
    </row>
    <row r="1238" spans="1:7">
      <c r="A1238" t="s">
        <v>8679</v>
      </c>
      <c r="B1238" s="719" t="s">
        <v>3203</v>
      </c>
      <c r="C1238" s="719" t="s">
        <v>166</v>
      </c>
      <c r="D1238" s="719" t="s">
        <v>3204</v>
      </c>
      <c r="E1238" s="587" t="s">
        <v>3205</v>
      </c>
      <c r="F1238" s="719" t="s">
        <v>3206</v>
      </c>
      <c r="G1238">
        <f>IF(getRGB1($C1238)="FFFFFF",0,1)+IF(getRGB1($D1238)="FFFFFF",0,2)+IF(getRGB1($E1238)="FFFFFF",0,3)+IF(getRGB1($F1238)="FFFFFF",0,4)</f>
        <v>3</v>
      </c>
    </row>
    <row r="1239" spans="1:7" ht="38.25">
      <c r="A1239" t="s">
        <v>8679</v>
      </c>
      <c r="B1239" s="719" t="s">
        <v>3207</v>
      </c>
      <c r="C1239" s="719" t="s">
        <v>3208</v>
      </c>
      <c r="D1239" s="719" t="s">
        <v>3209</v>
      </c>
      <c r="E1239" s="719" t="s">
        <v>3210</v>
      </c>
      <c r="F1239" s="587" t="s">
        <v>3211</v>
      </c>
      <c r="G1239">
        <f>IF(getRGB1($C1239)="FFFFFF",0,1)+IF(getRGB1($D1239)="FFFFFF",0,2)+IF(getRGB1($E1239)="FFFFFF",0,3)+IF(getRGB1($F1239)="FFFFFF",0,4)</f>
        <v>4</v>
      </c>
    </row>
    <row r="1240" spans="1:7" ht="25.5">
      <c r="A1240" t="s">
        <v>8679</v>
      </c>
      <c r="B1240" s="719" t="s">
        <v>7554</v>
      </c>
      <c r="C1240" s="719" t="s">
        <v>3221</v>
      </c>
      <c r="D1240" s="587" t="s">
        <v>3220</v>
      </c>
      <c r="E1240" s="719"/>
      <c r="F1240" s="719"/>
      <c r="G1240">
        <f>IF(getRGB1($C1240)="FFFFFF",0,1)+IF(getRGB1($D1240)="FFFFFF",0,2)+IF(getRGB1($E1240)="FFFFFF",0,3)+IF(getRGB1($F1240)="FFFFFF",0,4)</f>
        <v>2</v>
      </c>
    </row>
    <row r="1241" spans="1:7">
      <c r="A1241" t="s">
        <v>8679</v>
      </c>
      <c r="B1241" s="719" t="s">
        <v>3212</v>
      </c>
      <c r="C1241" s="719" t="s">
        <v>3213</v>
      </c>
      <c r="D1241" s="719" t="s">
        <v>3214</v>
      </c>
      <c r="E1241" s="719" t="s">
        <v>3215</v>
      </c>
      <c r="F1241" s="587" t="s">
        <v>2812</v>
      </c>
      <c r="G1241">
        <f>IF(getRGB1($C1241)="FFFFFF",0,1)+IF(getRGB1($D1241)="FFFFFF",0,2)+IF(getRGB1($E1241)="FFFFFF",0,3)+IF(getRGB1($F1241)="FFFFFF",0,4)</f>
        <v>4</v>
      </c>
    </row>
    <row r="1242" spans="1:7">
      <c r="A1242" t="s">
        <v>8679</v>
      </c>
      <c r="B1242" s="719" t="s">
        <v>3216</v>
      </c>
      <c r="C1242" s="587" t="s">
        <v>76</v>
      </c>
      <c r="D1242" s="719" t="s">
        <v>179</v>
      </c>
      <c r="E1242" s="719" t="s">
        <v>557</v>
      </c>
      <c r="F1242" s="719" t="s">
        <v>174</v>
      </c>
      <c r="G1242">
        <f>IF(getRGB1($C1242)="FFFFFF",0,1)+IF(getRGB1($D1242)="FFFFFF",0,2)+IF(getRGB1($E1242)="FFFFFF",0,3)+IF(getRGB1($F1242)="FFFFFF",0,4)</f>
        <v>1</v>
      </c>
    </row>
    <row r="1243" spans="1:7">
      <c r="A1243" t="s">
        <v>8679</v>
      </c>
      <c r="B1243" s="719" t="s">
        <v>3217</v>
      </c>
      <c r="C1243" s="719" t="s">
        <v>994</v>
      </c>
      <c r="D1243" s="719" t="s">
        <v>995</v>
      </c>
      <c r="E1243" s="587" t="s">
        <v>993</v>
      </c>
      <c r="F1243" s="719" t="s">
        <v>3218</v>
      </c>
      <c r="G1243">
        <f>IF(getRGB1($C1243)="FFFFFF",0,1)+IF(getRGB1($D1243)="FFFFFF",0,2)+IF(getRGB1($E1243)="FFFFFF",0,3)+IF(getRGB1($F1243)="FFFFFF",0,4)</f>
        <v>3</v>
      </c>
    </row>
    <row r="1244" spans="1:7" ht="38.25">
      <c r="A1244" t="s">
        <v>8679</v>
      </c>
      <c r="B1244" s="719" t="s">
        <v>3219</v>
      </c>
      <c r="C1244" s="587" t="s">
        <v>3220</v>
      </c>
      <c r="D1244" s="719" t="s">
        <v>3221</v>
      </c>
      <c r="E1244" s="719"/>
      <c r="F1244" s="719"/>
      <c r="G1244">
        <f>IF(getRGB1($C1244)="FFFFFF",0,1)+IF(getRGB1($D1244)="FFFFFF",0,2)+IF(getRGB1($E1244)="FFFFFF",0,3)+IF(getRGB1($F1244)="FFFFFF",0,4)</f>
        <v>1</v>
      </c>
    </row>
    <row r="1245" spans="1:7">
      <c r="A1245" t="s">
        <v>8679</v>
      </c>
      <c r="B1245" s="719" t="s">
        <v>3222</v>
      </c>
      <c r="C1245" s="587" t="s">
        <v>1122</v>
      </c>
      <c r="D1245" s="719" t="s">
        <v>76</v>
      </c>
      <c r="E1245" s="719" t="s">
        <v>3223</v>
      </c>
      <c r="F1245" s="719" t="s">
        <v>174</v>
      </c>
      <c r="G1245">
        <f>IF(getRGB1($C1245)="FFFFFF",0,1)+IF(getRGB1($D1245)="FFFFFF",0,2)+IF(getRGB1($E1245)="FFFFFF",0,3)+IF(getRGB1($F1245)="FFFFFF",0,4)</f>
        <v>1</v>
      </c>
    </row>
    <row r="1246" spans="1:7" ht="25.5">
      <c r="A1246" t="s">
        <v>8679</v>
      </c>
      <c r="B1246" s="719" t="s">
        <v>3224</v>
      </c>
      <c r="C1246" s="719" t="s">
        <v>3225</v>
      </c>
      <c r="D1246" s="587" t="s">
        <v>3226</v>
      </c>
      <c r="E1246" s="719" t="s">
        <v>3227</v>
      </c>
      <c r="F1246" s="719" t="s">
        <v>3228</v>
      </c>
      <c r="G1246">
        <f>IF(getRGB1($C1246)="FFFFFF",0,1)+IF(getRGB1($D1246)="FFFFFF",0,2)+IF(getRGB1($E1246)="FFFFFF",0,3)+IF(getRGB1($F1246)="FFFFFF",0,4)</f>
        <v>2</v>
      </c>
    </row>
    <row r="1247" spans="1:7">
      <c r="A1247" t="s">
        <v>8679</v>
      </c>
      <c r="B1247" s="719" t="s">
        <v>3229</v>
      </c>
      <c r="C1247" s="719" t="s">
        <v>174</v>
      </c>
      <c r="D1247" s="587" t="s">
        <v>3230</v>
      </c>
      <c r="E1247" s="719" t="s">
        <v>76</v>
      </c>
      <c r="F1247" s="719" t="s">
        <v>3231</v>
      </c>
      <c r="G1247">
        <f>IF(getRGB1($C1247)="FFFFFF",0,1)+IF(getRGB1($D1247)="FFFFFF",0,2)+IF(getRGB1($E1247)="FFFFFF",0,3)+IF(getRGB1($F1247)="FFFFFF",0,4)</f>
        <v>2</v>
      </c>
    </row>
    <row r="1248" spans="1:7" ht="25.5">
      <c r="A1248" t="s">
        <v>8679</v>
      </c>
      <c r="B1248" s="719" t="s">
        <v>3232</v>
      </c>
      <c r="C1248" s="719" t="s">
        <v>557</v>
      </c>
      <c r="D1248" s="719" t="s">
        <v>173</v>
      </c>
      <c r="E1248" s="587" t="s">
        <v>76</v>
      </c>
      <c r="F1248" s="719" t="s">
        <v>3231</v>
      </c>
      <c r="G1248">
        <f>IF(getRGB1($C1248)="FFFFFF",0,1)+IF(getRGB1($D1248)="FFFFFF",0,2)+IF(getRGB1($E1248)="FFFFFF",0,3)+IF(getRGB1($F1248)="FFFFFF",0,4)</f>
        <v>3</v>
      </c>
    </row>
    <row r="1249" spans="1:7" ht="51">
      <c r="A1249" t="s">
        <v>8679</v>
      </c>
      <c r="B1249" s="719" t="s">
        <v>3233</v>
      </c>
      <c r="C1249" s="587" t="s">
        <v>3234</v>
      </c>
      <c r="D1249" s="719" t="s">
        <v>3235</v>
      </c>
      <c r="E1249" s="719" t="s">
        <v>3236</v>
      </c>
      <c r="F1249" s="719" t="s">
        <v>3237</v>
      </c>
      <c r="G1249">
        <f>IF(getRGB1($C1249)="FFFFFF",0,1)+IF(getRGB1($D1249)="FFFFFF",0,2)+IF(getRGB1($E1249)="FFFFFF",0,3)+IF(getRGB1($F1249)="FFFFFF",0,4)</f>
        <v>1</v>
      </c>
    </row>
    <row r="1250" spans="1:7" ht="25.5">
      <c r="A1250" t="s">
        <v>8679</v>
      </c>
      <c r="B1250" s="719" t="s">
        <v>3238</v>
      </c>
      <c r="C1250" s="719" t="s">
        <v>3239</v>
      </c>
      <c r="D1250" s="719" t="s">
        <v>3240</v>
      </c>
      <c r="E1250" s="587" t="s">
        <v>3241</v>
      </c>
      <c r="F1250" s="719" t="s">
        <v>3242</v>
      </c>
      <c r="G1250">
        <f>IF(getRGB1($C1250)="FFFFFF",0,1)+IF(getRGB1($D1250)="FFFFFF",0,2)+IF(getRGB1($E1250)="FFFFFF",0,3)+IF(getRGB1($F1250)="FFFFFF",0,4)</f>
        <v>3</v>
      </c>
    </row>
    <row r="1251" spans="1:7">
      <c r="A1251" t="s">
        <v>8679</v>
      </c>
      <c r="B1251" s="719" t="s">
        <v>3243</v>
      </c>
      <c r="C1251" s="587" t="s">
        <v>557</v>
      </c>
      <c r="D1251" s="719" t="s">
        <v>177</v>
      </c>
      <c r="E1251" s="719" t="s">
        <v>173</v>
      </c>
      <c r="F1251" s="719" t="s">
        <v>3244</v>
      </c>
      <c r="G1251">
        <f>IF(getRGB1($C1251)="FFFFFF",0,1)+IF(getRGB1($D1251)="FFFFFF",0,2)+IF(getRGB1($E1251)="FFFFFF",0,3)+IF(getRGB1($F1251)="FFFFFF",0,4)</f>
        <v>1</v>
      </c>
    </row>
    <row r="1252" spans="1:7">
      <c r="A1252" t="s">
        <v>8679</v>
      </c>
      <c r="B1252" s="719" t="s">
        <v>3245</v>
      </c>
      <c r="C1252" s="587" t="s">
        <v>3246</v>
      </c>
      <c r="D1252" s="719" t="s">
        <v>3247</v>
      </c>
      <c r="E1252" s="719" t="s">
        <v>3248</v>
      </c>
      <c r="F1252" s="719" t="s">
        <v>3249</v>
      </c>
      <c r="G1252">
        <f>IF(getRGB1($C1252)="FFFFFF",0,1)+IF(getRGB1($D1252)="FFFFFF",0,2)+IF(getRGB1($E1252)="FFFFFF",0,3)+IF(getRGB1($F1252)="FFFFFF",0,4)</f>
        <v>1</v>
      </c>
    </row>
    <row r="1253" spans="1:7" ht="38.25">
      <c r="A1253" t="s">
        <v>8679</v>
      </c>
      <c r="B1253" s="719" t="s">
        <v>3250</v>
      </c>
      <c r="C1253" s="719" t="s">
        <v>3251</v>
      </c>
      <c r="D1253" s="587" t="s">
        <v>3240</v>
      </c>
      <c r="E1253" s="719" t="s">
        <v>3252</v>
      </c>
      <c r="F1253" s="719" t="s">
        <v>3253</v>
      </c>
      <c r="G1253">
        <f>IF(getRGB1($C1253)="FFFFFF",0,1)+IF(getRGB1($D1253)="FFFFFF",0,2)+IF(getRGB1($E1253)="FFFFFF",0,3)+IF(getRGB1($F1253)="FFFFFF",0,4)</f>
        <v>2</v>
      </c>
    </row>
    <row r="1254" spans="1:7" ht="38.25">
      <c r="A1254" t="s">
        <v>8679</v>
      </c>
      <c r="B1254" s="719" t="s">
        <v>3254</v>
      </c>
      <c r="C1254" s="587" t="s">
        <v>3251</v>
      </c>
      <c r="D1254" s="719" t="s">
        <v>3240</v>
      </c>
      <c r="E1254" s="719" t="s">
        <v>3252</v>
      </c>
      <c r="F1254" s="719" t="s">
        <v>3253</v>
      </c>
      <c r="G1254">
        <f>IF(getRGB1($C1254)="FFFFFF",0,1)+IF(getRGB1($D1254)="FFFFFF",0,2)+IF(getRGB1($E1254)="FFFFFF",0,3)+IF(getRGB1($F1254)="FFFFFF",0,4)</f>
        <v>1</v>
      </c>
    </row>
    <row r="1255" spans="1:7" ht="38.25">
      <c r="A1255" t="s">
        <v>8679</v>
      </c>
      <c r="B1255" s="719" t="s">
        <v>3255</v>
      </c>
      <c r="C1255" s="587" t="s">
        <v>3256</v>
      </c>
      <c r="D1255" s="719" t="s">
        <v>3257</v>
      </c>
      <c r="E1255" s="719" t="s">
        <v>3258</v>
      </c>
      <c r="F1255" s="719" t="s">
        <v>3259</v>
      </c>
      <c r="G1255">
        <f>IF(getRGB1($C1255)="FFFFFF",0,1)+IF(getRGB1($D1255)="FFFFFF",0,2)+IF(getRGB1($E1255)="FFFFFF",0,3)+IF(getRGB1($F1255)="FFFFFF",0,4)</f>
        <v>1</v>
      </c>
    </row>
    <row r="1256" spans="1:7" ht="25.5">
      <c r="A1256" t="s">
        <v>8679</v>
      </c>
      <c r="B1256" s="719" t="s">
        <v>3260</v>
      </c>
      <c r="C1256" s="719" t="s">
        <v>3261</v>
      </c>
      <c r="D1256" s="719" t="s">
        <v>3262</v>
      </c>
      <c r="E1256" s="719" t="s">
        <v>3263</v>
      </c>
      <c r="F1256" s="587" t="s">
        <v>3264</v>
      </c>
      <c r="G1256">
        <f>IF(getRGB1($C1256)="FFFFFF",0,1)+IF(getRGB1($D1256)="FFFFFF",0,2)+IF(getRGB1($E1256)="FFFFFF",0,3)+IF(getRGB1($F1256)="FFFFFF",0,4)</f>
        <v>4</v>
      </c>
    </row>
    <row r="1257" spans="1:7" ht="25.5">
      <c r="A1257" t="s">
        <v>8679</v>
      </c>
      <c r="B1257" s="719" t="s">
        <v>3265</v>
      </c>
      <c r="C1257" s="587" t="s">
        <v>3266</v>
      </c>
      <c r="D1257" s="719" t="s">
        <v>3262</v>
      </c>
      <c r="E1257" s="719" t="s">
        <v>3263</v>
      </c>
      <c r="F1257" s="719" t="s">
        <v>3267</v>
      </c>
      <c r="G1257">
        <f>IF(getRGB1($C1257)="FFFFFF",0,1)+IF(getRGB1($D1257)="FFFFFF",0,2)+IF(getRGB1($E1257)="FFFFFF",0,3)+IF(getRGB1($F1257)="FFFFFF",0,4)</f>
        <v>1</v>
      </c>
    </row>
    <row r="1258" spans="1:7" ht="25.5">
      <c r="A1258" t="s">
        <v>8679</v>
      </c>
      <c r="B1258" s="719" t="s">
        <v>3268</v>
      </c>
      <c r="C1258" s="719" t="s">
        <v>3269</v>
      </c>
      <c r="D1258" s="719" t="s">
        <v>3270</v>
      </c>
      <c r="E1258" s="587" t="s">
        <v>3271</v>
      </c>
      <c r="F1258" s="719" t="s">
        <v>3272</v>
      </c>
      <c r="G1258">
        <f>IF(getRGB1($C1258)="FFFFFF",0,1)+IF(getRGB1($D1258)="FFFFFF",0,2)+IF(getRGB1($E1258)="FFFFFF",0,3)+IF(getRGB1($F1258)="FFFFFF",0,4)</f>
        <v>3</v>
      </c>
    </row>
    <row r="1259" spans="1:7" ht="25.5">
      <c r="A1259" t="s">
        <v>8679</v>
      </c>
      <c r="B1259" s="719" t="s">
        <v>3273</v>
      </c>
      <c r="C1259" s="719" t="s">
        <v>3274</v>
      </c>
      <c r="D1259" s="587" t="s">
        <v>3275</v>
      </c>
      <c r="E1259" s="719" t="s">
        <v>3276</v>
      </c>
      <c r="F1259" s="719" t="s">
        <v>3277</v>
      </c>
      <c r="G1259">
        <f>IF(getRGB1($C1259)="FFFFFF",0,1)+IF(getRGB1($D1259)="FFFFFF",0,2)+IF(getRGB1($E1259)="FFFFFF",0,3)+IF(getRGB1($F1259)="FFFFFF",0,4)</f>
        <v>2</v>
      </c>
    </row>
    <row r="1260" spans="1:7">
      <c r="A1260" t="s">
        <v>8679</v>
      </c>
      <c r="B1260" s="719" t="s">
        <v>3278</v>
      </c>
      <c r="C1260" s="587" t="s">
        <v>76</v>
      </c>
      <c r="D1260" s="719" t="s">
        <v>174</v>
      </c>
      <c r="E1260" s="719" t="s">
        <v>3181</v>
      </c>
      <c r="F1260" s="719" t="s">
        <v>557</v>
      </c>
      <c r="G1260">
        <f>IF(getRGB1($C1260)="FFFFFF",0,1)+IF(getRGB1($D1260)="FFFFFF",0,2)+IF(getRGB1($E1260)="FFFFFF",0,3)+IF(getRGB1($F1260)="FFFFFF",0,4)</f>
        <v>1</v>
      </c>
    </row>
    <row r="1261" spans="1:7" ht="25.5">
      <c r="A1261" t="s">
        <v>8679</v>
      </c>
      <c r="B1261" s="719" t="s">
        <v>3279</v>
      </c>
      <c r="C1261" s="587" t="s">
        <v>451</v>
      </c>
      <c r="D1261" s="719" t="s">
        <v>3280</v>
      </c>
      <c r="E1261" s="719" t="s">
        <v>205</v>
      </c>
      <c r="F1261" s="719" t="s">
        <v>452</v>
      </c>
      <c r="G1261">
        <f>IF(getRGB1($C1261)="FFFFFF",0,1)+IF(getRGB1($D1261)="FFFFFF",0,2)+IF(getRGB1($E1261)="FFFFFF",0,3)+IF(getRGB1($F1261)="FFFFFF",0,4)</f>
        <v>1</v>
      </c>
    </row>
    <row r="1262" spans="1:7">
      <c r="A1262" t="s">
        <v>8679</v>
      </c>
      <c r="B1262" s="719" t="s">
        <v>3281</v>
      </c>
      <c r="C1262" s="719" t="s">
        <v>3282</v>
      </c>
      <c r="D1262" s="719" t="s">
        <v>3283</v>
      </c>
      <c r="E1262" s="587" t="s">
        <v>3284</v>
      </c>
      <c r="F1262" s="719" t="s">
        <v>3285</v>
      </c>
      <c r="G1262">
        <f>IF(getRGB1($C1262)="FFFFFF",0,1)+IF(getRGB1($D1262)="FFFFFF",0,2)+IF(getRGB1($E1262)="FFFFFF",0,3)+IF(getRGB1($F1262)="FFFFFF",0,4)</f>
        <v>3</v>
      </c>
    </row>
    <row r="1263" spans="1:7">
      <c r="A1263" t="s">
        <v>8679</v>
      </c>
      <c r="B1263" s="719" t="s">
        <v>3286</v>
      </c>
      <c r="C1263" s="719" t="s">
        <v>3287</v>
      </c>
      <c r="D1263" s="587" t="s">
        <v>3282</v>
      </c>
      <c r="E1263" s="719" t="s">
        <v>3288</v>
      </c>
      <c r="F1263" s="719" t="s">
        <v>3289</v>
      </c>
      <c r="G1263">
        <f>IF(getRGB1($C1263)="FFFFFF",0,1)+IF(getRGB1($D1263)="FFFFFF",0,2)+IF(getRGB1($E1263)="FFFFFF",0,3)+IF(getRGB1($F1263)="FFFFFF",0,4)</f>
        <v>2</v>
      </c>
    </row>
    <row r="1264" spans="1:7" ht="76.5">
      <c r="A1264" t="s">
        <v>8679</v>
      </c>
      <c r="B1264" s="719" t="s">
        <v>3290</v>
      </c>
      <c r="C1264" s="587" t="s">
        <v>3291</v>
      </c>
      <c r="D1264" s="719" t="s">
        <v>3292</v>
      </c>
      <c r="E1264" s="719" t="s">
        <v>3293</v>
      </c>
      <c r="F1264" s="719" t="s">
        <v>3294</v>
      </c>
      <c r="G1264">
        <f>IF(getRGB1($C1264)="FFFFFF",0,1)+IF(getRGB1($D1264)="FFFFFF",0,2)+IF(getRGB1($E1264)="FFFFFF",0,3)+IF(getRGB1($F1264)="FFFFFF",0,4)</f>
        <v>1</v>
      </c>
    </row>
    <row r="1265" spans="1:7" ht="25.5">
      <c r="A1265" t="s">
        <v>8679</v>
      </c>
      <c r="B1265" s="715" t="s">
        <v>3295</v>
      </c>
      <c r="C1265" s="715" t="s">
        <v>3296</v>
      </c>
      <c r="D1265" s="588" t="s">
        <v>3297</v>
      </c>
      <c r="E1265" s="715" t="s">
        <v>3298</v>
      </c>
      <c r="F1265" s="715" t="s">
        <v>3299</v>
      </c>
      <c r="G1265">
        <f>IF(getRGB1($C1265)="FFFFFF",0,1)+IF(getRGB1($D1265)="FFFFFF",0,2)+IF(getRGB1($E1265)="FFFFFF",0,3)+IF(getRGB1($F1265)="FFFFFF",0,4)</f>
        <v>2</v>
      </c>
    </row>
    <row r="1266" spans="1:7" ht="25.5">
      <c r="A1266" t="s">
        <v>8679</v>
      </c>
      <c r="B1266" s="715" t="s">
        <v>3300</v>
      </c>
      <c r="C1266" s="715" t="s">
        <v>174</v>
      </c>
      <c r="D1266" s="588" t="s">
        <v>3301</v>
      </c>
      <c r="E1266" s="715" t="s">
        <v>74</v>
      </c>
      <c r="F1266" s="715" t="s">
        <v>173</v>
      </c>
      <c r="G1266">
        <f>IF(getRGB1($C1266)="FFFFFF",0,1)+IF(getRGB1($D1266)="FFFFFF",0,2)+IF(getRGB1($E1266)="FFFFFF",0,3)+IF(getRGB1($F1266)="FFFFFF",0,4)</f>
        <v>2</v>
      </c>
    </row>
    <row r="1267" spans="1:7" ht="24">
      <c r="A1267" t="s">
        <v>8679</v>
      </c>
      <c r="B1267" s="720" t="s">
        <v>3302</v>
      </c>
      <c r="C1267" s="720" t="s">
        <v>3303</v>
      </c>
      <c r="D1267" s="720" t="s">
        <v>3304</v>
      </c>
      <c r="E1267" s="720" t="s">
        <v>3305</v>
      </c>
      <c r="F1267" s="589" t="s">
        <v>2812</v>
      </c>
      <c r="G1267">
        <f>IF(getRGB1($C1267)="FFFFFF",0,1)+IF(getRGB1($D1267)="FFFFFF",0,2)+IF(getRGB1($E1267)="FFFFFF",0,3)+IF(getRGB1($F1267)="FFFFFF",0,4)</f>
        <v>4</v>
      </c>
    </row>
    <row r="1268" spans="1:7" ht="36">
      <c r="A1268" t="s">
        <v>8679</v>
      </c>
      <c r="B1268" s="720" t="s">
        <v>3306</v>
      </c>
      <c r="C1268" s="720" t="s">
        <v>570</v>
      </c>
      <c r="D1268" s="589" t="s">
        <v>451</v>
      </c>
      <c r="E1268" s="720" t="s">
        <v>205</v>
      </c>
      <c r="F1268" s="720" t="s">
        <v>61</v>
      </c>
      <c r="G1268">
        <f>IF(getRGB1($C1268)="FFFFFF",0,1)+IF(getRGB1($D1268)="FFFFFF",0,2)+IF(getRGB1($E1268)="FFFFFF",0,3)+IF(getRGB1($F1268)="FFFFFF",0,4)</f>
        <v>2</v>
      </c>
    </row>
    <row r="1269" spans="1:7" ht="48">
      <c r="A1269" t="s">
        <v>8679</v>
      </c>
      <c r="B1269" s="720" t="s">
        <v>3307</v>
      </c>
      <c r="C1269" s="720" t="s">
        <v>570</v>
      </c>
      <c r="D1269" s="590" t="s">
        <v>205</v>
      </c>
      <c r="E1269" s="589" t="s">
        <v>451</v>
      </c>
      <c r="F1269" s="720" t="s">
        <v>61</v>
      </c>
      <c r="G1269">
        <f>IF(getRGB1($C1269)="FFFFFF",0,1)+IF(getRGB1($D1269)="FFFFFF",0,2)+IF(getRGB1($E1269)="FFFFFF",0,3)+IF(getRGB1($F1269)="FFFFFF",0,4)</f>
        <v>3</v>
      </c>
    </row>
    <row r="1270" spans="1:7" ht="48">
      <c r="A1270" t="s">
        <v>8679</v>
      </c>
      <c r="B1270" s="720" t="s">
        <v>3308</v>
      </c>
      <c r="C1270" s="589" t="s">
        <v>451</v>
      </c>
      <c r="D1270" s="204" t="s">
        <v>205</v>
      </c>
      <c r="E1270" s="590" t="s">
        <v>570</v>
      </c>
      <c r="F1270" s="720" t="s">
        <v>61</v>
      </c>
      <c r="G1270">
        <f>IF(getRGB1($C1270)="FFFFFF",0,1)+IF(getRGB1($D1270)="FFFFFF",0,2)+IF(getRGB1($E1270)="FFFFFF",0,3)+IF(getRGB1($F1270)="FFFFFF",0,4)</f>
        <v>1</v>
      </c>
    </row>
    <row r="1271" spans="1:7" ht="36">
      <c r="A1271" t="s">
        <v>8679</v>
      </c>
      <c r="B1271" s="198" t="s">
        <v>3309</v>
      </c>
      <c r="C1271" s="198" t="s">
        <v>3310</v>
      </c>
      <c r="D1271" s="198" t="s">
        <v>3311</v>
      </c>
      <c r="E1271" s="198" t="s">
        <v>3312</v>
      </c>
      <c r="F1271" s="589" t="s">
        <v>3313</v>
      </c>
      <c r="G1271">
        <f>IF(getRGB1($C1271)="FFFFFF",0,1)+IF(getRGB1($D1271)="FFFFFF",0,2)+IF(getRGB1($E1271)="FFFFFF",0,3)+IF(getRGB1($F1271)="FFFFFF",0,4)</f>
        <v>4</v>
      </c>
    </row>
    <row r="1272" spans="1:7" ht="108">
      <c r="A1272" t="s">
        <v>8679</v>
      </c>
      <c r="B1272" s="198" t="s">
        <v>3314</v>
      </c>
      <c r="C1272" s="198" t="s">
        <v>3315</v>
      </c>
      <c r="D1272" s="589" t="s">
        <v>3316</v>
      </c>
      <c r="E1272" s="198" t="s">
        <v>3317</v>
      </c>
      <c r="F1272" s="720" t="s">
        <v>3313</v>
      </c>
      <c r="G1272">
        <f>IF(getRGB1($C1272)="FFFFFF",0,1)+IF(getRGB1($D1272)="FFFFFF",0,2)+IF(getRGB1($E1272)="FFFFFF",0,3)+IF(getRGB1($F1272)="FFFFFF",0,4)</f>
        <v>2</v>
      </c>
    </row>
    <row r="1273" spans="1:7" ht="24">
      <c r="A1273" t="s">
        <v>8679</v>
      </c>
      <c r="B1273" s="198" t="s">
        <v>3318</v>
      </c>
      <c r="C1273" s="589" t="s">
        <v>3319</v>
      </c>
      <c r="D1273" s="720" t="s">
        <v>3320</v>
      </c>
      <c r="E1273" s="198" t="s">
        <v>1230</v>
      </c>
      <c r="F1273" s="720" t="s">
        <v>61</v>
      </c>
      <c r="G1273">
        <f>IF(getRGB1($C1273)="FFFFFF",0,1)+IF(getRGB1($D1273)="FFFFFF",0,2)+IF(getRGB1($E1273)="FFFFFF",0,3)+IF(getRGB1($F1273)="FFFFFF",0,4)</f>
        <v>1</v>
      </c>
    </row>
    <row r="1274" spans="1:7" ht="48">
      <c r="A1274" t="s">
        <v>8679</v>
      </c>
      <c r="B1274" s="721" t="s">
        <v>3321</v>
      </c>
      <c r="C1274" s="721" t="s">
        <v>3322</v>
      </c>
      <c r="D1274" s="721" t="s">
        <v>3323</v>
      </c>
      <c r="E1274" s="591" t="s">
        <v>3324</v>
      </c>
      <c r="F1274" s="721" t="s">
        <v>61</v>
      </c>
      <c r="G1274">
        <f>IF(getRGB1($C1274)="FFFFFF",0,1)+IF(getRGB1($D1274)="FFFFFF",0,2)+IF(getRGB1($E1274)="FFFFFF",0,3)+IF(getRGB1($F1274)="FFFFFF",0,4)</f>
        <v>3</v>
      </c>
    </row>
    <row r="1275" spans="1:7" ht="48">
      <c r="A1275" t="s">
        <v>8679</v>
      </c>
      <c r="B1275" s="721" t="s">
        <v>3325</v>
      </c>
      <c r="C1275" s="721" t="s">
        <v>3326</v>
      </c>
      <c r="D1275" s="721" t="s">
        <v>3327</v>
      </c>
      <c r="E1275" s="721" t="s">
        <v>3328</v>
      </c>
      <c r="F1275" s="591" t="s">
        <v>1000</v>
      </c>
      <c r="G1275">
        <f>IF(getRGB1($C1275)="FFFFFF",0,1)+IF(getRGB1($D1275)="FFFFFF",0,2)+IF(getRGB1($E1275)="FFFFFF",0,3)+IF(getRGB1($F1275)="FFFFFF",0,4)</f>
        <v>4</v>
      </c>
    </row>
    <row r="1276" spans="1:7" ht="24">
      <c r="A1276" t="s">
        <v>8679</v>
      </c>
      <c r="B1276" s="721" t="s">
        <v>3329</v>
      </c>
      <c r="C1276" s="721" t="s">
        <v>3330</v>
      </c>
      <c r="D1276" s="591" t="s">
        <v>3331</v>
      </c>
      <c r="E1276" s="721" t="s">
        <v>3332</v>
      </c>
      <c r="F1276" s="721" t="s">
        <v>61</v>
      </c>
      <c r="G1276">
        <f>IF(getRGB1($C1276)="FFFFFF",0,1)+IF(getRGB1($D1276)="FFFFFF",0,2)+IF(getRGB1($E1276)="FFFFFF",0,3)+IF(getRGB1($F1276)="FFFFFF",0,4)</f>
        <v>2</v>
      </c>
    </row>
    <row r="1277" spans="1:7" ht="24">
      <c r="A1277" t="s">
        <v>8679</v>
      </c>
      <c r="B1277" s="721" t="s">
        <v>3333</v>
      </c>
      <c r="C1277" s="721" t="s">
        <v>3334</v>
      </c>
      <c r="D1277" s="721" t="s">
        <v>3335</v>
      </c>
      <c r="E1277" s="591" t="s">
        <v>3336</v>
      </c>
      <c r="F1277" s="721" t="s">
        <v>61</v>
      </c>
      <c r="G1277">
        <f>IF(getRGB1($C1277)="FFFFFF",0,1)+IF(getRGB1($D1277)="FFFFFF",0,2)+IF(getRGB1($E1277)="FFFFFF",0,3)+IF(getRGB1($F1277)="FFFFFF",0,4)</f>
        <v>3</v>
      </c>
    </row>
    <row r="1278" spans="1:7" ht="36">
      <c r="A1278" t="s">
        <v>8679</v>
      </c>
      <c r="B1278" s="721" t="s">
        <v>3337</v>
      </c>
      <c r="C1278" s="721" t="s">
        <v>3338</v>
      </c>
      <c r="D1278" s="591" t="s">
        <v>3339</v>
      </c>
      <c r="E1278" s="721" t="s">
        <v>1230</v>
      </c>
      <c r="F1278" s="721" t="s">
        <v>61</v>
      </c>
      <c r="G1278">
        <f>IF(getRGB1($C1278)="FFFFFF",0,1)+IF(getRGB1($D1278)="FFFFFF",0,2)+IF(getRGB1($E1278)="FFFFFF",0,3)+IF(getRGB1($F1278)="FFFFFF",0,4)</f>
        <v>2</v>
      </c>
    </row>
    <row r="1279" spans="1:7" ht="36">
      <c r="A1279" t="s">
        <v>8679</v>
      </c>
      <c r="B1279" s="721" t="s">
        <v>3340</v>
      </c>
      <c r="C1279" s="591" t="s">
        <v>3338</v>
      </c>
      <c r="D1279" s="721" t="s">
        <v>3339</v>
      </c>
      <c r="E1279" s="721" t="s">
        <v>1230</v>
      </c>
      <c r="F1279" s="721" t="s">
        <v>61</v>
      </c>
      <c r="G1279">
        <f>IF(getRGB1($C1279)="FFFFFF",0,1)+IF(getRGB1($D1279)="FFFFFF",0,2)+IF(getRGB1($E1279)="FFFFFF",0,3)+IF(getRGB1($F1279)="FFFFFF",0,4)</f>
        <v>1</v>
      </c>
    </row>
    <row r="1280" spans="1:7" ht="48">
      <c r="A1280" t="s">
        <v>8679</v>
      </c>
      <c r="B1280" s="721" t="s">
        <v>3341</v>
      </c>
      <c r="C1280" s="721" t="s">
        <v>3342</v>
      </c>
      <c r="D1280" s="721" t="s">
        <v>3343</v>
      </c>
      <c r="E1280" s="721" t="s">
        <v>3344</v>
      </c>
      <c r="F1280" s="591" t="s">
        <v>1000</v>
      </c>
      <c r="G1280">
        <f>IF(getRGB1($C1280)="FFFFFF",0,1)+IF(getRGB1($D1280)="FFFFFF",0,2)+IF(getRGB1($E1280)="FFFFFF",0,3)+IF(getRGB1($F1280)="FFFFFF",0,4)</f>
        <v>4</v>
      </c>
    </row>
    <row r="1281" spans="1:7" ht="36">
      <c r="A1281" t="s">
        <v>8679</v>
      </c>
      <c r="B1281" s="721" t="s">
        <v>3345</v>
      </c>
      <c r="C1281" s="721" t="s">
        <v>3346</v>
      </c>
      <c r="D1281" s="591" t="s">
        <v>3347</v>
      </c>
      <c r="E1281" s="721" t="s">
        <v>3348</v>
      </c>
      <c r="F1281" s="721" t="s">
        <v>61</v>
      </c>
      <c r="G1281">
        <f>IF(getRGB1($C1281)="FFFFFF",0,1)+IF(getRGB1($D1281)="FFFFFF",0,2)+IF(getRGB1($E1281)="FFFFFF",0,3)+IF(getRGB1($F1281)="FFFFFF",0,4)</f>
        <v>2</v>
      </c>
    </row>
    <row r="1282" spans="1:7" ht="36">
      <c r="A1282" t="s">
        <v>8679</v>
      </c>
      <c r="B1282" s="204" t="s">
        <v>3349</v>
      </c>
      <c r="C1282" s="721" t="s">
        <v>3350</v>
      </c>
      <c r="D1282" s="198" t="s">
        <v>3351</v>
      </c>
      <c r="E1282" s="591" t="s">
        <v>3352</v>
      </c>
      <c r="F1282" s="721" t="s">
        <v>61</v>
      </c>
      <c r="G1282">
        <f>IF(getRGB1($C1282)="FFFFFF",0,1)+IF(getRGB1($D1282)="FFFFFF",0,2)+IF(getRGB1($E1282)="FFFFFF",0,3)+IF(getRGB1($F1282)="FFFFFF",0,4)</f>
        <v>3</v>
      </c>
    </row>
    <row r="1283" spans="1:7" ht="36">
      <c r="A1283" t="s">
        <v>8679</v>
      </c>
      <c r="B1283" s="203" t="s">
        <v>3353</v>
      </c>
      <c r="C1283" s="591" t="s">
        <v>204</v>
      </c>
      <c r="D1283" s="198" t="s">
        <v>203</v>
      </c>
      <c r="E1283" s="721" t="s">
        <v>451</v>
      </c>
      <c r="F1283" s="721" t="s">
        <v>61</v>
      </c>
      <c r="G1283">
        <f>IF(getRGB1($C1283)="FFFFFF",0,1)+IF(getRGB1($D1283)="FFFFFF",0,2)+IF(getRGB1($E1283)="FFFFFF",0,3)+IF(getRGB1($F1283)="FFFFFF",0,4)</f>
        <v>1</v>
      </c>
    </row>
    <row r="1284" spans="1:7" ht="36">
      <c r="A1284" t="s">
        <v>8679</v>
      </c>
      <c r="B1284" s="203" t="s">
        <v>3354</v>
      </c>
      <c r="C1284" s="721" t="s">
        <v>204</v>
      </c>
      <c r="D1284" s="589" t="s">
        <v>203</v>
      </c>
      <c r="E1284" s="721" t="s">
        <v>451</v>
      </c>
      <c r="F1284" s="721" t="s">
        <v>61</v>
      </c>
      <c r="G1284">
        <f>IF(getRGB1($C1284)="FFFFFF",0,1)+IF(getRGB1($D1284)="FFFFFF",0,2)+IF(getRGB1($E1284)="FFFFFF",0,3)+IF(getRGB1($F1284)="FFFFFF",0,4)</f>
        <v>2</v>
      </c>
    </row>
    <row r="1285" spans="1:7">
      <c r="A1285" t="s">
        <v>8679</v>
      </c>
      <c r="B1285" s="198" t="s">
        <v>3355</v>
      </c>
      <c r="C1285" s="198" t="s">
        <v>3356</v>
      </c>
      <c r="D1285" s="198" t="s">
        <v>3357</v>
      </c>
      <c r="E1285" s="198" t="s">
        <v>3358</v>
      </c>
      <c r="F1285" s="589" t="s">
        <v>3359</v>
      </c>
      <c r="G1285">
        <f>IF(getRGB1($C1285)="FFFFFF",0,1)+IF(getRGB1($D1285)="FFFFFF",0,2)+IF(getRGB1($E1285)="FFFFFF",0,3)+IF(getRGB1($F1285)="FFFFFF",0,4)</f>
        <v>4</v>
      </c>
    </row>
    <row r="1286" spans="1:7" ht="72">
      <c r="A1286" t="s">
        <v>8679</v>
      </c>
      <c r="B1286" s="198" t="s">
        <v>3360</v>
      </c>
      <c r="C1286" s="198" t="s">
        <v>3361</v>
      </c>
      <c r="D1286" s="589" t="s">
        <v>3362</v>
      </c>
      <c r="E1286" s="198" t="s">
        <v>3363</v>
      </c>
      <c r="F1286" s="198" t="s">
        <v>61</v>
      </c>
      <c r="G1286">
        <f>IF(getRGB1($C1286)="FFFFFF",0,1)+IF(getRGB1($D1286)="FFFFFF",0,2)+IF(getRGB1($E1286)="FFFFFF",0,3)+IF(getRGB1($F1286)="FFFFFF",0,4)</f>
        <v>2</v>
      </c>
    </row>
    <row r="1287" spans="1:7" ht="36">
      <c r="A1287" t="s">
        <v>8679</v>
      </c>
      <c r="B1287" s="198" t="s">
        <v>3364</v>
      </c>
      <c r="C1287" s="198" t="s">
        <v>3365</v>
      </c>
      <c r="D1287" s="198" t="s">
        <v>3366</v>
      </c>
      <c r="E1287" s="589" t="s">
        <v>3367</v>
      </c>
      <c r="F1287" s="198" t="s">
        <v>3368</v>
      </c>
      <c r="G1287">
        <f>IF(getRGB1($C1287)="FFFFFF",0,1)+IF(getRGB1($D1287)="FFFFFF",0,2)+IF(getRGB1($E1287)="FFFFFF",0,3)+IF(getRGB1($F1287)="FFFFFF",0,4)</f>
        <v>3</v>
      </c>
    </row>
    <row r="1288" spans="1:7" ht="72">
      <c r="A1288" t="s">
        <v>8679</v>
      </c>
      <c r="B1288" s="198" t="s">
        <v>3369</v>
      </c>
      <c r="C1288" s="198" t="s">
        <v>3370</v>
      </c>
      <c r="D1288" s="198" t="s">
        <v>3371</v>
      </c>
      <c r="E1288" s="198" t="s">
        <v>3372</v>
      </c>
      <c r="F1288" s="589" t="s">
        <v>3373</v>
      </c>
      <c r="G1288">
        <f>IF(getRGB1($C1288)="FFFFFF",0,1)+IF(getRGB1($D1288)="FFFFFF",0,2)+IF(getRGB1($E1288)="FFFFFF",0,3)+IF(getRGB1($F1288)="FFFFFF",0,4)</f>
        <v>4</v>
      </c>
    </row>
    <row r="1289" spans="1:7" ht="51">
      <c r="A1289" t="s">
        <v>8679</v>
      </c>
      <c r="B1289" s="722" t="s">
        <v>3374</v>
      </c>
      <c r="C1289" s="722" t="s">
        <v>3375</v>
      </c>
      <c r="D1289" s="592" t="s">
        <v>3376</v>
      </c>
      <c r="E1289" s="593" t="s">
        <v>61</v>
      </c>
      <c r="F1289" s="593" t="s">
        <v>3377</v>
      </c>
      <c r="G1289">
        <f>IF(getRGB1($C1289)="FFFFFF",0,1)+IF(getRGB1($D1289)="FFFFFF",0,2)+IF(getRGB1($E1289)="FFFFFF",0,3)+IF(getRGB1($F1289)="FFFFFF",0,4)</f>
        <v>2</v>
      </c>
    </row>
    <row r="1290" spans="1:7">
      <c r="A1290" t="s">
        <v>8679</v>
      </c>
      <c r="B1290" s="209" t="s">
        <v>3378</v>
      </c>
      <c r="C1290" s="594" t="s">
        <v>173</v>
      </c>
      <c r="D1290" s="594" t="s">
        <v>174</v>
      </c>
      <c r="E1290" s="595" t="s">
        <v>76</v>
      </c>
      <c r="F1290" s="594" t="s">
        <v>3272</v>
      </c>
      <c r="G1290">
        <f>IF(getRGB1($C1290)="FFFFFF",0,1)+IF(getRGB1($D1290)="FFFFFF",0,2)+IF(getRGB1($E1290)="FFFFFF",0,3)+IF(getRGB1($F1290)="FFFFFF",0,4)</f>
        <v>3</v>
      </c>
    </row>
    <row r="1291" spans="1:7">
      <c r="A1291" t="s">
        <v>8679</v>
      </c>
      <c r="B1291" s="209" t="s">
        <v>3379</v>
      </c>
      <c r="C1291" s="594" t="s">
        <v>173</v>
      </c>
      <c r="D1291" s="594" t="s">
        <v>174</v>
      </c>
      <c r="E1291" s="595" t="s">
        <v>76</v>
      </c>
      <c r="F1291" s="594" t="s">
        <v>3272</v>
      </c>
      <c r="G1291">
        <f>IF(getRGB1($C1291)="FFFFFF",0,1)+IF(getRGB1($D1291)="FFFFFF",0,2)+IF(getRGB1($E1291)="FFFFFF",0,3)+IF(getRGB1($F1291)="FFFFFF",0,4)</f>
        <v>3</v>
      </c>
    </row>
    <row r="1292" spans="1:7">
      <c r="A1292" t="s">
        <v>8679</v>
      </c>
      <c r="B1292" s="209" t="s">
        <v>3380</v>
      </c>
      <c r="C1292" s="594" t="s">
        <v>173</v>
      </c>
      <c r="D1292" s="594" t="s">
        <v>174</v>
      </c>
      <c r="E1292" s="595" t="s">
        <v>76</v>
      </c>
      <c r="F1292" s="594" t="s">
        <v>3272</v>
      </c>
      <c r="G1292">
        <f>IF(getRGB1($C1292)="FFFFFF",0,1)+IF(getRGB1($D1292)="FFFFFF",0,2)+IF(getRGB1($E1292)="FFFFFF",0,3)+IF(getRGB1($F1292)="FFFFFF",0,4)</f>
        <v>3</v>
      </c>
    </row>
    <row r="1293" spans="1:7" ht="84.75">
      <c r="A1293" t="s">
        <v>8679</v>
      </c>
      <c r="B1293" s="596" t="s">
        <v>7555</v>
      </c>
      <c r="C1293" s="596" t="s">
        <v>3382</v>
      </c>
      <c r="D1293" s="596" t="s">
        <v>3383</v>
      </c>
      <c r="E1293" s="597" t="s">
        <v>3384</v>
      </c>
      <c r="F1293" s="598" t="s">
        <v>209</v>
      </c>
      <c r="G1293">
        <f>IF(getRGB1($C1293)="FFFFFF",0,1)+IF(getRGB1($D1293)="FFFFFF",0,2)+IF(getRGB1($E1293)="FFFFFF",0,3)+IF(getRGB1($F1293)="FFFFFF",0,4)</f>
        <v>3</v>
      </c>
    </row>
    <row r="1294" spans="1:7" ht="36.75">
      <c r="A1294" t="s">
        <v>8679</v>
      </c>
      <c r="B1294" s="598" t="s">
        <v>3385</v>
      </c>
      <c r="C1294" s="596" t="s">
        <v>3386</v>
      </c>
      <c r="D1294" s="596" t="s">
        <v>3387</v>
      </c>
      <c r="E1294" s="597" t="s">
        <v>3384</v>
      </c>
      <c r="F1294" s="598" t="s">
        <v>209</v>
      </c>
      <c r="G1294">
        <f>IF(getRGB1($C1294)="FFFFFF",0,1)+IF(getRGB1($D1294)="FFFFFF",0,2)+IF(getRGB1($E1294)="FFFFFF",0,3)+IF(getRGB1($F1294)="FFFFFF",0,4)</f>
        <v>3</v>
      </c>
    </row>
    <row r="1295" spans="1:7" ht="36.75">
      <c r="A1295" t="s">
        <v>8679</v>
      </c>
      <c r="B1295" s="596" t="s">
        <v>3388</v>
      </c>
      <c r="C1295" s="599" t="s">
        <v>3389</v>
      </c>
      <c r="D1295" s="596" t="s">
        <v>3390</v>
      </c>
      <c r="E1295" s="596" t="s">
        <v>3391</v>
      </c>
      <c r="F1295" s="598" t="s">
        <v>209</v>
      </c>
      <c r="G1295">
        <f>IF(getRGB1($C1295)="FFFFFF",0,1)+IF(getRGB1($D1295)="FFFFFF",0,2)+IF(getRGB1($E1295)="FFFFFF",0,3)+IF(getRGB1($F1295)="FFFFFF",0,4)</f>
        <v>1</v>
      </c>
    </row>
    <row r="1296" spans="1:7" ht="36.75">
      <c r="A1296" t="s">
        <v>8679</v>
      </c>
      <c r="B1296" s="596" t="s">
        <v>3392</v>
      </c>
      <c r="C1296" s="600">
        <v>0.7</v>
      </c>
      <c r="D1296" s="601">
        <v>0.8</v>
      </c>
      <c r="E1296" s="601">
        <v>0.9</v>
      </c>
      <c r="F1296" s="598" t="s">
        <v>209</v>
      </c>
      <c r="G1296">
        <f>IF(getRGB1($C1296)="FFFFFF",0,1)+IF(getRGB1($D1296)="FFFFFF",0,2)+IF(getRGB1($E1296)="FFFFFF",0,3)+IF(getRGB1($F1296)="FFFFFF",0,4)</f>
        <v>1</v>
      </c>
    </row>
    <row r="1297" spans="1:7">
      <c r="A1297" t="s">
        <v>1203</v>
      </c>
      <c r="B1297" s="336" t="s">
        <v>7556</v>
      </c>
      <c r="C1297" s="481" t="s">
        <v>7557</v>
      </c>
      <c r="D1297" s="337" t="s">
        <v>7558</v>
      </c>
      <c r="E1297" s="337" t="s">
        <v>7559</v>
      </c>
      <c r="F1297" s="337" t="s">
        <v>7560</v>
      </c>
      <c r="G1297">
        <f>IF(getRGB1($C1297)="FFFFFF",0,1)+IF(getRGB1($D1297)="FFFFFF",0,2)+IF(getRGB1($E1297)="FFFFFF",0,3)+IF(getRGB1($F1297)="FFFFFF",0,4)</f>
        <v>1</v>
      </c>
    </row>
    <row r="1298" spans="1:7">
      <c r="A1298" t="s">
        <v>1203</v>
      </c>
      <c r="B1298" s="336" t="s">
        <v>3103</v>
      </c>
      <c r="C1298" s="337" t="s">
        <v>3104</v>
      </c>
      <c r="D1298" s="337" t="s">
        <v>3105</v>
      </c>
      <c r="E1298" s="481" t="s">
        <v>3106</v>
      </c>
      <c r="F1298" s="337" t="s">
        <v>3107</v>
      </c>
      <c r="G1298">
        <f>IF(getRGB1($C1298)="FFFFFF",0,1)+IF(getRGB1($D1298)="FFFFFF",0,2)+IF(getRGB1($E1298)="FFFFFF",0,3)+IF(getRGB1($F1298)="FFFFFF",0,4)</f>
        <v>3</v>
      </c>
    </row>
    <row r="1299" spans="1:7" ht="45">
      <c r="A1299" t="s">
        <v>1203</v>
      </c>
      <c r="B1299" s="336" t="s">
        <v>7561</v>
      </c>
      <c r="C1299" s="337" t="s">
        <v>3109</v>
      </c>
      <c r="D1299" s="337" t="s">
        <v>3110</v>
      </c>
      <c r="E1299" s="337" t="s">
        <v>3111</v>
      </c>
      <c r="F1299" s="481" t="s">
        <v>3112</v>
      </c>
      <c r="G1299">
        <f>IF(getRGB1($C1299)="FFFFFF",0,1)+IF(getRGB1($D1299)="FFFFFF",0,2)+IF(getRGB1($E1299)="FFFFFF",0,3)+IF(getRGB1($F1299)="FFFFFF",0,4)</f>
        <v>4</v>
      </c>
    </row>
    <row r="1300" spans="1:7" ht="45">
      <c r="A1300" t="s">
        <v>1203</v>
      </c>
      <c r="B1300" s="336" t="s">
        <v>3113</v>
      </c>
      <c r="C1300" s="337" t="s">
        <v>3114</v>
      </c>
      <c r="D1300" s="337" t="s">
        <v>3115</v>
      </c>
      <c r="E1300" s="481" t="s">
        <v>3116</v>
      </c>
      <c r="F1300" s="337" t="s">
        <v>3117</v>
      </c>
      <c r="G1300">
        <f>IF(getRGB1($C1300)="FFFFFF",0,1)+IF(getRGB1($D1300)="FFFFFF",0,2)+IF(getRGB1($E1300)="FFFFFF",0,3)+IF(getRGB1($F1300)="FFFFFF",0,4)</f>
        <v>3</v>
      </c>
    </row>
    <row r="1301" spans="1:7" ht="30">
      <c r="A1301" t="s">
        <v>1203</v>
      </c>
      <c r="B1301" s="336" t="s">
        <v>3118</v>
      </c>
      <c r="C1301" s="337" t="s">
        <v>3119</v>
      </c>
      <c r="D1301" s="337" t="s">
        <v>3120</v>
      </c>
      <c r="E1301" s="337" t="s">
        <v>3121</v>
      </c>
      <c r="F1301" s="481" t="s">
        <v>3122</v>
      </c>
      <c r="G1301">
        <f>IF(getRGB1($C1301)="FFFFFF",0,1)+IF(getRGB1($D1301)="FFFFFF",0,2)+IF(getRGB1($E1301)="FFFFFF",0,3)+IF(getRGB1($F1301)="FFFFFF",0,4)</f>
        <v>4</v>
      </c>
    </row>
    <row r="1302" spans="1:7" ht="45">
      <c r="A1302" t="s">
        <v>1203</v>
      </c>
      <c r="B1302" s="336" t="s">
        <v>7562</v>
      </c>
      <c r="C1302" s="337">
        <v>40633</v>
      </c>
      <c r="D1302" s="337">
        <v>40998</v>
      </c>
      <c r="E1302" s="481" t="s">
        <v>7563</v>
      </c>
      <c r="F1302" s="337">
        <v>41277</v>
      </c>
      <c r="G1302">
        <f>IF(getRGB1($C1302)="FFFFFF",0,1)+IF(getRGB1($D1302)="FFFFFF",0,2)+IF(getRGB1($E1302)="FFFFFF",0,3)+IF(getRGB1($F1302)="FFFFFF",0,4)</f>
        <v>3</v>
      </c>
    </row>
    <row r="1303" spans="1:7">
      <c r="A1303" t="s">
        <v>1203</v>
      </c>
      <c r="B1303" s="336" t="s">
        <v>3199</v>
      </c>
      <c r="C1303" s="481" t="s">
        <v>1976</v>
      </c>
      <c r="D1303" s="337" t="s">
        <v>3200</v>
      </c>
      <c r="E1303" s="337" t="s">
        <v>3201</v>
      </c>
      <c r="F1303" s="337" t="s">
        <v>3202</v>
      </c>
      <c r="G1303">
        <f>IF(getRGB1($C1303)="FFFFFF",0,1)+IF(getRGB1($D1303)="FFFFFF",0,2)+IF(getRGB1($E1303)="FFFFFF",0,3)+IF(getRGB1($F1303)="FFFFFF",0,4)</f>
        <v>1</v>
      </c>
    </row>
    <row r="1304" spans="1:7" ht="30">
      <c r="A1304" t="s">
        <v>1203</v>
      </c>
      <c r="B1304" s="336" t="s">
        <v>3203</v>
      </c>
      <c r="C1304" s="337" t="s">
        <v>166</v>
      </c>
      <c r="D1304" s="337" t="s">
        <v>3204</v>
      </c>
      <c r="E1304" s="481" t="s">
        <v>3205</v>
      </c>
      <c r="F1304" s="337" t="s">
        <v>3206</v>
      </c>
      <c r="G1304">
        <f>IF(getRGB1($C1304)="FFFFFF",0,1)+IF(getRGB1($D1304)="FFFFFF",0,2)+IF(getRGB1($E1304)="FFFFFF",0,3)+IF(getRGB1($F1304)="FFFFFF",0,4)</f>
        <v>3</v>
      </c>
    </row>
    <row r="1305" spans="1:7" ht="60">
      <c r="A1305" t="s">
        <v>1203</v>
      </c>
      <c r="B1305" s="336" t="s">
        <v>3207</v>
      </c>
      <c r="C1305" s="337" t="s">
        <v>3208</v>
      </c>
      <c r="D1305" s="337" t="s">
        <v>3209</v>
      </c>
      <c r="E1305" s="337" t="s">
        <v>3210</v>
      </c>
      <c r="F1305" s="481" t="s">
        <v>3211</v>
      </c>
      <c r="G1305">
        <f>IF(getRGB1($C1305)="FFFFFF",0,1)+IF(getRGB1($D1305)="FFFFFF",0,2)+IF(getRGB1($E1305)="FFFFFF",0,3)+IF(getRGB1($F1305)="FFFFFF",0,4)</f>
        <v>4</v>
      </c>
    </row>
    <row r="1306" spans="1:7" ht="45">
      <c r="A1306" t="s">
        <v>1203</v>
      </c>
      <c r="B1306" s="336" t="s">
        <v>7554</v>
      </c>
      <c r="C1306" s="337" t="s">
        <v>3221</v>
      </c>
      <c r="D1306" s="481" t="s">
        <v>3220</v>
      </c>
      <c r="E1306" s="337"/>
      <c r="F1306" s="337"/>
      <c r="G1306">
        <f>IF(getRGB1($C1306)="FFFFFF",0,1)+IF(getRGB1($D1306)="FFFFFF",0,2)+IF(getRGB1($E1306)="FFFFFF",0,3)+IF(getRGB1($F1306)="FFFFFF",0,4)</f>
        <v>2</v>
      </c>
    </row>
    <row r="1307" spans="1:7" ht="30">
      <c r="A1307" t="s">
        <v>1203</v>
      </c>
      <c r="B1307" s="336" t="s">
        <v>3212</v>
      </c>
      <c r="C1307" s="337" t="s">
        <v>3213</v>
      </c>
      <c r="D1307" s="481" t="s">
        <v>3214</v>
      </c>
      <c r="E1307" s="668" t="s">
        <v>3215</v>
      </c>
      <c r="F1307" s="337" t="s">
        <v>76</v>
      </c>
      <c r="G1307">
        <f>IF(getRGB1($C1307)="FFFFFF",0,1)+IF(getRGB1($D1307)="FFFFFF",0,2)+IF(getRGB1($E1307)="FFFFFF",0,3)+IF(getRGB1($F1307)="FFFFFF",0,4)</f>
        <v>2</v>
      </c>
    </row>
    <row r="1308" spans="1:7">
      <c r="A1308" t="s">
        <v>1203</v>
      </c>
      <c r="B1308" s="336" t="s">
        <v>3216</v>
      </c>
      <c r="C1308" s="481" t="s">
        <v>76</v>
      </c>
      <c r="D1308" s="337" t="s">
        <v>179</v>
      </c>
      <c r="E1308" s="337" t="s">
        <v>557</v>
      </c>
      <c r="F1308" s="337" t="s">
        <v>174</v>
      </c>
      <c r="G1308">
        <f>IF(getRGB1($C1308)="FFFFFF",0,1)+IF(getRGB1($D1308)="FFFFFF",0,2)+IF(getRGB1($E1308)="FFFFFF",0,3)+IF(getRGB1($F1308)="FFFFFF",0,4)</f>
        <v>1</v>
      </c>
    </row>
    <row r="1309" spans="1:7">
      <c r="A1309" t="s">
        <v>1203</v>
      </c>
      <c r="B1309" s="336" t="s">
        <v>3217</v>
      </c>
      <c r="C1309" s="337" t="s">
        <v>3251</v>
      </c>
      <c r="D1309" s="337" t="s">
        <v>995</v>
      </c>
      <c r="E1309" s="337" t="s">
        <v>3240</v>
      </c>
      <c r="F1309" s="481" t="s">
        <v>3218</v>
      </c>
      <c r="G1309">
        <f>IF(getRGB1($C1309)="FFFFFF",0,1)+IF(getRGB1($D1309)="FFFFFF",0,2)+IF(getRGB1($E1309)="FFFFFF",0,3)+IF(getRGB1($F1309)="FFFFFF",0,4)</f>
        <v>4</v>
      </c>
    </row>
    <row r="1310" spans="1:7" ht="60">
      <c r="A1310" t="s">
        <v>1203</v>
      </c>
      <c r="B1310" s="336" t="s">
        <v>7564</v>
      </c>
      <c r="C1310" s="481" t="s">
        <v>3220</v>
      </c>
      <c r="D1310" s="337" t="s">
        <v>3221</v>
      </c>
      <c r="E1310" s="491"/>
      <c r="F1310" s="491"/>
      <c r="G1310">
        <f>IF(getRGB1($C1310)="FFFFFF",0,1)+IF(getRGB1($D1310)="FFFFFF",0,2)+IF(getRGB1($E1310)="FFFFFF",0,3)+IF(getRGB1($F1310)="FFFFFF",0,4)</f>
        <v>1</v>
      </c>
    </row>
    <row r="1311" spans="1:7">
      <c r="A1311" t="s">
        <v>1203</v>
      </c>
      <c r="B1311" s="336" t="s">
        <v>3222</v>
      </c>
      <c r="C1311" s="481" t="s">
        <v>1122</v>
      </c>
      <c r="D1311" s="337" t="s">
        <v>76</v>
      </c>
      <c r="E1311" s="337" t="s">
        <v>3223</v>
      </c>
      <c r="F1311" s="337" t="s">
        <v>174</v>
      </c>
      <c r="G1311">
        <f>IF(getRGB1($C1311)="FFFFFF",0,1)+IF(getRGB1($D1311)="FFFFFF",0,2)+IF(getRGB1($E1311)="FFFFFF",0,3)+IF(getRGB1($F1311)="FFFFFF",0,4)</f>
        <v>1</v>
      </c>
    </row>
    <row r="1312" spans="1:7" ht="30">
      <c r="A1312" t="s">
        <v>1203</v>
      </c>
      <c r="B1312" s="336" t="s">
        <v>3224</v>
      </c>
      <c r="C1312" s="337" t="s">
        <v>3225</v>
      </c>
      <c r="D1312" s="481" t="s">
        <v>3226</v>
      </c>
      <c r="E1312" s="337" t="s">
        <v>3227</v>
      </c>
      <c r="F1312" s="337" t="s">
        <v>3228</v>
      </c>
      <c r="G1312">
        <f>IF(getRGB1($C1312)="FFFFFF",0,1)+IF(getRGB1($D1312)="FFFFFF",0,2)+IF(getRGB1($E1312)="FFFFFF",0,3)+IF(getRGB1($F1312)="FFFFFF",0,4)</f>
        <v>2</v>
      </c>
    </row>
    <row r="1313" spans="1:7" ht="30">
      <c r="A1313" t="s">
        <v>1203</v>
      </c>
      <c r="B1313" s="336" t="s">
        <v>3229</v>
      </c>
      <c r="C1313" s="337" t="s">
        <v>174</v>
      </c>
      <c r="D1313" s="481" t="s">
        <v>3230</v>
      </c>
      <c r="E1313" s="337" t="s">
        <v>76</v>
      </c>
      <c r="F1313" s="337" t="s">
        <v>3231</v>
      </c>
      <c r="G1313">
        <f>IF(getRGB1($C1313)="FFFFFF",0,1)+IF(getRGB1($D1313)="FFFFFF",0,2)+IF(getRGB1($E1313)="FFFFFF",0,3)+IF(getRGB1($F1313)="FFFFFF",0,4)</f>
        <v>2</v>
      </c>
    </row>
    <row r="1314" spans="1:7" ht="30">
      <c r="A1314" t="s">
        <v>1203</v>
      </c>
      <c r="B1314" s="336" t="s">
        <v>3232</v>
      </c>
      <c r="C1314" s="337" t="s">
        <v>557</v>
      </c>
      <c r="D1314" s="337" t="s">
        <v>173</v>
      </c>
      <c r="E1314" s="481" t="s">
        <v>76</v>
      </c>
      <c r="F1314" s="337" t="s">
        <v>3231</v>
      </c>
      <c r="G1314">
        <f>IF(getRGB1($C1314)="FFFFFF",0,1)+IF(getRGB1($D1314)="FFFFFF",0,2)+IF(getRGB1($E1314)="FFFFFF",0,3)+IF(getRGB1($F1314)="FFFFFF",0,4)</f>
        <v>3</v>
      </c>
    </row>
    <row r="1315" spans="1:7" ht="75">
      <c r="A1315" t="s">
        <v>1203</v>
      </c>
      <c r="B1315" s="336" t="s">
        <v>3233</v>
      </c>
      <c r="C1315" s="337" t="s">
        <v>3234</v>
      </c>
      <c r="D1315" s="337" t="s">
        <v>3235</v>
      </c>
      <c r="E1315" s="337" t="s">
        <v>3236</v>
      </c>
      <c r="F1315" s="481" t="s">
        <v>3237</v>
      </c>
      <c r="G1315">
        <f>IF(getRGB1($C1315)="FFFFFF",0,1)+IF(getRGB1($D1315)="FFFFFF",0,2)+IF(getRGB1($E1315)="FFFFFF",0,3)+IF(getRGB1($F1315)="FFFFFF",0,4)</f>
        <v>4</v>
      </c>
    </row>
    <row r="1316" spans="1:7" ht="30">
      <c r="A1316" t="s">
        <v>1203</v>
      </c>
      <c r="B1316" s="336" t="s">
        <v>3238</v>
      </c>
      <c r="C1316" s="337" t="s">
        <v>3239</v>
      </c>
      <c r="D1316" s="337" t="s">
        <v>3240</v>
      </c>
      <c r="E1316" s="481" t="s">
        <v>3241</v>
      </c>
      <c r="F1316" s="337" t="s">
        <v>3242</v>
      </c>
      <c r="G1316">
        <f>IF(getRGB1($C1316)="FFFFFF",0,1)+IF(getRGB1($D1316)="FFFFFF",0,2)+IF(getRGB1($E1316)="FFFFFF",0,3)+IF(getRGB1($F1316)="FFFFFF",0,4)</f>
        <v>3</v>
      </c>
    </row>
    <row r="1317" spans="1:7">
      <c r="A1317" t="s">
        <v>1203</v>
      </c>
      <c r="B1317" s="336" t="s">
        <v>3243</v>
      </c>
      <c r="C1317" s="481" t="s">
        <v>557</v>
      </c>
      <c r="D1317" s="337" t="s">
        <v>177</v>
      </c>
      <c r="E1317" s="337" t="s">
        <v>173</v>
      </c>
      <c r="F1317" s="337" t="s">
        <v>3244</v>
      </c>
      <c r="G1317">
        <f>IF(getRGB1($C1317)="FFFFFF",0,1)+IF(getRGB1($D1317)="FFFFFF",0,2)+IF(getRGB1($E1317)="FFFFFF",0,3)+IF(getRGB1($F1317)="FFFFFF",0,4)</f>
        <v>1</v>
      </c>
    </row>
    <row r="1318" spans="1:7">
      <c r="A1318" t="s">
        <v>1203</v>
      </c>
      <c r="B1318" s="336" t="s">
        <v>3245</v>
      </c>
      <c r="C1318" s="337" t="s">
        <v>3246</v>
      </c>
      <c r="D1318" s="481" t="s">
        <v>3247</v>
      </c>
      <c r="E1318" s="337" t="s">
        <v>3248</v>
      </c>
      <c r="F1318" s="337" t="s">
        <v>3249</v>
      </c>
      <c r="G1318">
        <f>IF(getRGB1($C1318)="FFFFFF",0,1)+IF(getRGB1($D1318)="FFFFFF",0,2)+IF(getRGB1($E1318)="FFFFFF",0,3)+IF(getRGB1($F1318)="FFFFFF",0,4)</f>
        <v>2</v>
      </c>
    </row>
    <row r="1319" spans="1:7" ht="45">
      <c r="A1319" t="s">
        <v>1203</v>
      </c>
      <c r="B1319" s="670" t="s">
        <v>3250</v>
      </c>
      <c r="C1319" s="481" t="s">
        <v>3251</v>
      </c>
      <c r="D1319" s="668" t="s">
        <v>3240</v>
      </c>
      <c r="E1319" s="668" t="s">
        <v>3252</v>
      </c>
      <c r="F1319" s="668" t="s">
        <v>3253</v>
      </c>
      <c r="G1319">
        <f>IF(getRGB1($C1319)="FFFFFF",0,1)+IF(getRGB1($D1319)="FFFFFF",0,2)+IF(getRGB1($E1319)="FFFFFF",0,3)+IF(getRGB1($F1319)="FFFFFF",0,4)</f>
        <v>1</v>
      </c>
    </row>
    <row r="1320" spans="1:7" ht="45">
      <c r="A1320" t="s">
        <v>1203</v>
      </c>
      <c r="B1320" s="670" t="s">
        <v>3254</v>
      </c>
      <c r="C1320" s="481" t="s">
        <v>3251</v>
      </c>
      <c r="D1320" s="668" t="s">
        <v>3240</v>
      </c>
      <c r="E1320" s="668" t="s">
        <v>3252</v>
      </c>
      <c r="F1320" s="668" t="s">
        <v>3253</v>
      </c>
      <c r="G1320">
        <f>IF(getRGB1($C1320)="FFFFFF",0,1)+IF(getRGB1($D1320)="FFFFFF",0,2)+IF(getRGB1($E1320)="FFFFFF",0,3)+IF(getRGB1($F1320)="FFFFFF",0,4)</f>
        <v>1</v>
      </c>
    </row>
    <row r="1321" spans="1:7" ht="60">
      <c r="A1321" t="s">
        <v>1203</v>
      </c>
      <c r="B1321" s="336" t="s">
        <v>3255</v>
      </c>
      <c r="C1321" s="481" t="s">
        <v>3256</v>
      </c>
      <c r="D1321" s="337" t="s">
        <v>3257</v>
      </c>
      <c r="E1321" s="337" t="s">
        <v>3258</v>
      </c>
      <c r="F1321" s="337" t="s">
        <v>61</v>
      </c>
      <c r="G1321">
        <f>IF(getRGB1($C1321)="FFFFFF",0,1)+IF(getRGB1($D1321)="FFFFFF",0,2)+IF(getRGB1($E1321)="FFFFFF",0,3)+IF(getRGB1($F1321)="FFFFFF",0,4)</f>
        <v>1</v>
      </c>
    </row>
    <row r="1322" spans="1:7" ht="30">
      <c r="A1322" t="s">
        <v>1203</v>
      </c>
      <c r="B1322" s="336" t="s">
        <v>3260</v>
      </c>
      <c r="C1322" s="337" t="s">
        <v>3261</v>
      </c>
      <c r="D1322" s="487" t="s">
        <v>3262</v>
      </c>
      <c r="E1322" s="337" t="s">
        <v>3263</v>
      </c>
      <c r="F1322" s="340" t="s">
        <v>4477</v>
      </c>
      <c r="G1322">
        <f>IF(getRGB1($C1322)="FFFFFF",0,1)+IF(getRGB1($D1322)="FFFFFF",0,2)+IF(getRGB1($E1322)="FFFFFF",0,3)+IF(getRGB1($F1322)="FFFFFF",0,4)</f>
        <v>4</v>
      </c>
    </row>
    <row r="1323" spans="1:7" ht="30">
      <c r="A1323" t="s">
        <v>1203</v>
      </c>
      <c r="B1323" s="336" t="s">
        <v>3265</v>
      </c>
      <c r="C1323" s="481" t="s">
        <v>3266</v>
      </c>
      <c r="D1323" s="337" t="s">
        <v>3262</v>
      </c>
      <c r="E1323" s="337" t="s">
        <v>3263</v>
      </c>
      <c r="F1323" s="337" t="s">
        <v>4477</v>
      </c>
      <c r="G1323">
        <f>IF(getRGB1($C1323)="FFFFFF",0,1)+IF(getRGB1($D1323)="FFFFFF",0,2)+IF(getRGB1($E1323)="FFFFFF",0,3)+IF(getRGB1($F1323)="FFFFFF",0,4)</f>
        <v>1</v>
      </c>
    </row>
    <row r="1324" spans="1:7" ht="30">
      <c r="A1324" t="s">
        <v>1203</v>
      </c>
      <c r="B1324" s="336" t="s">
        <v>3268</v>
      </c>
      <c r="C1324" s="337" t="s">
        <v>3269</v>
      </c>
      <c r="D1324" s="337" t="s">
        <v>3270</v>
      </c>
      <c r="E1324" s="481" t="s">
        <v>3406</v>
      </c>
      <c r="F1324" s="337" t="s">
        <v>3272</v>
      </c>
      <c r="G1324">
        <f>IF(getRGB1($C1324)="FFFFFF",0,1)+IF(getRGB1($D1324)="FFFFFF",0,2)+IF(getRGB1($E1324)="FFFFFF",0,3)+IF(getRGB1($F1324)="FFFFFF",0,4)</f>
        <v>3</v>
      </c>
    </row>
    <row r="1325" spans="1:7" ht="30">
      <c r="A1325" t="s">
        <v>1203</v>
      </c>
      <c r="B1325" s="336" t="s">
        <v>3273</v>
      </c>
      <c r="C1325" s="337" t="s">
        <v>3274</v>
      </c>
      <c r="D1325" s="481" t="s">
        <v>3275</v>
      </c>
      <c r="E1325" s="337" t="s">
        <v>3276</v>
      </c>
      <c r="F1325" s="337" t="s">
        <v>3277</v>
      </c>
      <c r="G1325">
        <f>IF(getRGB1($C1325)="FFFFFF",0,1)+IF(getRGB1($D1325)="FFFFFF",0,2)+IF(getRGB1($E1325)="FFFFFF",0,3)+IF(getRGB1($F1325)="FFFFFF",0,4)</f>
        <v>2</v>
      </c>
    </row>
    <row r="1326" spans="1:7">
      <c r="A1326" t="s">
        <v>1203</v>
      </c>
      <c r="B1326" s="336" t="s">
        <v>3278</v>
      </c>
      <c r="C1326" s="481" t="s">
        <v>76</v>
      </c>
      <c r="D1326" s="337" t="s">
        <v>174</v>
      </c>
      <c r="E1326" s="337" t="s">
        <v>3181</v>
      </c>
      <c r="F1326" s="337" t="s">
        <v>557</v>
      </c>
      <c r="G1326">
        <f>IF(getRGB1($C1326)="FFFFFF",0,1)+IF(getRGB1($D1326)="FFFFFF",0,2)+IF(getRGB1($E1326)="FFFFFF",0,3)+IF(getRGB1($F1326)="FFFFFF",0,4)</f>
        <v>1</v>
      </c>
    </row>
    <row r="1327" spans="1:7">
      <c r="A1327" t="s">
        <v>1203</v>
      </c>
      <c r="B1327" s="336" t="s">
        <v>7565</v>
      </c>
      <c r="C1327" s="481" t="s">
        <v>7566</v>
      </c>
      <c r="D1327" s="337" t="s">
        <v>3283</v>
      </c>
      <c r="E1327" s="337" t="s">
        <v>3284</v>
      </c>
      <c r="F1327" s="337" t="s">
        <v>3285</v>
      </c>
      <c r="G1327">
        <f>IF(getRGB1($C1327)="FFFFFF",0,1)+IF(getRGB1($D1327)="FFFFFF",0,2)+IF(getRGB1($E1327)="FFFFFF",0,3)+IF(getRGB1($F1327)="FFFFFF",0,4)</f>
        <v>1</v>
      </c>
    </row>
    <row r="1328" spans="1:7" ht="30">
      <c r="A1328" t="s">
        <v>1203</v>
      </c>
      <c r="B1328" s="336" t="s">
        <v>3281</v>
      </c>
      <c r="C1328" s="337" t="s">
        <v>7567</v>
      </c>
      <c r="D1328" s="337" t="s">
        <v>3283</v>
      </c>
      <c r="E1328" s="481" t="s">
        <v>3284</v>
      </c>
      <c r="F1328" s="337" t="s">
        <v>3285</v>
      </c>
      <c r="G1328">
        <f>IF(getRGB1($C1328)="FFFFFF",0,1)+IF(getRGB1($D1328)="FFFFFF",0,2)+IF(getRGB1($E1328)="FFFFFF",0,3)+IF(getRGB1($F1328)="FFFFFF",0,4)</f>
        <v>3</v>
      </c>
    </row>
    <row r="1329" spans="1:7" ht="105">
      <c r="A1329" t="s">
        <v>1203</v>
      </c>
      <c r="B1329" s="336" t="s">
        <v>3290</v>
      </c>
      <c r="C1329" s="481" t="s">
        <v>3291</v>
      </c>
      <c r="D1329" s="337" t="s">
        <v>3292</v>
      </c>
      <c r="E1329" s="337" t="s">
        <v>3293</v>
      </c>
      <c r="F1329" s="337" t="s">
        <v>3294</v>
      </c>
      <c r="G1329">
        <f>IF(getRGB1($C1329)="FFFFFF",0,1)+IF(getRGB1($D1329)="FFFFFF",0,2)+IF(getRGB1($E1329)="FFFFFF",0,3)+IF(getRGB1($F1329)="FFFFFF",0,4)</f>
        <v>1</v>
      </c>
    </row>
    <row r="1330" spans="1:7" ht="30">
      <c r="A1330" t="s">
        <v>7568</v>
      </c>
      <c r="B1330" s="671" t="s">
        <v>7569</v>
      </c>
      <c r="C1330" s="672" t="s">
        <v>7570</v>
      </c>
      <c r="D1330" s="498" t="s">
        <v>7571</v>
      </c>
      <c r="E1330" s="673" t="s">
        <v>7572</v>
      </c>
      <c r="F1330" s="693" t="s">
        <v>7573</v>
      </c>
      <c r="G1330">
        <f>IF(getRGB1($C1330)="FFFFFF",0,1)+IF(getRGB1($D1330)="FFFFFF",0,2)+IF(getRGB1($E1330)="FFFFFF",0,3)+IF(getRGB1($F1330)="FFFFFF",0,4)</f>
        <v>3</v>
      </c>
    </row>
    <row r="1331" spans="1:7" ht="60">
      <c r="A1331" t="s">
        <v>7568</v>
      </c>
      <c r="B1331" s="671" t="s">
        <v>7574</v>
      </c>
      <c r="C1331" s="693" t="s">
        <v>7575</v>
      </c>
      <c r="D1331" s="672" t="s">
        <v>7576</v>
      </c>
      <c r="E1331" s="673" t="s">
        <v>7577</v>
      </c>
      <c r="F1331" s="693" t="s">
        <v>7578</v>
      </c>
      <c r="G1331">
        <f>IF(getRGB1($C1331)="FFFFFF",0,1)+IF(getRGB1($D1331)="FFFFFF",0,2)+IF(getRGB1($E1331)="FFFFFF",0,3)+IF(getRGB1($F1331)="FFFFFF",0,4)</f>
        <v>3</v>
      </c>
    </row>
    <row r="1332" spans="1:7" ht="30">
      <c r="A1332" t="s">
        <v>7568</v>
      </c>
      <c r="B1332" s="497" t="s">
        <v>7579</v>
      </c>
      <c r="C1332" s="673" t="s">
        <v>7580</v>
      </c>
      <c r="D1332" s="498" t="s">
        <v>7581</v>
      </c>
      <c r="E1332" s="672" t="s">
        <v>7582</v>
      </c>
      <c r="F1332" s="672" t="s">
        <v>7583</v>
      </c>
      <c r="G1332">
        <f>IF(getRGB1($C1332)="FFFFFF",0,1)+IF(getRGB1($D1332)="FFFFFF",0,2)+IF(getRGB1($E1332)="FFFFFF",0,3)+IF(getRGB1($F1332)="FFFFFF",0,4)</f>
        <v>1</v>
      </c>
    </row>
    <row r="1333" spans="1:7" ht="60">
      <c r="A1333" t="s">
        <v>7568</v>
      </c>
      <c r="B1333" s="497" t="s">
        <v>7584</v>
      </c>
      <c r="C1333" s="672" t="s">
        <v>7585</v>
      </c>
      <c r="D1333" s="693" t="s">
        <v>7586</v>
      </c>
      <c r="E1333" s="498" t="s">
        <v>7587</v>
      </c>
      <c r="F1333" s="673" t="s">
        <v>5234</v>
      </c>
      <c r="G1333">
        <f>IF(getRGB1($C1333)="FFFFFF",0,1)+IF(getRGB1($D1333)="FFFFFF",0,2)+IF(getRGB1($E1333)="FFFFFF",0,3)+IF(getRGB1($F1333)="FFFFFF",0,4)</f>
        <v>4</v>
      </c>
    </row>
    <row r="1334" spans="1:7" ht="75">
      <c r="A1334" t="s">
        <v>7568</v>
      </c>
      <c r="B1334" s="671" t="s">
        <v>7588</v>
      </c>
      <c r="C1334" s="672" t="s">
        <v>7589</v>
      </c>
      <c r="D1334" s="693" t="s">
        <v>7590</v>
      </c>
      <c r="E1334" s="693" t="s">
        <v>7591</v>
      </c>
      <c r="F1334" s="673" t="s">
        <v>3313</v>
      </c>
      <c r="G1334">
        <f>IF(getRGB1($C1334)="FFFFFF",0,1)+IF(getRGB1($D1334)="FFFFFF",0,2)+IF(getRGB1($E1334)="FFFFFF",0,3)+IF(getRGB1($F1334)="FFFFFF",0,4)</f>
        <v>4</v>
      </c>
    </row>
    <row r="1335" spans="1:7" ht="30">
      <c r="A1335" t="s">
        <v>7568</v>
      </c>
      <c r="B1335" s="671" t="s">
        <v>7592</v>
      </c>
      <c r="C1335" s="693" t="s">
        <v>7593</v>
      </c>
      <c r="D1335" s="672" t="s">
        <v>7594</v>
      </c>
      <c r="E1335" s="672" t="s">
        <v>7595</v>
      </c>
      <c r="F1335" s="673" t="s">
        <v>3313</v>
      </c>
      <c r="G1335">
        <f>IF(getRGB1($C1335)="FFFFFF",0,1)+IF(getRGB1($D1335)="FFFFFF",0,2)+IF(getRGB1($E1335)="FFFFFF",0,3)+IF(getRGB1($F1335)="FFFFFF",0,4)</f>
        <v>4</v>
      </c>
    </row>
    <row r="1336" spans="1:7" ht="30">
      <c r="A1336" t="s">
        <v>7568</v>
      </c>
      <c r="B1336" s="671" t="s">
        <v>7596</v>
      </c>
      <c r="C1336" s="672" t="s">
        <v>7597</v>
      </c>
      <c r="D1336" s="673" t="s">
        <v>7598</v>
      </c>
      <c r="E1336" s="672" t="s">
        <v>7599</v>
      </c>
      <c r="F1336" s="672" t="s">
        <v>7600</v>
      </c>
      <c r="G1336">
        <f>IF(getRGB1($C1336)="FFFFFF",0,1)+IF(getRGB1($D1336)="FFFFFF",0,2)+IF(getRGB1($E1336)="FFFFFF",0,3)+IF(getRGB1($F1336)="FFFFFF",0,4)</f>
        <v>2</v>
      </c>
    </row>
    <row r="1337" spans="1:7" ht="45">
      <c r="A1337" t="s">
        <v>7568</v>
      </c>
      <c r="B1337" s="671" t="s">
        <v>7601</v>
      </c>
      <c r="C1337" s="672" t="s">
        <v>7602</v>
      </c>
      <c r="D1337" s="672" t="s">
        <v>7603</v>
      </c>
      <c r="E1337" s="673" t="s">
        <v>7604</v>
      </c>
      <c r="F1337" s="672" t="s">
        <v>7605</v>
      </c>
      <c r="G1337">
        <f>IF(getRGB1($C1337)="FFFFFF",0,1)+IF(getRGB1($D1337)="FFFFFF",0,2)+IF(getRGB1($E1337)="FFFFFF",0,3)+IF(getRGB1($F1337)="FFFFFF",0,4)</f>
        <v>3</v>
      </c>
    </row>
    <row r="1338" spans="1:7" ht="30">
      <c r="A1338" t="s">
        <v>7568</v>
      </c>
      <c r="B1338" s="497" t="s">
        <v>7606</v>
      </c>
      <c r="C1338" s="693" t="s">
        <v>7607</v>
      </c>
      <c r="D1338" s="672" t="s">
        <v>7608</v>
      </c>
      <c r="E1338" s="672" t="s">
        <v>7609</v>
      </c>
      <c r="F1338" s="673" t="s">
        <v>3313</v>
      </c>
      <c r="G1338">
        <f>IF(getRGB1($C1338)="FFFFFF",0,1)+IF(getRGB1($D1338)="FFFFFF",0,2)+IF(getRGB1($E1338)="FFFFFF",0,3)+IF(getRGB1($F1338)="FFFFFF",0,4)</f>
        <v>4</v>
      </c>
    </row>
    <row r="1339" spans="1:7" ht="45">
      <c r="A1339" t="s">
        <v>7568</v>
      </c>
      <c r="B1339" s="497" t="s">
        <v>6866</v>
      </c>
      <c r="C1339" s="672" t="s">
        <v>6867</v>
      </c>
      <c r="D1339" s="673" t="s">
        <v>6868</v>
      </c>
      <c r="E1339" s="672" t="s">
        <v>6869</v>
      </c>
      <c r="F1339" s="672" t="s">
        <v>6870</v>
      </c>
      <c r="G1339">
        <f>IF(getRGB1($C1339)="FFFFFF",0,1)+IF(getRGB1($D1339)="FFFFFF",0,2)+IF(getRGB1($E1339)="FFFFFF",0,3)+IF(getRGB1($F1339)="FFFFFF",0,4)</f>
        <v>2</v>
      </c>
    </row>
    <row r="1340" spans="1:7" ht="30">
      <c r="A1340" t="s">
        <v>7568</v>
      </c>
      <c r="B1340" s="497" t="s">
        <v>6871</v>
      </c>
      <c r="C1340" s="672" t="s">
        <v>6872</v>
      </c>
      <c r="D1340" s="673" t="s">
        <v>6873</v>
      </c>
      <c r="E1340" s="672" t="s">
        <v>6874</v>
      </c>
      <c r="F1340" s="672" t="s">
        <v>468</v>
      </c>
      <c r="G1340">
        <f>IF(getRGB1($C1340)="FFFFFF",0,1)+IF(getRGB1($D1340)="FFFFFF",0,2)+IF(getRGB1($E1340)="FFFFFF",0,3)+IF(getRGB1($F1340)="FFFFFF",0,4)</f>
        <v>2</v>
      </c>
    </row>
    <row r="1341" spans="1:7" ht="60">
      <c r="A1341" t="s">
        <v>7568</v>
      </c>
      <c r="B1341" s="497" t="s">
        <v>6875</v>
      </c>
      <c r="C1341" s="672" t="s">
        <v>6876</v>
      </c>
      <c r="D1341" s="672" t="s">
        <v>6877</v>
      </c>
      <c r="E1341" s="673" t="s">
        <v>6878</v>
      </c>
      <c r="F1341" s="672" t="s">
        <v>6879</v>
      </c>
      <c r="G1341">
        <f>IF(getRGB1($C1341)="FFFFFF",0,1)+IF(getRGB1($D1341)="FFFFFF",0,2)+IF(getRGB1($E1341)="FFFFFF",0,3)+IF(getRGB1($F1341)="FFFFFF",0,4)</f>
        <v>3</v>
      </c>
    </row>
    <row r="1342" spans="1:7" ht="30">
      <c r="A1342" t="s">
        <v>7568</v>
      </c>
      <c r="B1342" s="497" t="s">
        <v>6880</v>
      </c>
      <c r="C1342" s="673" t="s">
        <v>6881</v>
      </c>
      <c r="D1342" s="672" t="s">
        <v>6882</v>
      </c>
      <c r="E1342" s="672" t="s">
        <v>6883</v>
      </c>
      <c r="F1342" s="672" t="s">
        <v>6884</v>
      </c>
      <c r="G1342">
        <f>IF(getRGB1($C1342)="FFFFFF",0,1)+IF(getRGB1($D1342)="FFFFFF",0,2)+IF(getRGB1($E1342)="FFFFFF",0,3)+IF(getRGB1($F1342)="FFFFFF",0,4)</f>
        <v>1</v>
      </c>
    </row>
    <row r="1343" spans="1:7" ht="30">
      <c r="A1343" t="s">
        <v>7568</v>
      </c>
      <c r="B1343" s="497" t="s">
        <v>6885</v>
      </c>
      <c r="C1343" s="672" t="s">
        <v>6886</v>
      </c>
      <c r="D1343" s="673" t="s">
        <v>6887</v>
      </c>
      <c r="E1343" s="672" t="s">
        <v>6888</v>
      </c>
      <c r="F1343" s="672" t="s">
        <v>6889</v>
      </c>
      <c r="G1343">
        <f>IF(getRGB1($C1343)="FFFFFF",0,1)+IF(getRGB1($D1343)="FFFFFF",0,2)+IF(getRGB1($E1343)="FFFFFF",0,3)+IF(getRGB1($F1343)="FFFFFF",0,4)</f>
        <v>2</v>
      </c>
    </row>
    <row r="1344" spans="1:7" ht="45">
      <c r="A1344" t="s">
        <v>7568</v>
      </c>
      <c r="B1344" s="497" t="s">
        <v>6890</v>
      </c>
      <c r="C1344" s="673" t="s">
        <v>2682</v>
      </c>
      <c r="D1344" s="672" t="s">
        <v>2681</v>
      </c>
      <c r="E1344" s="672" t="s">
        <v>6891</v>
      </c>
      <c r="F1344" s="672" t="s">
        <v>6892</v>
      </c>
      <c r="G1344">
        <f>IF(getRGB1($C1344)="FFFFFF",0,1)+IF(getRGB1($D1344)="FFFFFF",0,2)+IF(getRGB1($E1344)="FFFFFF",0,3)+IF(getRGB1($F1344)="FFFFFF",0,4)</f>
        <v>1</v>
      </c>
    </row>
    <row r="1345" spans="1:7" ht="30">
      <c r="A1345" t="s">
        <v>7568</v>
      </c>
      <c r="B1345" s="497" t="s">
        <v>6893</v>
      </c>
      <c r="C1345" s="672">
        <v>30</v>
      </c>
      <c r="D1345" s="672">
        <v>180</v>
      </c>
      <c r="E1345" s="672">
        <v>60</v>
      </c>
      <c r="F1345" s="673">
        <v>90</v>
      </c>
      <c r="G1345">
        <f>IF(getRGB1($C1345)="FFFFFF",0,1)+IF(getRGB1($D1345)="FFFFFF",0,2)+IF(getRGB1($E1345)="FFFFFF",0,3)+IF(getRGB1($F1345)="FFFFFF",0,4)</f>
        <v>4</v>
      </c>
    </row>
    <row r="1346" spans="1:7" ht="30">
      <c r="A1346" t="s">
        <v>7568</v>
      </c>
      <c r="B1346" s="497" t="s">
        <v>6894</v>
      </c>
      <c r="C1346" s="672" t="s">
        <v>2682</v>
      </c>
      <c r="D1346" s="602" t="s">
        <v>2681</v>
      </c>
      <c r="E1346" s="702" t="s">
        <v>6895</v>
      </c>
      <c r="F1346" s="672" t="s">
        <v>6896</v>
      </c>
      <c r="G1346">
        <f>IF(getRGB1($C1346)="FFFFFF",0,1)+IF(getRGB1($D1346)="FFFFFF",0,2)+IF(getRGB1($E1346)="FFFFFF",0,3)+IF(getRGB1($F1346)="FFFFFF",0,4)</f>
        <v>0</v>
      </c>
    </row>
    <row r="1347" spans="1:7" ht="60">
      <c r="A1347" t="s">
        <v>7568</v>
      </c>
      <c r="B1347" s="497" t="s">
        <v>6897</v>
      </c>
      <c r="C1347" s="672" t="s">
        <v>6898</v>
      </c>
      <c r="D1347" s="673" t="s">
        <v>6899</v>
      </c>
      <c r="E1347" s="672" t="s">
        <v>6900</v>
      </c>
      <c r="F1347" s="672" t="s">
        <v>6901</v>
      </c>
      <c r="G1347">
        <f>IF(getRGB1($C1347)="FFFFFF",0,1)+IF(getRGB1($D1347)="FFFFFF",0,2)+IF(getRGB1($E1347)="FFFFFF",0,3)+IF(getRGB1($F1347)="FFFFFF",0,4)</f>
        <v>2</v>
      </c>
    </row>
    <row r="1348" spans="1:7" ht="30">
      <c r="A1348" t="s">
        <v>7568</v>
      </c>
      <c r="B1348" s="497" t="s">
        <v>6902</v>
      </c>
      <c r="C1348" s="672" t="s">
        <v>6903</v>
      </c>
      <c r="D1348" s="673" t="s">
        <v>6904</v>
      </c>
      <c r="E1348" s="672" t="s">
        <v>6905</v>
      </c>
      <c r="F1348" s="693" t="s">
        <v>6906</v>
      </c>
      <c r="G1348">
        <f>IF(getRGB1($C1348)="FFFFFF",0,1)+IF(getRGB1($D1348)="FFFFFF",0,2)+IF(getRGB1($E1348)="FFFFFF",0,3)+IF(getRGB1($F1348)="FFFFFF",0,4)</f>
        <v>2</v>
      </c>
    </row>
    <row r="1349" spans="1:7" ht="45">
      <c r="A1349" t="s">
        <v>7568</v>
      </c>
      <c r="B1349" s="497" t="s">
        <v>6907</v>
      </c>
      <c r="C1349" s="673">
        <v>15</v>
      </c>
      <c r="D1349" s="672">
        <v>90</v>
      </c>
      <c r="E1349" s="672">
        <v>120</v>
      </c>
      <c r="F1349" s="672">
        <v>180</v>
      </c>
      <c r="G1349">
        <f>IF(getRGB1($C1349)="FFFFFF",0,1)+IF(getRGB1($D1349)="FFFFFF",0,2)+IF(getRGB1($E1349)="FFFFFF",0,3)+IF(getRGB1($F1349)="FFFFFF",0,4)</f>
        <v>1</v>
      </c>
    </row>
    <row r="1350" spans="1:7" ht="30">
      <c r="A1350" t="s">
        <v>7568</v>
      </c>
      <c r="B1350" s="497" t="s">
        <v>6908</v>
      </c>
      <c r="C1350" s="673" t="s">
        <v>6909</v>
      </c>
      <c r="D1350" s="672" t="s">
        <v>6910</v>
      </c>
      <c r="E1350" s="672" t="s">
        <v>6911</v>
      </c>
      <c r="F1350" s="672" t="s">
        <v>6912</v>
      </c>
      <c r="G1350">
        <f>IF(getRGB1($C1350)="FFFFFF",0,1)+IF(getRGB1($D1350)="FFFFFF",0,2)+IF(getRGB1($E1350)="FFFFFF",0,3)+IF(getRGB1($F1350)="FFFFFF",0,4)</f>
        <v>1</v>
      </c>
    </row>
    <row r="1351" spans="1:7" ht="30">
      <c r="A1351" t="s">
        <v>7568</v>
      </c>
      <c r="B1351" s="497" t="s">
        <v>6913</v>
      </c>
      <c r="C1351" s="673" t="s">
        <v>6914</v>
      </c>
      <c r="D1351" s="672" t="s">
        <v>6915</v>
      </c>
      <c r="E1351" s="672" t="s">
        <v>6916</v>
      </c>
      <c r="F1351" s="672" t="s">
        <v>6917</v>
      </c>
      <c r="G1351">
        <f>IF(getRGB1($C1351)="FFFFFF",0,1)+IF(getRGB1($D1351)="FFFFFF",0,2)+IF(getRGB1($E1351)="FFFFFF",0,3)+IF(getRGB1($F1351)="FFFFFF",0,4)</f>
        <v>1</v>
      </c>
    </row>
    <row r="1352" spans="1:7" ht="30">
      <c r="A1352" t="s">
        <v>7568</v>
      </c>
      <c r="B1352" s="497" t="s">
        <v>6913</v>
      </c>
      <c r="C1352" s="672" t="s">
        <v>6918</v>
      </c>
      <c r="D1352" s="673" t="s">
        <v>6919</v>
      </c>
      <c r="E1352" s="672" t="s">
        <v>6920</v>
      </c>
      <c r="F1352" s="672" t="s">
        <v>6921</v>
      </c>
      <c r="G1352">
        <f>IF(getRGB1($C1352)="FFFFFF",0,1)+IF(getRGB1($D1352)="FFFFFF",0,2)+IF(getRGB1($E1352)="FFFFFF",0,3)+IF(getRGB1($F1352)="FFFFFF",0,4)</f>
        <v>2</v>
      </c>
    </row>
    <row r="1353" spans="1:7" ht="45">
      <c r="A1353" t="s">
        <v>7568</v>
      </c>
      <c r="B1353" s="497" t="s">
        <v>6922</v>
      </c>
      <c r="C1353" s="673" t="s">
        <v>6923</v>
      </c>
      <c r="D1353" s="693" t="s">
        <v>6924</v>
      </c>
      <c r="E1353" s="672" t="s">
        <v>6925</v>
      </c>
      <c r="F1353" s="672" t="s">
        <v>6926</v>
      </c>
      <c r="G1353">
        <f>IF(getRGB1($C1353)="FFFFFF",0,1)+IF(getRGB1($D1353)="FFFFFF",0,2)+IF(getRGB1($E1353)="FFFFFF",0,3)+IF(getRGB1($F1353)="FFFFFF",0,4)</f>
        <v>1</v>
      </c>
    </row>
    <row r="1354" spans="1:7" ht="30">
      <c r="A1354" t="s">
        <v>7568</v>
      </c>
      <c r="B1354" s="497" t="s">
        <v>6927</v>
      </c>
      <c r="C1354" s="672">
        <v>484</v>
      </c>
      <c r="D1354" s="673">
        <v>1600</v>
      </c>
      <c r="E1354" s="672">
        <v>400</v>
      </c>
      <c r="F1354" s="672">
        <v>800</v>
      </c>
      <c r="G1354">
        <f>IF(getRGB1($C1354)="FFFFFF",0,1)+IF(getRGB1($D1354)="FFFFFF",0,2)+IF(getRGB1($E1354)="FFFFFF",0,3)+IF(getRGB1($F1354)="FFFFFF",0,4)</f>
        <v>2</v>
      </c>
    </row>
    <row r="1355" spans="1:7" ht="45">
      <c r="A1355" t="s">
        <v>7568</v>
      </c>
      <c r="B1355" s="497" t="s">
        <v>6928</v>
      </c>
      <c r="C1355" s="672">
        <v>6.06</v>
      </c>
      <c r="D1355" s="672">
        <v>60.6</v>
      </c>
      <c r="E1355" s="673">
        <v>23.49</v>
      </c>
      <c r="F1355" s="672">
        <v>2.3490000000000002</v>
      </c>
      <c r="G1355">
        <f>IF(getRGB1($C1355)="FFFFFF",0,1)+IF(getRGB1($D1355)="FFFFFF",0,2)+IF(getRGB1($E1355)="FFFFFF",0,3)+IF(getRGB1($F1355)="FFFFFF",0,4)</f>
        <v>3</v>
      </c>
    </row>
    <row r="1356" spans="1:7" ht="45">
      <c r="A1356" t="s">
        <v>7568</v>
      </c>
      <c r="B1356" s="497" t="s">
        <v>6929</v>
      </c>
      <c r="C1356" s="672">
        <v>1600</v>
      </c>
      <c r="D1356" s="673">
        <v>2349</v>
      </c>
      <c r="E1356" s="672">
        <v>600</v>
      </c>
      <c r="F1356" s="672">
        <v>300</v>
      </c>
      <c r="G1356">
        <f>IF(getRGB1($C1356)="FFFFFF",0,1)+IF(getRGB1($D1356)="FFFFFF",0,2)+IF(getRGB1($E1356)="FFFFFF",0,3)+IF(getRGB1($F1356)="FFFFFF",0,4)</f>
        <v>2</v>
      </c>
    </row>
    <row r="1357" spans="1:7" ht="30">
      <c r="A1357" t="s">
        <v>7568</v>
      </c>
      <c r="B1357" s="497" t="s">
        <v>7610</v>
      </c>
      <c r="C1357" s="672" t="s">
        <v>7611</v>
      </c>
      <c r="D1357" s="672" t="s">
        <v>7612</v>
      </c>
      <c r="E1357" s="672" t="s">
        <v>7613</v>
      </c>
      <c r="F1357" s="673" t="s">
        <v>3313</v>
      </c>
      <c r="G1357">
        <f>IF(getRGB1($C1357)="FFFFFF",0,1)+IF(getRGB1($D1357)="FFFFFF",0,2)+IF(getRGB1($E1357)="FFFFFF",0,3)+IF(getRGB1($F1357)="FFFFFF",0,4)</f>
        <v>4</v>
      </c>
    </row>
    <row r="1358" spans="1:7" ht="30">
      <c r="A1358" t="s">
        <v>7568</v>
      </c>
      <c r="B1358" s="497" t="s">
        <v>7614</v>
      </c>
      <c r="C1358" s="672" t="s">
        <v>7615</v>
      </c>
      <c r="D1358" s="672" t="s">
        <v>7611</v>
      </c>
      <c r="E1358" s="672" t="s">
        <v>7616</v>
      </c>
      <c r="F1358" s="673" t="s">
        <v>3313</v>
      </c>
      <c r="G1358">
        <f>IF(getRGB1($C1358)="FFFFFF",0,1)+IF(getRGB1($D1358)="FFFFFF",0,2)+IF(getRGB1($E1358)="FFFFFF",0,3)+IF(getRGB1($F1358)="FFFFFF",0,4)</f>
        <v>4</v>
      </c>
    </row>
    <row r="1359" spans="1:7" ht="30">
      <c r="A1359" t="s">
        <v>7568</v>
      </c>
      <c r="B1359" s="497" t="s">
        <v>7617</v>
      </c>
      <c r="C1359" s="693" t="s">
        <v>7618</v>
      </c>
      <c r="D1359" s="673" t="s">
        <v>7619</v>
      </c>
      <c r="E1359" s="672" t="s">
        <v>7620</v>
      </c>
      <c r="F1359" s="693" t="s">
        <v>7621</v>
      </c>
      <c r="G1359">
        <f>IF(getRGB1($C1359)="FFFFFF",0,1)+IF(getRGB1($D1359)="FFFFFF",0,2)+IF(getRGB1($E1359)="FFFFFF",0,3)+IF(getRGB1($F1359)="FFFFFF",0,4)</f>
        <v>2</v>
      </c>
    </row>
    <row r="1360" spans="1:7">
      <c r="A1360" t="s">
        <v>7568</v>
      </c>
      <c r="B1360" s="671" t="s">
        <v>7622</v>
      </c>
      <c r="C1360" s="672" t="s">
        <v>7623</v>
      </c>
      <c r="D1360" s="672" t="s">
        <v>7624</v>
      </c>
      <c r="E1360" s="672" t="s">
        <v>7625</v>
      </c>
      <c r="F1360" s="673" t="s">
        <v>3313</v>
      </c>
      <c r="G1360">
        <f>IF(getRGB1($C1360)="FFFFFF",0,1)+IF(getRGB1($D1360)="FFFFFF",0,2)+IF(getRGB1($E1360)="FFFFFF",0,3)+IF(getRGB1($F1360)="FFFFFF",0,4)</f>
        <v>4</v>
      </c>
    </row>
    <row r="1361" spans="1:7">
      <c r="A1361" t="s">
        <v>7568</v>
      </c>
      <c r="B1361" s="671" t="s">
        <v>7626</v>
      </c>
      <c r="C1361" s="702" t="s">
        <v>6597</v>
      </c>
      <c r="D1361" s="672" t="s">
        <v>7627</v>
      </c>
      <c r="E1361" s="723" t="s">
        <v>7628</v>
      </c>
      <c r="F1361" s="672" t="s">
        <v>7629</v>
      </c>
      <c r="G1361">
        <f>IF(getRGB1($C1361)="FFFFFF",0,1)+IF(getRGB1($D1361)="FFFFFF",0,2)+IF(getRGB1($E1361)="FFFFFF",0,3)+IF(getRGB1($F1361)="FFFFFF",0,4)</f>
        <v>0</v>
      </c>
    </row>
    <row r="1362" spans="1:7" ht="45">
      <c r="A1362" t="s">
        <v>7568</v>
      </c>
      <c r="B1362" s="497" t="s">
        <v>7630</v>
      </c>
      <c r="C1362" s="672" t="s">
        <v>7631</v>
      </c>
      <c r="D1362" s="673" t="s">
        <v>7632</v>
      </c>
      <c r="E1362" s="672" t="s">
        <v>7633</v>
      </c>
      <c r="F1362" s="498" t="s">
        <v>468</v>
      </c>
      <c r="G1362">
        <f>IF(getRGB1($C1362)="FFFFFF",0,1)+IF(getRGB1($D1362)="FFFFFF",0,2)+IF(getRGB1($E1362)="FFFFFF",0,3)+IF(getRGB1($F1362)="FFFFFF",0,4)</f>
        <v>2</v>
      </c>
    </row>
    <row r="1363" spans="1:7" ht="60">
      <c r="A1363" t="s">
        <v>7568</v>
      </c>
      <c r="B1363" s="497" t="s">
        <v>7634</v>
      </c>
      <c r="C1363" s="702" t="s">
        <v>7631</v>
      </c>
      <c r="D1363" s="672" t="s">
        <v>7632</v>
      </c>
      <c r="E1363" s="723" t="s">
        <v>7635</v>
      </c>
      <c r="F1363" s="672" t="s">
        <v>7629</v>
      </c>
      <c r="G1363">
        <f>IF(getRGB1($C1363)="FFFFFF",0,1)+IF(getRGB1($D1363)="FFFFFF",0,2)+IF(getRGB1($E1363)="FFFFFF",0,3)+IF(getRGB1($F1363)="FFFFFF",0,4)</f>
        <v>0</v>
      </c>
    </row>
    <row r="1364" spans="1:7" ht="30">
      <c r="A1364" t="s">
        <v>7568</v>
      </c>
      <c r="B1364" s="671" t="s">
        <v>7636</v>
      </c>
      <c r="C1364" s="672" t="s">
        <v>7637</v>
      </c>
      <c r="D1364" s="672" t="s">
        <v>7638</v>
      </c>
      <c r="E1364" s="673" t="s">
        <v>7639</v>
      </c>
      <c r="F1364" s="672" t="s">
        <v>7640</v>
      </c>
      <c r="G1364">
        <f>IF(getRGB1($C1364)="FFFFFF",0,1)+IF(getRGB1($D1364)="FFFFFF",0,2)+IF(getRGB1($E1364)="FFFFFF",0,3)+IF(getRGB1($F1364)="FFFFFF",0,4)</f>
        <v>3</v>
      </c>
    </row>
    <row r="1365" spans="1:7" ht="30">
      <c r="A1365" t="s">
        <v>7568</v>
      </c>
      <c r="B1365" s="497" t="s">
        <v>7641</v>
      </c>
      <c r="C1365" s="672" t="s">
        <v>7642</v>
      </c>
      <c r="D1365" s="673" t="s">
        <v>7643</v>
      </c>
      <c r="E1365" s="672" t="s">
        <v>7644</v>
      </c>
      <c r="F1365" s="672" t="s">
        <v>7645</v>
      </c>
      <c r="G1365">
        <f>IF(getRGB1($C1365)="FFFFFF",0,1)+IF(getRGB1($D1365)="FFFFFF",0,2)+IF(getRGB1($E1365)="FFFFFF",0,3)+IF(getRGB1($F1365)="FFFFFF",0,4)</f>
        <v>2</v>
      </c>
    </row>
    <row r="1366" spans="1:7" ht="60">
      <c r="A1366" t="s">
        <v>7568</v>
      </c>
      <c r="B1366" s="671" t="s">
        <v>7646</v>
      </c>
      <c r="C1366" s="499" t="s">
        <v>7647</v>
      </c>
      <c r="D1366" s="498" t="s">
        <v>7620</v>
      </c>
      <c r="E1366" s="672" t="s">
        <v>7648</v>
      </c>
      <c r="F1366" s="498" t="s">
        <v>7649</v>
      </c>
      <c r="G1366">
        <f>IF(getRGB1($C1366)="FFFFFF",0,1)+IF(getRGB1($D1366)="FFFFFF",0,2)+IF(getRGB1($E1366)="FFFFFF",0,3)+IF(getRGB1($F1366)="FFFFFF",0,4)</f>
        <v>1</v>
      </c>
    </row>
    <row r="1367" spans="1:7" ht="30">
      <c r="A1367" t="s">
        <v>7568</v>
      </c>
      <c r="B1367" s="497" t="s">
        <v>8757</v>
      </c>
      <c r="C1367" s="498" t="s">
        <v>7650</v>
      </c>
      <c r="D1367" s="499" t="s">
        <v>7651</v>
      </c>
      <c r="E1367" s="498" t="s">
        <v>7652</v>
      </c>
      <c r="F1367" s="498" t="s">
        <v>7649</v>
      </c>
      <c r="G1367">
        <f>IF(getRGB1($C1367)="FFFFFF",0,1)+IF(getRGB1($D1367)="FFFFFF",0,2)+IF(getRGB1($E1367)="FFFFFF",0,3)+IF(getRGB1($F1367)="FFFFFF",0,4)</f>
        <v>2</v>
      </c>
    </row>
    <row r="1368" spans="1:7" ht="45">
      <c r="A1368" t="s">
        <v>7568</v>
      </c>
      <c r="B1368" s="497" t="s">
        <v>7653</v>
      </c>
      <c r="C1368" s="672" t="s">
        <v>7654</v>
      </c>
      <c r="D1368" s="672" t="s">
        <v>7655</v>
      </c>
      <c r="E1368" s="673" t="s">
        <v>7656</v>
      </c>
      <c r="F1368" s="674" t="s">
        <v>209</v>
      </c>
      <c r="G1368">
        <f>IF(getRGB1($C1368)="FFFFFF",0,1)+IF(getRGB1($D1368)="FFFFFF",0,2)+IF(getRGB1($E1368)="FFFFFF",0,3)+IF(getRGB1($F1368)="FFFFFF",0,4)</f>
        <v>3</v>
      </c>
    </row>
    <row r="1369" spans="1:7">
      <c r="A1369" t="s">
        <v>7568</v>
      </c>
      <c r="B1369" s="497" t="s">
        <v>7657</v>
      </c>
      <c r="C1369" s="673" t="s">
        <v>7658</v>
      </c>
      <c r="D1369" s="672" t="s">
        <v>7659</v>
      </c>
      <c r="E1369" s="693" t="s">
        <v>7660</v>
      </c>
      <c r="F1369" s="674" t="s">
        <v>209</v>
      </c>
      <c r="G1369">
        <f>IF(getRGB1($C1369)="FFFFFF",0,1)+IF(getRGB1($D1369)="FFFFFF",0,2)+IF(getRGB1($E1369)="FFFFFF",0,3)+IF(getRGB1($F1369)="FFFFFF",0,4)</f>
        <v>1</v>
      </c>
    </row>
    <row r="1370" spans="1:7">
      <c r="A1370" t="s">
        <v>7568</v>
      </c>
      <c r="B1370" s="497" t="s">
        <v>7661</v>
      </c>
      <c r="C1370" s="693" t="s">
        <v>7662</v>
      </c>
      <c r="D1370" s="673" t="s">
        <v>7659</v>
      </c>
      <c r="E1370" s="672" t="s">
        <v>7660</v>
      </c>
      <c r="F1370" s="674" t="s">
        <v>209</v>
      </c>
      <c r="G1370">
        <f>IF(getRGB1($C1370)="FFFFFF",0,1)+IF(getRGB1($D1370)="FFFFFF",0,2)+IF(getRGB1($E1370)="FFFFFF",0,3)+IF(getRGB1($F1370)="FFFFFF",0,4)</f>
        <v>2</v>
      </c>
    </row>
    <row r="1371" spans="1:7" ht="30">
      <c r="A1371" t="s">
        <v>7568</v>
      </c>
      <c r="B1371" s="497" t="s">
        <v>7663</v>
      </c>
      <c r="C1371" s="499" t="s">
        <v>7664</v>
      </c>
      <c r="D1371" s="498" t="s">
        <v>7665</v>
      </c>
      <c r="E1371" s="502" t="s">
        <v>7666</v>
      </c>
      <c r="F1371" s="498" t="s">
        <v>7667</v>
      </c>
      <c r="G1371">
        <f>IF(getRGB1($C1371)="FFFFFF",0,1)+IF(getRGB1($D1371)="FFFFFF",0,2)+IF(getRGB1($E1371)="FFFFFF",0,3)+IF(getRGB1($F1371)="FFFFFF",0,4)</f>
        <v>1</v>
      </c>
    </row>
    <row r="1372" spans="1:7" ht="30">
      <c r="A1372" t="s">
        <v>7568</v>
      </c>
      <c r="B1372" s="502" t="s">
        <v>7668</v>
      </c>
      <c r="C1372" s="502" t="s">
        <v>7669</v>
      </c>
      <c r="D1372" s="502" t="s">
        <v>7670</v>
      </c>
      <c r="E1372" s="503" t="s">
        <v>7671</v>
      </c>
      <c r="F1372" s="502" t="s">
        <v>7672</v>
      </c>
      <c r="G1372">
        <f>IF(getRGB1($C1372)="FFFFFF",0,1)+IF(getRGB1($D1372)="FFFFFF",0,2)+IF(getRGB1($E1372)="FFFFFF",0,3)+IF(getRGB1($F1372)="FFFFFF",0,4)</f>
        <v>3</v>
      </c>
    </row>
    <row r="1373" spans="1:7">
      <c r="A1373" t="s">
        <v>7568</v>
      </c>
      <c r="B1373" s="676" t="s">
        <v>7673</v>
      </c>
      <c r="C1373" s="677" t="s">
        <v>7674</v>
      </c>
      <c r="D1373" s="678" t="s">
        <v>7675</v>
      </c>
      <c r="E1373" s="678" t="s">
        <v>6081</v>
      </c>
      <c r="F1373" s="674" t="s">
        <v>209</v>
      </c>
      <c r="G1373">
        <f>IF(getRGB1($C1373)="FFFFFF",0,1)+IF(getRGB1($D1373)="FFFFFF",0,2)+IF(getRGB1($E1373)="FFFFFF",0,3)+IF(getRGB1($F1373)="FFFFFF",0,4)</f>
        <v>1</v>
      </c>
    </row>
    <row r="1374" spans="1:7">
      <c r="A1374" t="s">
        <v>7568</v>
      </c>
      <c r="B1374" s="671" t="s">
        <v>7676</v>
      </c>
      <c r="C1374" s="678" t="s">
        <v>7677</v>
      </c>
      <c r="D1374" s="678" t="s">
        <v>7678</v>
      </c>
      <c r="E1374" s="677" t="s">
        <v>7679</v>
      </c>
      <c r="F1374" s="678" t="s">
        <v>7680</v>
      </c>
      <c r="G1374">
        <f>IF(getRGB1($C1374)="FFFFFF",0,1)+IF(getRGB1($D1374)="FFFFFF",0,2)+IF(getRGB1($E1374)="FFFFFF",0,3)+IF(getRGB1($F1374)="FFFFFF",0,4)</f>
        <v>3</v>
      </c>
    </row>
    <row r="1375" spans="1:7" ht="30">
      <c r="A1375" t="s">
        <v>7568</v>
      </c>
      <c r="B1375" s="497" t="s">
        <v>7681</v>
      </c>
      <c r="C1375" s="674" t="s">
        <v>7682</v>
      </c>
      <c r="D1375" s="675" t="s">
        <v>7683</v>
      </c>
      <c r="E1375" s="674" t="s">
        <v>7684</v>
      </c>
      <c r="F1375" s="674" t="s">
        <v>209</v>
      </c>
      <c r="G1375">
        <f>IF(getRGB1($C1375)="FFFFFF",0,1)+IF(getRGB1($D1375)="FFFFFF",0,2)+IF(getRGB1($E1375)="FFFFFF",0,3)+IF(getRGB1($F1375)="FFFFFF",0,4)</f>
        <v>2</v>
      </c>
    </row>
    <row r="1376" spans="1:7" ht="30">
      <c r="A1376" t="s">
        <v>7568</v>
      </c>
      <c r="B1376" s="502" t="s">
        <v>7685</v>
      </c>
      <c r="C1376" s="679" t="s">
        <v>7686</v>
      </c>
      <c r="D1376" s="674" t="s">
        <v>7687</v>
      </c>
      <c r="E1376" s="675" t="s">
        <v>1230</v>
      </c>
      <c r="F1376" s="500" t="s">
        <v>209</v>
      </c>
      <c r="G1376">
        <f>IF(getRGB1($C1376)="FFFFFF",0,1)+IF(getRGB1($D1376)="FFFFFF",0,2)+IF(getRGB1($E1376)="FFFFFF",0,3)+IF(getRGB1($F1376)="FFFFFF",0,4)</f>
        <v>3</v>
      </c>
    </row>
    <row r="1377" spans="1:7" ht="30">
      <c r="A1377" t="s">
        <v>7568</v>
      </c>
      <c r="B1377" s="676" t="s">
        <v>7688</v>
      </c>
      <c r="C1377" s="503" t="s">
        <v>7689</v>
      </c>
      <c r="D1377" s="502" t="s">
        <v>7690</v>
      </c>
      <c r="E1377" s="502" t="s">
        <v>7691</v>
      </c>
      <c r="F1377" s="674" t="s">
        <v>209</v>
      </c>
      <c r="G1377">
        <f>IF(getRGB1($C1377)="FFFFFF",0,1)+IF(getRGB1($D1377)="FFFFFF",0,2)+IF(getRGB1($E1377)="FFFFFF",0,3)+IF(getRGB1($F1377)="FFFFFF",0,4)</f>
        <v>1</v>
      </c>
    </row>
    <row r="1378" spans="1:7">
      <c r="A1378" t="s">
        <v>7568</v>
      </c>
      <c r="B1378" s="676" t="s">
        <v>7692</v>
      </c>
      <c r="C1378" s="683" t="s">
        <v>7693</v>
      </c>
      <c r="D1378" s="603" t="s">
        <v>7683</v>
      </c>
      <c r="E1378" s="502" t="s">
        <v>7694</v>
      </c>
      <c r="F1378" s="675" t="s">
        <v>7695</v>
      </c>
      <c r="G1378">
        <f>IF(getRGB1($C1378)="FFFFFF",0,1)+IF(getRGB1($D1378)="FFFFFF",0,2)+IF(getRGB1($E1378)="FFFFFF",0,3)+IF(getRGB1($F1378)="FFFFFF",0,4)</f>
        <v>4</v>
      </c>
    </row>
    <row r="1379" spans="1:7" ht="45">
      <c r="A1379" t="s">
        <v>7568</v>
      </c>
      <c r="B1379" s="676" t="s">
        <v>7696</v>
      </c>
      <c r="C1379" s="503" t="s">
        <v>7697</v>
      </c>
      <c r="D1379" s="502" t="s">
        <v>7698</v>
      </c>
      <c r="E1379" s="502" t="s">
        <v>7699</v>
      </c>
      <c r="F1379" s="674" t="s">
        <v>209</v>
      </c>
      <c r="G1379">
        <f>IF(getRGB1($C1379)="FFFFFF",0,1)+IF(getRGB1($D1379)="FFFFFF",0,2)+IF(getRGB1($E1379)="FFFFFF",0,3)+IF(getRGB1($F1379)="FFFFFF",0,4)</f>
        <v>1</v>
      </c>
    </row>
    <row r="1380" spans="1:7" ht="45">
      <c r="A1380" t="s">
        <v>7568</v>
      </c>
      <c r="B1380" s="676" t="s">
        <v>7700</v>
      </c>
      <c r="C1380" s="502" t="s">
        <v>7631</v>
      </c>
      <c r="D1380" s="503" t="s">
        <v>7632</v>
      </c>
      <c r="E1380" s="502" t="s">
        <v>7633</v>
      </c>
      <c r="F1380" s="674" t="s">
        <v>7701</v>
      </c>
      <c r="G1380">
        <f>IF(getRGB1($C1380)="FFFFFF",0,1)+IF(getRGB1($D1380)="FFFFFF",0,2)+IF(getRGB1($E1380)="FFFFFF",0,3)+IF(getRGB1($F1380)="FFFFFF",0,4)</f>
        <v>2</v>
      </c>
    </row>
    <row r="1381" spans="1:7">
      <c r="A1381" t="s">
        <v>7568</v>
      </c>
      <c r="B1381" s="676" t="s">
        <v>7702</v>
      </c>
      <c r="C1381" s="502" t="s">
        <v>7703</v>
      </c>
      <c r="D1381" s="503" t="s">
        <v>7704</v>
      </c>
      <c r="E1381" s="502" t="s">
        <v>7705</v>
      </c>
      <c r="F1381" s="674" t="s">
        <v>209</v>
      </c>
      <c r="G1381">
        <f>IF(getRGB1($C1381)="FFFFFF",0,1)+IF(getRGB1($D1381)="FFFFFF",0,2)+IF(getRGB1($E1381)="FFFFFF",0,3)+IF(getRGB1($F1381)="FFFFFF",0,4)</f>
        <v>2</v>
      </c>
    </row>
    <row r="1382" spans="1:7">
      <c r="A1382" t="s">
        <v>7568</v>
      </c>
      <c r="B1382" s="676" t="s">
        <v>7706</v>
      </c>
      <c r="C1382" s="502" t="s">
        <v>7618</v>
      </c>
      <c r="D1382" s="502" t="s">
        <v>7707</v>
      </c>
      <c r="E1382" s="503" t="s">
        <v>7708</v>
      </c>
      <c r="F1382" s="674" t="s">
        <v>7709</v>
      </c>
      <c r="G1382">
        <f>IF(getRGB1($C1382)="FFFFFF",0,1)+IF(getRGB1($D1382)="FFFFFF",0,2)+IF(getRGB1($E1382)="FFFFFF",0,3)+IF(getRGB1($F1382)="FFFFFF",0,4)</f>
        <v>3</v>
      </c>
    </row>
    <row r="1383" spans="1:7" ht="75">
      <c r="A1383" t="s">
        <v>7568</v>
      </c>
      <c r="B1383" s="676" t="s">
        <v>7710</v>
      </c>
      <c r="C1383" s="502" t="s">
        <v>7711</v>
      </c>
      <c r="D1383" s="502" t="s">
        <v>7712</v>
      </c>
      <c r="E1383" s="502" t="s">
        <v>7713</v>
      </c>
      <c r="F1383" s="675" t="s">
        <v>2141</v>
      </c>
      <c r="G1383">
        <f>IF(getRGB1($C1383)="FFFFFF",0,1)+IF(getRGB1($D1383)="FFFFFF",0,2)+IF(getRGB1($E1383)="FFFFFF",0,3)+IF(getRGB1($F1383)="FFFFFF",0,4)</f>
        <v>4</v>
      </c>
    </row>
    <row r="1384" spans="1:7" ht="30">
      <c r="A1384" t="s">
        <v>7568</v>
      </c>
      <c r="B1384" s="676" t="s">
        <v>7714</v>
      </c>
      <c r="C1384" s="502" t="s">
        <v>7715</v>
      </c>
      <c r="D1384" s="502" t="s">
        <v>7716</v>
      </c>
      <c r="E1384" s="502" t="s">
        <v>7717</v>
      </c>
      <c r="F1384" s="675" t="s">
        <v>7718</v>
      </c>
      <c r="G1384">
        <f>IF(getRGB1($C1384)="FFFFFF",0,1)+IF(getRGB1($D1384)="FFFFFF",0,2)+IF(getRGB1($E1384)="FFFFFF",0,3)+IF(getRGB1($F1384)="FFFFFF",0,4)</f>
        <v>4</v>
      </c>
    </row>
    <row r="1385" spans="1:7" ht="31.5">
      <c r="A1385" t="s">
        <v>7719</v>
      </c>
      <c r="B1385" s="604" t="s">
        <v>7720</v>
      </c>
      <c r="C1385" s="604" t="s">
        <v>7721</v>
      </c>
      <c r="D1385" s="604" t="s">
        <v>7722</v>
      </c>
      <c r="E1385" s="604" t="s">
        <v>7723</v>
      </c>
      <c r="F1385" s="604" t="s">
        <v>7724</v>
      </c>
      <c r="G1385">
        <f>IF(getRGB1($C1385)="FFFFFF",0,1)+IF(getRGB1($D1385)="FFFFFF",0,2)+IF(getRGB1($E1385)="FFFFFF",0,3)+IF(getRGB1($F1385)="FFFFFF",0,4)</f>
        <v>0</v>
      </c>
    </row>
    <row r="1386" spans="1:7" ht="15.75">
      <c r="A1386" t="s">
        <v>7719</v>
      </c>
      <c r="B1386" s="604" t="s">
        <v>7725</v>
      </c>
      <c r="C1386" s="604" t="s">
        <v>7726</v>
      </c>
      <c r="D1386" s="604" t="s">
        <v>7727</v>
      </c>
      <c r="E1386" s="604" t="s">
        <v>7728</v>
      </c>
      <c r="F1386" s="604" t="s">
        <v>7729</v>
      </c>
      <c r="G1386">
        <f>IF(getRGB1($C1386)="FFFFFF",0,1)+IF(getRGB1($D1386)="FFFFFF",0,2)+IF(getRGB1($E1386)="FFFFFF",0,3)+IF(getRGB1($F1386)="FFFFFF",0,4)</f>
        <v>0</v>
      </c>
    </row>
    <row r="1387" spans="1:7" ht="31.5">
      <c r="A1387" t="s">
        <v>7719</v>
      </c>
      <c r="B1387" s="604" t="s">
        <v>7730</v>
      </c>
      <c r="C1387" s="604" t="s">
        <v>7731</v>
      </c>
      <c r="D1387" s="604" t="s">
        <v>7732</v>
      </c>
      <c r="E1387" s="604" t="s">
        <v>7733</v>
      </c>
      <c r="F1387" s="604" t="s">
        <v>7734</v>
      </c>
      <c r="G1387">
        <f>IF(getRGB1($C1387)="FFFFFF",0,1)+IF(getRGB1($D1387)="FFFFFF",0,2)+IF(getRGB1($E1387)="FFFFFF",0,3)+IF(getRGB1($F1387)="FFFFFF",0,4)</f>
        <v>0</v>
      </c>
    </row>
    <row r="1388" spans="1:7" ht="15.75">
      <c r="A1388" t="s">
        <v>7719</v>
      </c>
      <c r="B1388" s="604" t="s">
        <v>7735</v>
      </c>
      <c r="C1388" s="604" t="s">
        <v>7736</v>
      </c>
      <c r="D1388" s="604" t="s">
        <v>7737</v>
      </c>
      <c r="E1388" s="604" t="s">
        <v>7738</v>
      </c>
      <c r="F1388" s="604" t="s">
        <v>457</v>
      </c>
      <c r="G1388">
        <f>IF(getRGB1($C1388)="FFFFFF",0,1)+IF(getRGB1($D1388)="FFFFFF",0,2)+IF(getRGB1($E1388)="FFFFFF",0,3)+IF(getRGB1($F1388)="FFFFFF",0,4)</f>
        <v>0</v>
      </c>
    </row>
    <row r="1389" spans="1:7" ht="31.5">
      <c r="A1389" t="s">
        <v>7719</v>
      </c>
      <c r="B1389" s="604" t="s">
        <v>7739</v>
      </c>
      <c r="C1389" s="604" t="s">
        <v>7740</v>
      </c>
      <c r="D1389" s="604" t="s">
        <v>7741</v>
      </c>
      <c r="E1389" s="604" t="s">
        <v>7742</v>
      </c>
      <c r="F1389" s="604" t="s">
        <v>7743</v>
      </c>
      <c r="G1389">
        <f>IF(getRGB1($C1389)="FFFFFF",0,1)+IF(getRGB1($D1389)="FFFFFF",0,2)+IF(getRGB1($E1389)="FFFFFF",0,3)+IF(getRGB1($F1389)="FFFFFF",0,4)</f>
        <v>0</v>
      </c>
    </row>
    <row r="1390" spans="1:7" ht="31.5">
      <c r="A1390" t="s">
        <v>7719</v>
      </c>
      <c r="B1390" s="604" t="s">
        <v>7744</v>
      </c>
      <c r="C1390" s="604" t="s">
        <v>7745</v>
      </c>
      <c r="D1390" s="604" t="s">
        <v>7746</v>
      </c>
      <c r="E1390" s="604" t="s">
        <v>7747</v>
      </c>
      <c r="F1390" s="604" t="s">
        <v>7748</v>
      </c>
      <c r="G1390">
        <f>IF(getRGB1($C1390)="FFFFFF",0,1)+IF(getRGB1($D1390)="FFFFFF",0,2)+IF(getRGB1($E1390)="FFFFFF",0,3)+IF(getRGB1($F1390)="FFFFFF",0,4)</f>
        <v>0</v>
      </c>
    </row>
    <row r="1391" spans="1:7" ht="31.5">
      <c r="A1391" t="s">
        <v>7719</v>
      </c>
      <c r="B1391" s="604" t="s">
        <v>7749</v>
      </c>
      <c r="C1391" s="604" t="s">
        <v>7750</v>
      </c>
      <c r="D1391" s="604" t="s">
        <v>7751</v>
      </c>
      <c r="E1391" s="604" t="s">
        <v>7752</v>
      </c>
      <c r="F1391" s="604" t="s">
        <v>7753</v>
      </c>
      <c r="G1391">
        <f>IF(getRGB1($C1391)="FFFFFF",0,1)+IF(getRGB1($D1391)="FFFFFF",0,2)+IF(getRGB1($E1391)="FFFFFF",0,3)+IF(getRGB1($F1391)="FFFFFF",0,4)</f>
        <v>0</v>
      </c>
    </row>
    <row r="1392" spans="1:7" ht="31.5">
      <c r="A1392" t="s">
        <v>7719</v>
      </c>
      <c r="B1392" s="604" t="s">
        <v>7754</v>
      </c>
      <c r="C1392" s="604" t="s">
        <v>7755</v>
      </c>
      <c r="D1392" s="604" t="s">
        <v>7756</v>
      </c>
      <c r="E1392" s="604" t="s">
        <v>7757</v>
      </c>
      <c r="F1392" s="604" t="s">
        <v>7758</v>
      </c>
      <c r="G1392">
        <f>IF(getRGB1($C1392)="FFFFFF",0,1)+IF(getRGB1($D1392)="FFFFFF",0,2)+IF(getRGB1($E1392)="FFFFFF",0,3)+IF(getRGB1($F1392)="FFFFFF",0,4)</f>
        <v>0</v>
      </c>
    </row>
    <row r="1393" spans="1:7" ht="31.5">
      <c r="A1393" t="s">
        <v>7719</v>
      </c>
      <c r="B1393" s="604" t="s">
        <v>7759</v>
      </c>
      <c r="C1393" s="604" t="s">
        <v>7760</v>
      </c>
      <c r="D1393" s="604" t="s">
        <v>7761</v>
      </c>
      <c r="E1393" s="604" t="s">
        <v>7762</v>
      </c>
      <c r="F1393" s="604" t="s">
        <v>7763</v>
      </c>
      <c r="G1393">
        <f>IF(getRGB1($C1393)="FFFFFF",0,1)+IF(getRGB1($D1393)="FFFFFF",0,2)+IF(getRGB1($E1393)="FFFFFF",0,3)+IF(getRGB1($F1393)="FFFFFF",0,4)</f>
        <v>0</v>
      </c>
    </row>
    <row r="1394" spans="1:7" ht="15.75">
      <c r="A1394" t="s">
        <v>7719</v>
      </c>
      <c r="B1394" s="604" t="s">
        <v>7764</v>
      </c>
      <c r="C1394" s="604" t="s">
        <v>7765</v>
      </c>
      <c r="D1394" s="604" t="s">
        <v>7766</v>
      </c>
      <c r="E1394" s="604" t="s">
        <v>7767</v>
      </c>
      <c r="F1394" s="605" t="s">
        <v>5234</v>
      </c>
      <c r="G1394">
        <f>IF(getRGB1($C1394)="FFFFFF",0,1)+IF(getRGB1($D1394)="FFFFFF",0,2)+IF(getRGB1($E1394)="FFFFFF",0,3)+IF(getRGB1($F1394)="FFFFFF",0,4)</f>
        <v>4</v>
      </c>
    </row>
    <row r="1395" spans="1:7" ht="15.75">
      <c r="A1395" t="s">
        <v>7719</v>
      </c>
      <c r="B1395" s="604" t="s">
        <v>7768</v>
      </c>
      <c r="C1395" s="604" t="s">
        <v>7769</v>
      </c>
      <c r="D1395" s="604" t="s">
        <v>7770</v>
      </c>
      <c r="E1395" s="605" t="s">
        <v>7771</v>
      </c>
      <c r="F1395" s="604" t="s">
        <v>1363</v>
      </c>
      <c r="G1395">
        <f>IF(getRGB1($C1395)="FFFFFF",0,1)+IF(getRGB1($D1395)="FFFFFF",0,2)+IF(getRGB1($E1395)="FFFFFF",0,3)+IF(getRGB1($F1395)="FFFFFF",0,4)</f>
        <v>3</v>
      </c>
    </row>
    <row r="1396" spans="1:7" ht="31.5">
      <c r="A1396" t="s">
        <v>7719</v>
      </c>
      <c r="B1396" s="604" t="s">
        <v>7772</v>
      </c>
      <c r="C1396" s="604" t="s">
        <v>7773</v>
      </c>
      <c r="D1396" s="604" t="s">
        <v>7771</v>
      </c>
      <c r="E1396" s="605" t="s">
        <v>7774</v>
      </c>
      <c r="F1396" s="604" t="s">
        <v>5234</v>
      </c>
      <c r="G1396">
        <f>IF(getRGB1($C1396)="FFFFFF",0,1)+IF(getRGB1($D1396)="FFFFFF",0,2)+IF(getRGB1($E1396)="FFFFFF",0,3)+IF(getRGB1($F1396)="FFFFFF",0,4)</f>
        <v>3</v>
      </c>
    </row>
    <row r="1397" spans="1:7" ht="15.75">
      <c r="A1397" t="s">
        <v>7719</v>
      </c>
      <c r="B1397" s="604" t="s">
        <v>7775</v>
      </c>
      <c r="C1397" s="605" t="s">
        <v>7776</v>
      </c>
      <c r="D1397" s="604" t="s">
        <v>7777</v>
      </c>
      <c r="E1397" s="604" t="s">
        <v>7778</v>
      </c>
      <c r="F1397" s="604" t="s">
        <v>7779</v>
      </c>
      <c r="G1397">
        <f>IF(getRGB1($C1397)="FFFFFF",0,1)+IF(getRGB1($D1397)="FFFFFF",0,2)+IF(getRGB1($E1397)="FFFFFF",0,3)+IF(getRGB1($F1397)="FFFFFF",0,4)</f>
        <v>1</v>
      </c>
    </row>
    <row r="1398" spans="1:7" ht="31.5">
      <c r="A1398" t="s">
        <v>7719</v>
      </c>
      <c r="B1398" s="604" t="s">
        <v>7780</v>
      </c>
      <c r="C1398" s="604" t="s">
        <v>7781</v>
      </c>
      <c r="D1398" s="604" t="s">
        <v>7782</v>
      </c>
      <c r="E1398" s="605" t="s">
        <v>7783</v>
      </c>
      <c r="F1398" s="604" t="s">
        <v>7784</v>
      </c>
      <c r="G1398">
        <f>IF(getRGB1($C1398)="FFFFFF",0,1)+IF(getRGB1($D1398)="FFFFFF",0,2)+IF(getRGB1($E1398)="FFFFFF",0,3)+IF(getRGB1($F1398)="FFFFFF",0,4)</f>
        <v>3</v>
      </c>
    </row>
    <row r="1399" spans="1:7" ht="31.5">
      <c r="A1399" t="s">
        <v>7719</v>
      </c>
      <c r="B1399" s="604" t="s">
        <v>7785</v>
      </c>
      <c r="C1399" s="604" t="s">
        <v>7786</v>
      </c>
      <c r="D1399" s="604" t="s">
        <v>7787</v>
      </c>
      <c r="E1399" s="605" t="s">
        <v>7788</v>
      </c>
      <c r="F1399" s="604" t="s">
        <v>1363</v>
      </c>
      <c r="G1399">
        <f>IF(getRGB1($C1399)="FFFFFF",0,1)+IF(getRGB1($D1399)="FFFFFF",0,2)+IF(getRGB1($E1399)="FFFFFF",0,3)+IF(getRGB1($F1399)="FFFFFF",0,4)</f>
        <v>3</v>
      </c>
    </row>
    <row r="1400" spans="1:7" ht="31.5">
      <c r="A1400" t="s">
        <v>7719</v>
      </c>
      <c r="B1400" s="604" t="s">
        <v>7789</v>
      </c>
      <c r="C1400" s="604" t="s">
        <v>7790</v>
      </c>
      <c r="D1400" s="605" t="s">
        <v>7791</v>
      </c>
      <c r="E1400" s="604" t="s">
        <v>7792</v>
      </c>
      <c r="F1400" s="604" t="s">
        <v>7793</v>
      </c>
      <c r="G1400">
        <f>IF(getRGB1($C1400)="FFFFFF",0,1)+IF(getRGB1($D1400)="FFFFFF",0,2)+IF(getRGB1($E1400)="FFFFFF",0,3)+IF(getRGB1($F1400)="FFFFFF",0,4)</f>
        <v>2</v>
      </c>
    </row>
    <row r="1401" spans="1:7" ht="31.5">
      <c r="A1401" t="s">
        <v>7719</v>
      </c>
      <c r="B1401" s="604" t="s">
        <v>7794</v>
      </c>
      <c r="C1401" s="604" t="s">
        <v>7795</v>
      </c>
      <c r="D1401" s="605" t="s">
        <v>7796</v>
      </c>
      <c r="E1401" s="604" t="s">
        <v>7797</v>
      </c>
      <c r="F1401" s="604" t="s">
        <v>1363</v>
      </c>
      <c r="G1401">
        <f>IF(getRGB1($C1401)="FFFFFF",0,1)+IF(getRGB1($D1401)="FFFFFF",0,2)+IF(getRGB1($E1401)="FFFFFF",0,3)+IF(getRGB1($F1401)="FFFFFF",0,4)</f>
        <v>2</v>
      </c>
    </row>
    <row r="1402" spans="1:7" ht="31.5">
      <c r="A1402" t="s">
        <v>7719</v>
      </c>
      <c r="B1402" s="604" t="s">
        <v>7798</v>
      </c>
      <c r="C1402" s="605" t="s">
        <v>7799</v>
      </c>
      <c r="D1402" s="604" t="s">
        <v>7800</v>
      </c>
      <c r="E1402" s="604" t="s">
        <v>7801</v>
      </c>
      <c r="F1402" s="604" t="s">
        <v>7802</v>
      </c>
      <c r="G1402">
        <f>IF(getRGB1($C1402)="FFFFFF",0,1)+IF(getRGB1($D1402)="FFFFFF",0,2)+IF(getRGB1($E1402)="FFFFFF",0,3)+IF(getRGB1($F1402)="FFFFFF",0,4)</f>
        <v>1</v>
      </c>
    </row>
    <row r="1403" spans="1:7" ht="31.5">
      <c r="A1403" t="s">
        <v>7719</v>
      </c>
      <c r="B1403" s="604" t="s">
        <v>7803</v>
      </c>
      <c r="C1403" s="604" t="s">
        <v>7804</v>
      </c>
      <c r="D1403" s="604" t="s">
        <v>7805</v>
      </c>
      <c r="E1403" s="605" t="s">
        <v>7806</v>
      </c>
      <c r="F1403" s="604" t="s">
        <v>7807</v>
      </c>
      <c r="G1403">
        <f>IF(getRGB1($C1403)="FFFFFF",0,1)+IF(getRGB1($D1403)="FFFFFF",0,2)+IF(getRGB1($E1403)="FFFFFF",0,3)+IF(getRGB1($F1403)="FFFFFF",0,4)</f>
        <v>3</v>
      </c>
    </row>
    <row r="1404" spans="1:7" ht="31.5">
      <c r="A1404" t="s">
        <v>7719</v>
      </c>
      <c r="B1404" s="604" t="s">
        <v>7808</v>
      </c>
      <c r="C1404" s="604" t="s">
        <v>7809</v>
      </c>
      <c r="D1404" s="604" t="s">
        <v>7810</v>
      </c>
      <c r="E1404" s="605" t="s">
        <v>7811</v>
      </c>
      <c r="F1404" s="724" t="s">
        <v>7812</v>
      </c>
      <c r="G1404">
        <f>IF(getRGB1($C1404)="FFFFFF",0,1)+IF(getRGB1($D1404)="FFFFFF",0,2)+IF(getRGB1($E1404)="FFFFFF",0,3)+IF(getRGB1($F1404)="FFFFFF",0,4)</f>
        <v>3</v>
      </c>
    </row>
    <row r="1405" spans="1:7" ht="31.5">
      <c r="A1405" t="s">
        <v>7719</v>
      </c>
      <c r="B1405" s="604" t="s">
        <v>7813</v>
      </c>
      <c r="C1405" s="604" t="s">
        <v>7814</v>
      </c>
      <c r="D1405" s="604" t="s">
        <v>7815</v>
      </c>
      <c r="E1405" s="605" t="s">
        <v>7816</v>
      </c>
      <c r="F1405" s="604" t="s">
        <v>7817</v>
      </c>
      <c r="G1405">
        <f>IF(getRGB1($C1405)="FFFFFF",0,1)+IF(getRGB1($D1405)="FFFFFF",0,2)+IF(getRGB1($E1405)="FFFFFF",0,3)+IF(getRGB1($F1405)="FFFFFF",0,4)</f>
        <v>3</v>
      </c>
    </row>
    <row r="1406" spans="1:7" ht="15.75">
      <c r="A1406" t="s">
        <v>7719</v>
      </c>
      <c r="B1406" s="604" t="s">
        <v>7818</v>
      </c>
      <c r="C1406" s="605" t="s">
        <v>7819</v>
      </c>
      <c r="D1406" s="604" t="s">
        <v>7820</v>
      </c>
      <c r="E1406" s="604" t="s">
        <v>7821</v>
      </c>
      <c r="F1406" s="604" t="s">
        <v>7822</v>
      </c>
      <c r="G1406">
        <f>IF(getRGB1($C1406)="FFFFFF",0,1)+IF(getRGB1($D1406)="FFFFFF",0,2)+IF(getRGB1($E1406)="FFFFFF",0,3)+IF(getRGB1($F1406)="FFFFFF",0,4)</f>
        <v>1</v>
      </c>
    </row>
    <row r="1407" spans="1:7" ht="31.5">
      <c r="A1407" t="s">
        <v>7719</v>
      </c>
      <c r="B1407" s="604" t="s">
        <v>7823</v>
      </c>
      <c r="C1407" s="604" t="s">
        <v>7824</v>
      </c>
      <c r="D1407" s="604" t="s">
        <v>7825</v>
      </c>
      <c r="E1407" s="604" t="s">
        <v>7826</v>
      </c>
      <c r="F1407" s="605" t="s">
        <v>7827</v>
      </c>
      <c r="G1407">
        <f>IF(getRGB1($C1407)="FFFFFF",0,1)+IF(getRGB1($D1407)="FFFFFF",0,2)+IF(getRGB1($E1407)="FFFFFF",0,3)+IF(getRGB1($F1407)="FFFFFF",0,4)</f>
        <v>4</v>
      </c>
    </row>
    <row r="1408" spans="1:7" ht="31.5">
      <c r="A1408" t="s">
        <v>7719</v>
      </c>
      <c r="B1408" s="604" t="s">
        <v>7828</v>
      </c>
      <c r="C1408" s="604" t="s">
        <v>7829</v>
      </c>
      <c r="D1408" s="604" t="s">
        <v>7830</v>
      </c>
      <c r="E1408" s="604" t="s">
        <v>7831</v>
      </c>
      <c r="F1408" s="605" t="s">
        <v>7832</v>
      </c>
      <c r="G1408">
        <f>IF(getRGB1($C1408)="FFFFFF",0,1)+IF(getRGB1($D1408)="FFFFFF",0,2)+IF(getRGB1($E1408)="FFFFFF",0,3)+IF(getRGB1($F1408)="FFFFFF",0,4)</f>
        <v>4</v>
      </c>
    </row>
    <row r="1409" spans="1:7" ht="31.5">
      <c r="A1409" t="s">
        <v>7719</v>
      </c>
      <c r="B1409" s="604" t="s">
        <v>7833</v>
      </c>
      <c r="C1409" s="604" t="s">
        <v>7829</v>
      </c>
      <c r="D1409" s="604" t="s">
        <v>7834</v>
      </c>
      <c r="E1409" s="604" t="s">
        <v>7831</v>
      </c>
      <c r="F1409" s="605" t="s">
        <v>7832</v>
      </c>
      <c r="G1409">
        <f>IF(getRGB1($C1409)="FFFFFF",0,1)+IF(getRGB1($D1409)="FFFFFF",0,2)+IF(getRGB1($E1409)="FFFFFF",0,3)+IF(getRGB1($F1409)="FFFFFF",0,4)</f>
        <v>4</v>
      </c>
    </row>
    <row r="1410" spans="1:7" ht="31.5">
      <c r="A1410" t="s">
        <v>7719</v>
      </c>
      <c r="B1410" s="604" t="s">
        <v>7835</v>
      </c>
      <c r="C1410" s="604" t="s">
        <v>7836</v>
      </c>
      <c r="D1410" s="604" t="s">
        <v>7837</v>
      </c>
      <c r="E1410" s="604" t="s">
        <v>7838</v>
      </c>
      <c r="F1410" s="604" t="s">
        <v>468</v>
      </c>
      <c r="G1410">
        <f>IF(getRGB1($C1410)="FFFFFF",0,1)+IF(getRGB1($D1410)="FFFFFF",0,2)+IF(getRGB1($E1410)="FFFFFF",0,3)+IF(getRGB1($F1410)="FFFFFF",0,4)</f>
        <v>0</v>
      </c>
    </row>
    <row r="1411" spans="1:7" ht="31.5">
      <c r="A1411" t="s">
        <v>7719</v>
      </c>
      <c r="B1411" s="604" t="s">
        <v>7839</v>
      </c>
      <c r="C1411" s="604" t="s">
        <v>7840</v>
      </c>
      <c r="D1411" s="604" t="s">
        <v>7841</v>
      </c>
      <c r="E1411" s="604" t="s">
        <v>7842</v>
      </c>
      <c r="F1411" s="604" t="s">
        <v>7843</v>
      </c>
      <c r="G1411">
        <f>IF(getRGB1($C1411)="FFFFFF",0,1)+IF(getRGB1($D1411)="FFFFFF",0,2)+IF(getRGB1($E1411)="FFFFFF",0,3)+IF(getRGB1($F1411)="FFFFFF",0,4)</f>
        <v>0</v>
      </c>
    </row>
    <row r="1412" spans="1:7" ht="31.5">
      <c r="A1412" t="s">
        <v>7719</v>
      </c>
      <c r="B1412" s="604" t="s">
        <v>7844</v>
      </c>
      <c r="C1412" s="604" t="s">
        <v>7845</v>
      </c>
      <c r="D1412" s="604" t="s">
        <v>7846</v>
      </c>
      <c r="E1412" s="604" t="s">
        <v>7847</v>
      </c>
      <c r="F1412" s="604" t="s">
        <v>457</v>
      </c>
      <c r="G1412">
        <f>IF(getRGB1($C1412)="FFFFFF",0,1)+IF(getRGB1($D1412)="FFFFFF",0,2)+IF(getRGB1($E1412)="FFFFFF",0,3)+IF(getRGB1($F1412)="FFFFFF",0,4)</f>
        <v>0</v>
      </c>
    </row>
    <row r="1413" spans="1:7" ht="31.5">
      <c r="A1413" t="s">
        <v>7719</v>
      </c>
      <c r="B1413" s="604" t="s">
        <v>7848</v>
      </c>
      <c r="C1413" s="604" t="s">
        <v>7849</v>
      </c>
      <c r="D1413" s="604" t="s">
        <v>7850</v>
      </c>
      <c r="E1413" s="604" t="s">
        <v>7851</v>
      </c>
      <c r="F1413" s="604" t="s">
        <v>457</v>
      </c>
      <c r="G1413">
        <f>IF(getRGB1($C1413)="FFFFFF",0,1)+IF(getRGB1($D1413)="FFFFFF",0,2)+IF(getRGB1($E1413)="FFFFFF",0,3)+IF(getRGB1($F1413)="FFFFFF",0,4)</f>
        <v>0</v>
      </c>
    </row>
    <row r="1414" spans="1:7" ht="31.5">
      <c r="A1414" t="s">
        <v>7719</v>
      </c>
      <c r="B1414" s="604" t="s">
        <v>7852</v>
      </c>
      <c r="C1414" s="604" t="s">
        <v>7853</v>
      </c>
      <c r="D1414" s="604" t="s">
        <v>7841</v>
      </c>
      <c r="E1414" s="604" t="s">
        <v>7854</v>
      </c>
      <c r="F1414" s="604" t="s">
        <v>468</v>
      </c>
      <c r="G1414">
        <f>IF(getRGB1($C1414)="FFFFFF",0,1)+IF(getRGB1($D1414)="FFFFFF",0,2)+IF(getRGB1($E1414)="FFFFFF",0,3)+IF(getRGB1($F1414)="FFFFFF",0,4)</f>
        <v>0</v>
      </c>
    </row>
    <row r="1415" spans="1:7" ht="31.5">
      <c r="A1415" t="s">
        <v>7719</v>
      </c>
      <c r="B1415" s="604" t="s">
        <v>7855</v>
      </c>
      <c r="C1415" s="604" t="s">
        <v>7856</v>
      </c>
      <c r="D1415" s="604" t="s">
        <v>7857</v>
      </c>
      <c r="E1415" s="604" t="s">
        <v>7858</v>
      </c>
      <c r="F1415" s="604" t="s">
        <v>457</v>
      </c>
      <c r="G1415">
        <f>IF(getRGB1($C1415)="FFFFFF",0,1)+IF(getRGB1($D1415)="FFFFFF",0,2)+IF(getRGB1($E1415)="FFFFFF",0,3)+IF(getRGB1($F1415)="FFFFFF",0,4)</f>
        <v>0</v>
      </c>
    </row>
    <row r="1416" spans="1:7" ht="31.5">
      <c r="A1416" t="s">
        <v>7719</v>
      </c>
      <c r="B1416" s="604" t="s">
        <v>7859</v>
      </c>
      <c r="C1416" s="604" t="s">
        <v>7860</v>
      </c>
      <c r="D1416" s="604" t="s">
        <v>7861</v>
      </c>
      <c r="E1416" s="604" t="s">
        <v>7862</v>
      </c>
      <c r="F1416" s="604" t="s">
        <v>7863</v>
      </c>
      <c r="G1416">
        <f>IF(getRGB1($C1416)="FFFFFF",0,1)+IF(getRGB1($D1416)="FFFFFF",0,2)+IF(getRGB1($E1416)="FFFFFF",0,3)+IF(getRGB1($F1416)="FFFFFF",0,4)</f>
        <v>0</v>
      </c>
    </row>
    <row r="1417" spans="1:7" ht="47.25">
      <c r="A1417" t="s">
        <v>7719</v>
      </c>
      <c r="B1417" s="604" t="s">
        <v>7864</v>
      </c>
      <c r="C1417" s="604" t="s">
        <v>7865</v>
      </c>
      <c r="D1417" s="604" t="s">
        <v>7866</v>
      </c>
      <c r="E1417" s="604" t="s">
        <v>7867</v>
      </c>
      <c r="F1417" s="604" t="s">
        <v>209</v>
      </c>
      <c r="G1417">
        <f>IF(getRGB1($C1417)="FFFFFF",0,1)+IF(getRGB1($D1417)="FFFFFF",0,2)+IF(getRGB1($E1417)="FFFFFF",0,3)+IF(getRGB1($F1417)="FFFFFF",0,4)</f>
        <v>0</v>
      </c>
    </row>
    <row r="1418" spans="1:7" ht="31.5">
      <c r="A1418" t="s">
        <v>7719</v>
      </c>
      <c r="B1418" s="604" t="s">
        <v>7868</v>
      </c>
      <c r="C1418" s="604" t="s">
        <v>7869</v>
      </c>
      <c r="D1418" s="604" t="s">
        <v>7870</v>
      </c>
      <c r="E1418" s="604" t="s">
        <v>7871</v>
      </c>
      <c r="F1418" s="604" t="s">
        <v>7865</v>
      </c>
      <c r="G1418">
        <f>IF(getRGB1($C1418)="FFFFFF",0,1)+IF(getRGB1($D1418)="FFFFFF",0,2)+IF(getRGB1($E1418)="FFFFFF",0,3)+IF(getRGB1($F1418)="FFFFFF",0,4)</f>
        <v>0</v>
      </c>
    </row>
    <row r="1419" spans="1:7" ht="31.5">
      <c r="A1419" t="s">
        <v>7719</v>
      </c>
      <c r="B1419" s="604" t="s">
        <v>7872</v>
      </c>
      <c r="C1419" s="604" t="s">
        <v>7873</v>
      </c>
      <c r="D1419" s="604" t="s">
        <v>7874</v>
      </c>
      <c r="E1419" s="604" t="s">
        <v>7871</v>
      </c>
      <c r="F1419" s="604" t="s">
        <v>7875</v>
      </c>
      <c r="G1419">
        <f>IF(getRGB1($C1419)="FFFFFF",0,1)+IF(getRGB1($D1419)="FFFFFF",0,2)+IF(getRGB1($E1419)="FFFFFF",0,3)+IF(getRGB1($F1419)="FFFFFF",0,4)</f>
        <v>0</v>
      </c>
    </row>
    <row r="1420" spans="1:7" ht="31.5">
      <c r="A1420" t="s">
        <v>7719</v>
      </c>
      <c r="B1420" s="604" t="s">
        <v>7876</v>
      </c>
      <c r="C1420" s="604" t="s">
        <v>7877</v>
      </c>
      <c r="D1420" s="604" t="s">
        <v>7878</v>
      </c>
      <c r="E1420" s="604" t="s">
        <v>7879</v>
      </c>
      <c r="F1420" s="604" t="s">
        <v>7880</v>
      </c>
      <c r="G1420">
        <f>IF(getRGB1($C1420)="FFFFFF",0,1)+IF(getRGB1($D1420)="FFFFFF",0,2)+IF(getRGB1($E1420)="FFFFFF",0,3)+IF(getRGB1($F1420)="FFFFFF",0,4)</f>
        <v>0</v>
      </c>
    </row>
    <row r="1421" spans="1:7" ht="31.5">
      <c r="A1421" t="s">
        <v>7719</v>
      </c>
      <c r="B1421" s="604" t="s">
        <v>7881</v>
      </c>
      <c r="C1421" s="604" t="s">
        <v>7882</v>
      </c>
      <c r="D1421" s="604" t="s">
        <v>7883</v>
      </c>
      <c r="E1421" s="604" t="s">
        <v>7884</v>
      </c>
      <c r="F1421" s="604" t="s">
        <v>7865</v>
      </c>
      <c r="G1421">
        <f>IF(getRGB1($C1421)="FFFFFF",0,1)+IF(getRGB1($D1421)="FFFFFF",0,2)+IF(getRGB1($E1421)="FFFFFF",0,3)+IF(getRGB1($F1421)="FFFFFF",0,4)</f>
        <v>0</v>
      </c>
    </row>
    <row r="1422" spans="1:7" ht="31.5">
      <c r="A1422" t="s">
        <v>7719</v>
      </c>
      <c r="B1422" s="604" t="s">
        <v>7885</v>
      </c>
      <c r="C1422" s="604" t="s">
        <v>7886</v>
      </c>
      <c r="D1422" s="604" t="s">
        <v>7887</v>
      </c>
      <c r="E1422" s="604" t="s">
        <v>7888</v>
      </c>
      <c r="F1422" s="604" t="s">
        <v>468</v>
      </c>
      <c r="G1422">
        <f>IF(getRGB1($C1422)="FFFFFF",0,1)+IF(getRGB1($D1422)="FFFFFF",0,2)+IF(getRGB1($E1422)="FFFFFF",0,3)+IF(getRGB1($F1422)="FFFFFF",0,4)</f>
        <v>0</v>
      </c>
    </row>
    <row r="1423" spans="1:7" ht="31.5">
      <c r="A1423" t="s">
        <v>7719</v>
      </c>
      <c r="B1423" s="604" t="s">
        <v>7889</v>
      </c>
      <c r="C1423" s="604" t="s">
        <v>7877</v>
      </c>
      <c r="D1423" s="604" t="s">
        <v>7890</v>
      </c>
      <c r="E1423" s="604" t="s">
        <v>7871</v>
      </c>
      <c r="F1423" s="604" t="s">
        <v>7891</v>
      </c>
      <c r="G1423">
        <f>IF(getRGB1($C1423)="FFFFFF",0,1)+IF(getRGB1($D1423)="FFFFFF",0,2)+IF(getRGB1($E1423)="FFFFFF",0,3)+IF(getRGB1($F1423)="FFFFFF",0,4)</f>
        <v>0</v>
      </c>
    </row>
    <row r="1424" spans="1:7" ht="31.5">
      <c r="A1424" t="s">
        <v>7719</v>
      </c>
      <c r="B1424" s="604" t="s">
        <v>7892</v>
      </c>
      <c r="C1424" s="604" t="s">
        <v>7877</v>
      </c>
      <c r="D1424" s="604" t="s">
        <v>7890</v>
      </c>
      <c r="E1424" s="604" t="s">
        <v>7880</v>
      </c>
      <c r="F1424" s="604" t="s">
        <v>7879</v>
      </c>
      <c r="G1424">
        <f>IF(getRGB1($C1424)="FFFFFF",0,1)+IF(getRGB1($D1424)="FFFFFF",0,2)+IF(getRGB1($E1424)="FFFFFF",0,3)+IF(getRGB1($F1424)="FFFFFF",0,4)</f>
        <v>0</v>
      </c>
    </row>
    <row r="1425" spans="1:7" ht="31.5">
      <c r="A1425" t="s">
        <v>7719</v>
      </c>
      <c r="B1425" s="604" t="s">
        <v>7893</v>
      </c>
      <c r="C1425" s="604" t="s">
        <v>7894</v>
      </c>
      <c r="D1425" s="604" t="s">
        <v>7895</v>
      </c>
      <c r="E1425" s="604" t="s">
        <v>7896</v>
      </c>
      <c r="F1425" s="604" t="s">
        <v>468</v>
      </c>
      <c r="G1425">
        <f>IF(getRGB1($C1425)="FFFFFF",0,1)+IF(getRGB1($D1425)="FFFFFF",0,2)+IF(getRGB1($E1425)="FFFFFF",0,3)+IF(getRGB1($F1425)="FFFFFF",0,4)</f>
        <v>0</v>
      </c>
    </row>
    <row r="1426" spans="1:7" ht="31.5">
      <c r="A1426" t="s">
        <v>7719</v>
      </c>
      <c r="B1426" s="604" t="s">
        <v>7897</v>
      </c>
      <c r="C1426" s="604" t="s">
        <v>7860</v>
      </c>
      <c r="D1426" s="604" t="s">
        <v>7854</v>
      </c>
      <c r="E1426" s="604" t="s">
        <v>7898</v>
      </c>
      <c r="F1426" s="604" t="s">
        <v>7899</v>
      </c>
      <c r="G1426">
        <f>IF(getRGB1($C1426)="FFFFFF",0,1)+IF(getRGB1($D1426)="FFFFFF",0,2)+IF(getRGB1($E1426)="FFFFFF",0,3)+IF(getRGB1($F1426)="FFFFFF",0,4)</f>
        <v>0</v>
      </c>
    </row>
    <row r="1427" spans="1:7" ht="31.5">
      <c r="A1427" t="s">
        <v>7719</v>
      </c>
      <c r="B1427" s="604" t="s">
        <v>7900</v>
      </c>
      <c r="C1427" s="604" t="s">
        <v>7901</v>
      </c>
      <c r="D1427" s="604" t="s">
        <v>7902</v>
      </c>
      <c r="E1427" s="604" t="s">
        <v>7903</v>
      </c>
      <c r="F1427" s="604" t="s">
        <v>7904</v>
      </c>
      <c r="G1427">
        <f>IF(getRGB1($C1427)="FFFFFF",0,1)+IF(getRGB1($D1427)="FFFFFF",0,2)+IF(getRGB1($E1427)="FFFFFF",0,3)+IF(getRGB1($F1427)="FFFFFF",0,4)</f>
        <v>0</v>
      </c>
    </row>
    <row r="1428" spans="1:7" ht="31.5">
      <c r="A1428" t="s">
        <v>7719</v>
      </c>
      <c r="B1428" s="604" t="s">
        <v>7905</v>
      </c>
      <c r="C1428" s="604" t="s">
        <v>7906</v>
      </c>
      <c r="D1428" s="604" t="s">
        <v>7907</v>
      </c>
      <c r="E1428" s="604" t="s">
        <v>7908</v>
      </c>
      <c r="F1428" s="604" t="s">
        <v>7909</v>
      </c>
      <c r="G1428">
        <f>IF(getRGB1($C1428)="FFFFFF",0,1)+IF(getRGB1($D1428)="FFFFFF",0,2)+IF(getRGB1($E1428)="FFFFFF",0,3)+IF(getRGB1($F1428)="FFFFFF",0,4)</f>
        <v>0</v>
      </c>
    </row>
    <row r="1429" spans="1:7" ht="15.75">
      <c r="A1429" t="s">
        <v>7719</v>
      </c>
      <c r="B1429" s="604" t="s">
        <v>7910</v>
      </c>
      <c r="C1429" s="604">
        <v>3</v>
      </c>
      <c r="D1429" s="604">
        <v>4</v>
      </c>
      <c r="E1429" s="604">
        <v>5</v>
      </c>
      <c r="F1429" s="604">
        <v>6</v>
      </c>
      <c r="G1429">
        <f>IF(getRGB1($C1429)="FFFFFF",0,1)+IF(getRGB1($D1429)="FFFFFF",0,2)+IF(getRGB1($E1429)="FFFFFF",0,3)+IF(getRGB1($F1429)="FFFFFF",0,4)</f>
        <v>0</v>
      </c>
    </row>
    <row r="1430" spans="1:7" ht="15.75">
      <c r="A1430" t="s">
        <v>7719</v>
      </c>
      <c r="B1430" s="604" t="s">
        <v>7911</v>
      </c>
      <c r="C1430" s="604">
        <v>1</v>
      </c>
      <c r="D1430" s="604">
        <v>2</v>
      </c>
      <c r="E1430" s="604">
        <v>4</v>
      </c>
      <c r="F1430" s="604">
        <v>5</v>
      </c>
      <c r="G1430">
        <f>IF(getRGB1($C1430)="FFFFFF",0,1)+IF(getRGB1($D1430)="FFFFFF",0,2)+IF(getRGB1($E1430)="FFFFFF",0,3)+IF(getRGB1($F1430)="FFFFFF",0,4)</f>
        <v>0</v>
      </c>
    </row>
    <row r="1431" spans="1:7" ht="31.5">
      <c r="A1431" t="s">
        <v>7719</v>
      </c>
      <c r="B1431" s="604" t="s">
        <v>7912</v>
      </c>
      <c r="C1431" s="604" t="s">
        <v>7913</v>
      </c>
      <c r="D1431" s="604" t="s">
        <v>7914</v>
      </c>
      <c r="E1431" s="604" t="s">
        <v>7915</v>
      </c>
      <c r="F1431" s="604" t="s">
        <v>7916</v>
      </c>
      <c r="G1431">
        <f>IF(getRGB1($C1431)="FFFFFF",0,1)+IF(getRGB1($D1431)="FFFFFF",0,2)+IF(getRGB1($E1431)="FFFFFF",0,3)+IF(getRGB1($F1431)="FFFFFF",0,4)</f>
        <v>0</v>
      </c>
    </row>
    <row r="1432" spans="1:7" ht="15.75">
      <c r="A1432" t="s">
        <v>7719</v>
      </c>
      <c r="B1432" s="604" t="s">
        <v>7917</v>
      </c>
      <c r="C1432" s="604" t="s">
        <v>7913</v>
      </c>
      <c r="D1432" s="604" t="s">
        <v>7914</v>
      </c>
      <c r="E1432" s="604" t="s">
        <v>7915</v>
      </c>
      <c r="F1432" s="604" t="s">
        <v>1363</v>
      </c>
      <c r="G1432">
        <f>IF(getRGB1($C1432)="FFFFFF",0,1)+IF(getRGB1($D1432)="FFFFFF",0,2)+IF(getRGB1($E1432)="FFFFFF",0,3)+IF(getRGB1($F1432)="FFFFFF",0,4)</f>
        <v>0</v>
      </c>
    </row>
    <row r="1433" spans="1:7" ht="31.5">
      <c r="A1433" t="s">
        <v>7719</v>
      </c>
      <c r="B1433" s="604" t="s">
        <v>7918</v>
      </c>
      <c r="C1433" s="604" t="s">
        <v>7919</v>
      </c>
      <c r="D1433" s="604" t="s">
        <v>7920</v>
      </c>
      <c r="E1433" s="604" t="s">
        <v>7921</v>
      </c>
      <c r="F1433" s="604" t="s">
        <v>5234</v>
      </c>
      <c r="G1433">
        <f>IF(getRGB1($C1433)="FFFFFF",0,1)+IF(getRGB1($D1433)="FFFFFF",0,2)+IF(getRGB1($E1433)="FFFFFF",0,3)+IF(getRGB1($F1433)="FFFFFF",0,4)</f>
        <v>0</v>
      </c>
    </row>
    <row r="1434" spans="1:7" ht="31.5">
      <c r="A1434" t="s">
        <v>7719</v>
      </c>
      <c r="B1434" s="604" t="s">
        <v>7922</v>
      </c>
      <c r="C1434" s="604" t="s">
        <v>7923</v>
      </c>
      <c r="D1434" s="604" t="s">
        <v>7924</v>
      </c>
      <c r="E1434" s="604" t="s">
        <v>7925</v>
      </c>
      <c r="F1434" s="604" t="s">
        <v>7926</v>
      </c>
      <c r="G1434">
        <f>IF(getRGB1($C1434)="FFFFFF",0,1)+IF(getRGB1($D1434)="FFFFFF",0,2)+IF(getRGB1($E1434)="FFFFFF",0,3)+IF(getRGB1($F1434)="FFFFFF",0,4)</f>
        <v>0</v>
      </c>
    </row>
    <row r="1435" spans="1:7" ht="31.5">
      <c r="A1435" t="s">
        <v>7719</v>
      </c>
      <c r="B1435" s="604" t="s">
        <v>7927</v>
      </c>
      <c r="C1435" s="604" t="s">
        <v>7928</v>
      </c>
      <c r="D1435" s="604" t="s">
        <v>7929</v>
      </c>
      <c r="E1435" s="604" t="s">
        <v>7930</v>
      </c>
      <c r="F1435" s="604" t="s">
        <v>7931</v>
      </c>
      <c r="G1435">
        <f>IF(getRGB1($C1435)="FFFFFF",0,1)+IF(getRGB1($D1435)="FFFFFF",0,2)+IF(getRGB1($E1435)="FFFFFF",0,3)+IF(getRGB1($F1435)="FFFFFF",0,4)</f>
        <v>0</v>
      </c>
    </row>
    <row r="1436" spans="1:7" ht="31.5">
      <c r="A1436" t="s">
        <v>7719</v>
      </c>
      <c r="B1436" s="604" t="s">
        <v>7932</v>
      </c>
      <c r="C1436" s="604" t="s">
        <v>7933</v>
      </c>
      <c r="D1436" s="604" t="s">
        <v>7934</v>
      </c>
      <c r="E1436" s="604" t="s">
        <v>7935</v>
      </c>
      <c r="F1436" s="604" t="s">
        <v>7936</v>
      </c>
      <c r="G1436">
        <f>IF(getRGB1($C1436)="FFFFFF",0,1)+IF(getRGB1($D1436)="FFFFFF",0,2)+IF(getRGB1($E1436)="FFFFFF",0,3)+IF(getRGB1($F1436)="FFFFFF",0,4)</f>
        <v>0</v>
      </c>
    </row>
    <row r="1437" spans="1:7" ht="31.5">
      <c r="A1437" t="s">
        <v>7719</v>
      </c>
      <c r="B1437" s="604" t="s">
        <v>7937</v>
      </c>
      <c r="C1437" s="604" t="s">
        <v>7938</v>
      </c>
      <c r="D1437" s="604" t="s">
        <v>7939</v>
      </c>
      <c r="E1437" s="604" t="s">
        <v>7940</v>
      </c>
      <c r="F1437" s="604" t="s">
        <v>7941</v>
      </c>
      <c r="G1437">
        <f>IF(getRGB1($C1437)="FFFFFF",0,1)+IF(getRGB1($D1437)="FFFFFF",0,2)+IF(getRGB1($E1437)="FFFFFF",0,3)+IF(getRGB1($F1437)="FFFFFF",0,4)</f>
        <v>0</v>
      </c>
    </row>
    <row r="1438" spans="1:7" ht="31.5">
      <c r="A1438" t="s">
        <v>7719</v>
      </c>
      <c r="B1438" s="604" t="s">
        <v>7942</v>
      </c>
      <c r="C1438" s="604" t="s">
        <v>7943</v>
      </c>
      <c r="D1438" s="604" t="s">
        <v>7944</v>
      </c>
      <c r="E1438" s="604" t="s">
        <v>7945</v>
      </c>
      <c r="F1438" s="604" t="s">
        <v>7946</v>
      </c>
      <c r="G1438">
        <f>IF(getRGB1($C1438)="FFFFFF",0,1)+IF(getRGB1($D1438)="FFFFFF",0,2)+IF(getRGB1($E1438)="FFFFFF",0,3)+IF(getRGB1($F1438)="FFFFFF",0,4)</f>
        <v>0</v>
      </c>
    </row>
    <row r="1439" spans="1:7" ht="31.5">
      <c r="A1439" t="s">
        <v>7719</v>
      </c>
      <c r="B1439" s="604" t="s">
        <v>7947</v>
      </c>
      <c r="C1439" s="604" t="s">
        <v>7945</v>
      </c>
      <c r="D1439" s="604" t="s">
        <v>7948</v>
      </c>
      <c r="E1439" s="604" t="s">
        <v>7946</v>
      </c>
      <c r="F1439" s="604" t="s">
        <v>7949</v>
      </c>
      <c r="G1439">
        <f>IF(getRGB1($C1439)="FFFFFF",0,1)+IF(getRGB1($D1439)="FFFFFF",0,2)+IF(getRGB1($E1439)="FFFFFF",0,3)+IF(getRGB1($F1439)="FFFFFF",0,4)</f>
        <v>0</v>
      </c>
    </row>
    <row r="1440" spans="1:7" ht="47.25">
      <c r="A1440" t="s">
        <v>7719</v>
      </c>
      <c r="B1440" s="604" t="s">
        <v>7950</v>
      </c>
      <c r="C1440" s="604" t="s">
        <v>7951</v>
      </c>
      <c r="D1440" s="604" t="s">
        <v>7952</v>
      </c>
      <c r="E1440" s="604" t="s">
        <v>7953</v>
      </c>
      <c r="F1440" s="604" t="s">
        <v>7762</v>
      </c>
      <c r="G1440">
        <f>IF(getRGB1($C1440)="FFFFFF",0,1)+IF(getRGB1($D1440)="FFFFFF",0,2)+IF(getRGB1($E1440)="FFFFFF",0,3)+IF(getRGB1($F1440)="FFFFFF",0,4)</f>
        <v>0</v>
      </c>
    </row>
    <row r="1441" spans="1:7" ht="31.5">
      <c r="A1441" t="s">
        <v>7719</v>
      </c>
      <c r="B1441" s="604" t="s">
        <v>7954</v>
      </c>
      <c r="C1441" s="604" t="s">
        <v>7955</v>
      </c>
      <c r="D1441" s="604" t="s">
        <v>7956</v>
      </c>
      <c r="E1441" s="604" t="s">
        <v>7957</v>
      </c>
      <c r="F1441" s="604" t="s">
        <v>5234</v>
      </c>
      <c r="G1441">
        <f>IF(getRGB1($C1441)="FFFFFF",0,1)+IF(getRGB1($D1441)="FFFFFF",0,2)+IF(getRGB1($E1441)="FFFFFF",0,3)+IF(getRGB1($F1441)="FFFFFF",0,4)</f>
        <v>0</v>
      </c>
    </row>
    <row r="1442" spans="1:7" ht="31.5">
      <c r="A1442" t="s">
        <v>7719</v>
      </c>
      <c r="B1442" s="604" t="s">
        <v>7958</v>
      </c>
      <c r="C1442" s="604" t="s">
        <v>7959</v>
      </c>
      <c r="D1442" s="604" t="s">
        <v>7960</v>
      </c>
      <c r="E1442" s="604" t="s">
        <v>7961</v>
      </c>
      <c r="F1442" s="604" t="s">
        <v>7962</v>
      </c>
      <c r="G1442">
        <f>IF(getRGB1($C1442)="FFFFFF",0,1)+IF(getRGB1($D1442)="FFFFFF",0,2)+IF(getRGB1($E1442)="FFFFFF",0,3)+IF(getRGB1($F1442)="FFFFFF",0,4)</f>
        <v>0</v>
      </c>
    </row>
    <row r="1443" spans="1:7" ht="31.5">
      <c r="A1443" t="s">
        <v>7719</v>
      </c>
      <c r="B1443" s="604" t="s">
        <v>7963</v>
      </c>
      <c r="C1443" s="604" t="s">
        <v>7959</v>
      </c>
      <c r="D1443" s="604" t="s">
        <v>7960</v>
      </c>
      <c r="E1443" s="604" t="s">
        <v>7961</v>
      </c>
      <c r="F1443" s="604" t="s">
        <v>7962</v>
      </c>
      <c r="G1443">
        <f>IF(getRGB1($C1443)="FFFFFF",0,1)+IF(getRGB1($D1443)="FFFFFF",0,2)+IF(getRGB1($E1443)="FFFFFF",0,3)+IF(getRGB1($F1443)="FFFFFF",0,4)</f>
        <v>0</v>
      </c>
    </row>
    <row r="1444" spans="1:7" ht="31.5">
      <c r="A1444" t="s">
        <v>7719</v>
      </c>
      <c r="B1444" s="604" t="s">
        <v>7964</v>
      </c>
      <c r="C1444" s="604" t="s">
        <v>7965</v>
      </c>
      <c r="D1444" s="604" t="s">
        <v>7966</v>
      </c>
      <c r="E1444" s="604" t="s">
        <v>7967</v>
      </c>
      <c r="F1444" s="604" t="s">
        <v>1318</v>
      </c>
      <c r="G1444">
        <f>IF(getRGB1($C1444)="FFFFFF",0,1)+IF(getRGB1($D1444)="FFFFFF",0,2)+IF(getRGB1($E1444)="FFFFFF",0,3)+IF(getRGB1($F1444)="FFFFFF",0,4)</f>
        <v>0</v>
      </c>
    </row>
    <row r="1445" spans="1:7" ht="15.75">
      <c r="A1445" t="s">
        <v>7719</v>
      </c>
      <c r="B1445" s="604" t="s">
        <v>7968</v>
      </c>
      <c r="C1445" s="604" t="s">
        <v>7969</v>
      </c>
      <c r="D1445" s="604" t="s">
        <v>7970</v>
      </c>
      <c r="E1445" s="604" t="s">
        <v>7971</v>
      </c>
      <c r="F1445" s="604" t="s">
        <v>7972</v>
      </c>
      <c r="G1445">
        <f>IF(getRGB1($C1445)="FFFFFF",0,1)+IF(getRGB1($D1445)="FFFFFF",0,2)+IF(getRGB1($E1445)="FFFFFF",0,3)+IF(getRGB1($F1445)="FFFFFF",0,4)</f>
        <v>0</v>
      </c>
    </row>
    <row r="1446" spans="1:7" ht="15.75">
      <c r="A1446" t="s">
        <v>7719</v>
      </c>
      <c r="B1446" s="604" t="s">
        <v>7973</v>
      </c>
      <c r="C1446" s="604" t="s">
        <v>7974</v>
      </c>
      <c r="D1446" s="604" t="s">
        <v>7975</v>
      </c>
      <c r="E1446" s="604" t="s">
        <v>7976</v>
      </c>
      <c r="F1446" s="604">
        <v>123</v>
      </c>
      <c r="G1446">
        <f>IF(getRGB1($C1446)="FFFFFF",0,1)+IF(getRGB1($D1446)="FFFFFF",0,2)+IF(getRGB1($E1446)="FFFFFF",0,3)+IF(getRGB1($F1446)="FFFFFF",0,4)</f>
        <v>0</v>
      </c>
    </row>
    <row r="1447" spans="1:7" ht="31.5">
      <c r="A1447" t="s">
        <v>7719</v>
      </c>
      <c r="B1447" s="604" t="s">
        <v>7977</v>
      </c>
      <c r="C1447" s="604" t="s">
        <v>7752</v>
      </c>
      <c r="D1447" s="604" t="s">
        <v>7978</v>
      </c>
      <c r="E1447" s="604" t="s">
        <v>7979</v>
      </c>
      <c r="F1447" s="604" t="s">
        <v>7980</v>
      </c>
      <c r="G1447">
        <f>IF(getRGB1($C1447)="FFFFFF",0,1)+IF(getRGB1($D1447)="FFFFFF",0,2)+IF(getRGB1($E1447)="FFFFFF",0,3)+IF(getRGB1($F1447)="FFFFFF",0,4)</f>
        <v>0</v>
      </c>
    </row>
    <row r="1448" spans="1:7" ht="15.75">
      <c r="A1448" t="s">
        <v>7719</v>
      </c>
      <c r="B1448" s="604" t="s">
        <v>7981</v>
      </c>
      <c r="C1448" s="605" t="s">
        <v>7982</v>
      </c>
      <c r="D1448" s="604" t="s">
        <v>7980</v>
      </c>
      <c r="E1448" s="604" t="s">
        <v>7979</v>
      </c>
      <c r="F1448" s="604" t="s">
        <v>7983</v>
      </c>
      <c r="G1448">
        <f>IF(getRGB1($C1448)="FFFFFF",0,1)+IF(getRGB1($D1448)="FFFFFF",0,2)+IF(getRGB1($E1448)="FFFFFF",0,3)+IF(getRGB1($F1448)="FFFFFF",0,4)</f>
        <v>1</v>
      </c>
    </row>
    <row r="1449" spans="1:7" ht="15.75">
      <c r="A1449" t="s">
        <v>7719</v>
      </c>
      <c r="B1449" s="604" t="s">
        <v>7984</v>
      </c>
      <c r="C1449" s="604">
        <v>256</v>
      </c>
      <c r="D1449" s="604">
        <v>1024</v>
      </c>
      <c r="E1449" s="604">
        <v>32000</v>
      </c>
      <c r="F1449" s="605">
        <v>65535</v>
      </c>
      <c r="G1449">
        <f>IF(getRGB1($C1449)="FFFFFF",0,1)+IF(getRGB1($D1449)="FFFFFF",0,2)+IF(getRGB1($E1449)="FFFFFF",0,3)+IF(getRGB1($F1449)="FFFFFF",0,4)</f>
        <v>4</v>
      </c>
    </row>
    <row r="1450" spans="1:7" ht="15.75">
      <c r="A1450" t="s">
        <v>7719</v>
      </c>
      <c r="B1450" s="604" t="s">
        <v>7985</v>
      </c>
      <c r="C1450" s="604">
        <v>256</v>
      </c>
      <c r="D1450" s="604">
        <v>1024</v>
      </c>
      <c r="E1450" s="604">
        <v>32000</v>
      </c>
      <c r="F1450" s="605">
        <v>65536</v>
      </c>
      <c r="G1450">
        <f>IF(getRGB1($C1450)="FFFFFF",0,1)+IF(getRGB1($D1450)="FFFFFF",0,2)+IF(getRGB1($E1450)="FFFFFF",0,3)+IF(getRGB1($F1450)="FFFFFF",0,4)</f>
        <v>4</v>
      </c>
    </row>
    <row r="1451" spans="1:7" ht="31.5">
      <c r="A1451" t="s">
        <v>7719</v>
      </c>
      <c r="B1451" s="604" t="s">
        <v>7986</v>
      </c>
      <c r="C1451" s="604">
        <v>128</v>
      </c>
      <c r="D1451" s="604">
        <v>256</v>
      </c>
      <c r="E1451" s="604">
        <v>512</v>
      </c>
      <c r="F1451" s="604">
        <v>1024</v>
      </c>
      <c r="G1451">
        <f>IF(getRGB1($C1451)="FFFFFF",0,1)+IF(getRGB1($D1451)="FFFFFF",0,2)+IF(getRGB1($E1451)="FFFFFF",0,3)+IF(getRGB1($F1451)="FFFFFF",0,4)</f>
        <v>0</v>
      </c>
    </row>
    <row r="1452" spans="1:7" ht="15.75">
      <c r="A1452" t="s">
        <v>7719</v>
      </c>
      <c r="B1452" s="604" t="s">
        <v>7987</v>
      </c>
      <c r="C1452" s="604" t="s">
        <v>7988</v>
      </c>
      <c r="D1452" s="604" t="s">
        <v>7989</v>
      </c>
      <c r="E1452" s="604" t="s">
        <v>7990</v>
      </c>
      <c r="F1452" s="604" t="s">
        <v>7991</v>
      </c>
      <c r="G1452">
        <f>IF(getRGB1($C1452)="FFFFFF",0,1)+IF(getRGB1($D1452)="FFFFFF",0,2)+IF(getRGB1($E1452)="FFFFFF",0,3)+IF(getRGB1($F1452)="FFFFFF",0,4)</f>
        <v>0</v>
      </c>
    </row>
    <row r="1453" spans="1:7" ht="15.75">
      <c r="A1453" t="s">
        <v>7719</v>
      </c>
      <c r="B1453" s="604" t="s">
        <v>7992</v>
      </c>
      <c r="C1453" s="604" t="s">
        <v>7993</v>
      </c>
      <c r="D1453" s="604" t="s">
        <v>7994</v>
      </c>
      <c r="E1453" s="604" t="s">
        <v>7995</v>
      </c>
      <c r="F1453" s="604" t="s">
        <v>7996</v>
      </c>
      <c r="G1453">
        <f>IF(getRGB1($C1453)="FFFFFF",0,1)+IF(getRGB1($D1453)="FFFFFF",0,2)+IF(getRGB1($E1453)="FFFFFF",0,3)+IF(getRGB1($F1453)="FFFFFF",0,4)</f>
        <v>0</v>
      </c>
    </row>
    <row r="1454" spans="1:7" ht="31.5">
      <c r="A1454" t="s">
        <v>7719</v>
      </c>
      <c r="B1454" s="604" t="s">
        <v>7997</v>
      </c>
      <c r="C1454" s="604" t="s">
        <v>7998</v>
      </c>
      <c r="D1454" s="604" t="s">
        <v>7999</v>
      </c>
      <c r="E1454" s="604" t="s">
        <v>8000</v>
      </c>
      <c r="F1454" s="604" t="s">
        <v>8001</v>
      </c>
      <c r="G1454">
        <f>IF(getRGB1($C1454)="FFFFFF",0,1)+IF(getRGB1($D1454)="FFFFFF",0,2)+IF(getRGB1($E1454)="FFFFFF",0,3)+IF(getRGB1($F1454)="FFFFFF",0,4)</f>
        <v>0</v>
      </c>
    </row>
    <row r="1455" spans="1:7" ht="31.5">
      <c r="A1455" t="s">
        <v>7719</v>
      </c>
      <c r="B1455" s="604" t="s">
        <v>8002</v>
      </c>
      <c r="C1455" s="604" t="s">
        <v>8003</v>
      </c>
      <c r="D1455" s="604" t="s">
        <v>8004</v>
      </c>
      <c r="E1455" s="604" t="s">
        <v>8005</v>
      </c>
      <c r="F1455" s="604" t="s">
        <v>8006</v>
      </c>
      <c r="G1455">
        <f>IF(getRGB1($C1455)="FFFFFF",0,1)+IF(getRGB1($D1455)="FFFFFF",0,2)+IF(getRGB1($E1455)="FFFFFF",0,3)+IF(getRGB1($F1455)="FFFFFF",0,4)</f>
        <v>0</v>
      </c>
    </row>
    <row r="1456" spans="1:7" ht="15.75">
      <c r="A1456" t="s">
        <v>7719</v>
      </c>
      <c r="B1456" s="604" t="s">
        <v>8007</v>
      </c>
      <c r="C1456" s="604" t="s">
        <v>8008</v>
      </c>
      <c r="D1456" s="604" t="s">
        <v>8009</v>
      </c>
      <c r="E1456" s="604" t="s">
        <v>8010</v>
      </c>
      <c r="F1456" s="604" t="s">
        <v>8011</v>
      </c>
      <c r="G1456">
        <f>IF(getRGB1($C1456)="FFFFFF",0,1)+IF(getRGB1($D1456)="FFFFFF",0,2)+IF(getRGB1($E1456)="FFFFFF",0,3)+IF(getRGB1($F1456)="FFFFFF",0,4)</f>
        <v>0</v>
      </c>
    </row>
    <row r="1457" spans="1:7" ht="31.5">
      <c r="A1457" t="s">
        <v>7719</v>
      </c>
      <c r="B1457" s="604" t="s">
        <v>8012</v>
      </c>
      <c r="C1457" s="604" t="s">
        <v>8013</v>
      </c>
      <c r="D1457" s="604" t="s">
        <v>8014</v>
      </c>
      <c r="E1457" s="604" t="s">
        <v>8015</v>
      </c>
      <c r="F1457" s="604" t="s">
        <v>5234</v>
      </c>
      <c r="G1457">
        <f>IF(getRGB1($C1457)="FFFFFF",0,1)+IF(getRGB1($D1457)="FFFFFF",0,2)+IF(getRGB1($E1457)="FFFFFF",0,3)+IF(getRGB1($F1457)="FFFFFF",0,4)</f>
        <v>0</v>
      </c>
    </row>
    <row r="1458" spans="1:7" ht="31.5">
      <c r="A1458" t="s">
        <v>7719</v>
      </c>
      <c r="B1458" s="604" t="s">
        <v>8016</v>
      </c>
      <c r="C1458" s="604" t="s">
        <v>8017</v>
      </c>
      <c r="D1458" s="604" t="s">
        <v>8018</v>
      </c>
      <c r="E1458" s="604" t="s">
        <v>8019</v>
      </c>
      <c r="F1458" s="604" t="s">
        <v>1318</v>
      </c>
      <c r="G1458">
        <f>IF(getRGB1($C1458)="FFFFFF",0,1)+IF(getRGB1($D1458)="FFFFFF",0,2)+IF(getRGB1($E1458)="FFFFFF",0,3)+IF(getRGB1($F1458)="FFFFFF",0,4)</f>
        <v>0</v>
      </c>
    </row>
    <row r="1459" spans="1:7" ht="31.5">
      <c r="A1459" t="s">
        <v>7719</v>
      </c>
      <c r="B1459" s="604" t="s">
        <v>8020</v>
      </c>
      <c r="C1459" s="604" t="s">
        <v>8021</v>
      </c>
      <c r="D1459" s="604" t="s">
        <v>8022</v>
      </c>
      <c r="E1459" s="604" t="s">
        <v>8023</v>
      </c>
      <c r="F1459" s="604" t="s">
        <v>8024</v>
      </c>
      <c r="G1459">
        <f>IF(getRGB1($C1459)="FFFFFF",0,1)+IF(getRGB1($D1459)="FFFFFF",0,2)+IF(getRGB1($E1459)="FFFFFF",0,3)+IF(getRGB1($F1459)="FFFFFF",0,4)</f>
        <v>0</v>
      </c>
    </row>
    <row r="1460" spans="1:7" ht="15.75">
      <c r="A1460" t="s">
        <v>7719</v>
      </c>
      <c r="B1460" s="604" t="s">
        <v>8025</v>
      </c>
      <c r="C1460" s="604" t="s">
        <v>8026</v>
      </c>
      <c r="D1460" s="604" t="s">
        <v>8027</v>
      </c>
      <c r="E1460" s="604" t="s">
        <v>8028</v>
      </c>
      <c r="F1460" s="604" t="s">
        <v>8029</v>
      </c>
      <c r="G1460">
        <f>IF(getRGB1($C1460)="FFFFFF",0,1)+IF(getRGB1($D1460)="FFFFFF",0,2)+IF(getRGB1($E1460)="FFFFFF",0,3)+IF(getRGB1($F1460)="FFFFFF",0,4)</f>
        <v>0</v>
      </c>
    </row>
    <row r="1461" spans="1:7" ht="15.75">
      <c r="A1461" t="s">
        <v>7719</v>
      </c>
      <c r="B1461" s="604" t="s">
        <v>8030</v>
      </c>
      <c r="C1461" s="604" t="s">
        <v>8031</v>
      </c>
      <c r="D1461" s="604" t="s">
        <v>8032</v>
      </c>
      <c r="E1461" s="604" t="s">
        <v>8033</v>
      </c>
      <c r="F1461" s="604" t="s">
        <v>8034</v>
      </c>
      <c r="G1461">
        <f>IF(getRGB1($C1461)="FFFFFF",0,1)+IF(getRGB1($D1461)="FFFFFF",0,2)+IF(getRGB1($E1461)="FFFFFF",0,3)+IF(getRGB1($F1461)="FFFFFF",0,4)</f>
        <v>0</v>
      </c>
    </row>
    <row r="1462" spans="1:7" ht="63">
      <c r="A1462" t="s">
        <v>7719</v>
      </c>
      <c r="B1462" s="604" t="s">
        <v>8035</v>
      </c>
      <c r="C1462" s="604" t="s">
        <v>8036</v>
      </c>
      <c r="D1462" s="604" t="s">
        <v>8037</v>
      </c>
      <c r="E1462" s="605" t="s">
        <v>7896</v>
      </c>
      <c r="F1462" s="604" t="s">
        <v>1437</v>
      </c>
      <c r="G1462">
        <f>IF(getRGB1($C1462)="FFFFFF",0,1)+IF(getRGB1($D1462)="FFFFFF",0,2)+IF(getRGB1($E1462)="FFFFFF",0,3)+IF(getRGB1($F1462)="FFFFFF",0,4)</f>
        <v>3</v>
      </c>
    </row>
    <row r="1463" spans="1:7" ht="31.5">
      <c r="A1463" t="s">
        <v>7719</v>
      </c>
      <c r="B1463" s="604" t="s">
        <v>8038</v>
      </c>
      <c r="C1463" s="604" t="s">
        <v>8039</v>
      </c>
      <c r="D1463" s="604" t="s">
        <v>8040</v>
      </c>
      <c r="E1463" s="605" t="s">
        <v>8041</v>
      </c>
      <c r="F1463" s="604" t="s">
        <v>1437</v>
      </c>
      <c r="G1463">
        <f>IF(getRGB1($C1463)="FFFFFF",0,1)+IF(getRGB1($D1463)="FFFFFF",0,2)+IF(getRGB1($E1463)="FFFFFF",0,3)+IF(getRGB1($F1463)="FFFFFF",0,4)</f>
        <v>3</v>
      </c>
    </row>
    <row r="1464" spans="1:7" ht="15.75">
      <c r="A1464" t="s">
        <v>7719</v>
      </c>
      <c r="B1464" s="604" t="s">
        <v>8042</v>
      </c>
      <c r="C1464" s="604" t="s">
        <v>8043</v>
      </c>
      <c r="D1464" s="605" t="s">
        <v>8044</v>
      </c>
      <c r="E1464" s="604" t="s">
        <v>3407</v>
      </c>
      <c r="F1464" s="604" t="s">
        <v>1437</v>
      </c>
      <c r="G1464">
        <f>IF(getRGB1($C1464)="FFFFFF",0,1)+IF(getRGB1($D1464)="FFFFFF",0,2)+IF(getRGB1($E1464)="FFFFFF",0,3)+IF(getRGB1($F1464)="FFFFFF",0,4)</f>
        <v>2</v>
      </c>
    </row>
    <row r="1465" spans="1:7" ht="15.75">
      <c r="A1465" t="s">
        <v>7719</v>
      </c>
      <c r="B1465" s="604" t="s">
        <v>8045</v>
      </c>
      <c r="C1465" s="605" t="s">
        <v>8046</v>
      </c>
      <c r="D1465" s="724" t="s">
        <v>8047</v>
      </c>
      <c r="E1465" s="604" t="s">
        <v>8048</v>
      </c>
      <c r="F1465" s="604" t="s">
        <v>1437</v>
      </c>
      <c r="G1465">
        <f>IF(getRGB1($C1465)="FFFFFF",0,1)+IF(getRGB1($D1465)="FFFFFF",0,2)+IF(getRGB1($E1465)="FFFFFF",0,3)+IF(getRGB1($F1465)="FFFFFF",0,4)</f>
        <v>1</v>
      </c>
    </row>
    <row r="1466" spans="1:7" ht="15.75">
      <c r="A1466" t="s">
        <v>7719</v>
      </c>
      <c r="B1466" s="604" t="s">
        <v>8049</v>
      </c>
      <c r="C1466" s="604" t="s">
        <v>8050</v>
      </c>
      <c r="D1466" s="604" t="s">
        <v>8051</v>
      </c>
      <c r="E1466" s="605" t="s">
        <v>8052</v>
      </c>
      <c r="F1466" s="604" t="s">
        <v>1437</v>
      </c>
      <c r="G1466">
        <f>IF(getRGB1($C1466)="FFFFFF",0,1)+IF(getRGB1($D1466)="FFFFFF",0,2)+IF(getRGB1($E1466)="FFFFFF",0,3)+IF(getRGB1($F1466)="FFFFFF",0,4)</f>
        <v>3</v>
      </c>
    </row>
    <row r="1467" spans="1:7" ht="31.5">
      <c r="A1467" t="s">
        <v>7719</v>
      </c>
      <c r="B1467" s="604" t="s">
        <v>8053</v>
      </c>
      <c r="C1467" s="604" t="s">
        <v>8054</v>
      </c>
      <c r="D1467" s="604" t="s">
        <v>8055</v>
      </c>
      <c r="E1467" s="605" t="s">
        <v>8056</v>
      </c>
      <c r="F1467" s="604" t="s">
        <v>1437</v>
      </c>
      <c r="G1467">
        <f>IF(getRGB1($C1467)="FFFFFF",0,1)+IF(getRGB1($D1467)="FFFFFF",0,2)+IF(getRGB1($E1467)="FFFFFF",0,3)+IF(getRGB1($F1467)="FFFFFF",0,4)</f>
        <v>3</v>
      </c>
    </row>
    <row r="1468" spans="1:7" ht="15.75">
      <c r="A1468" t="s">
        <v>7719</v>
      </c>
      <c r="B1468" s="604" t="s">
        <v>8057</v>
      </c>
      <c r="C1468" s="604" t="s">
        <v>8058</v>
      </c>
      <c r="D1468" s="604" t="s">
        <v>8059</v>
      </c>
      <c r="E1468" s="605" t="s">
        <v>7896</v>
      </c>
      <c r="F1468" s="604" t="s">
        <v>1437</v>
      </c>
      <c r="G1468">
        <f>IF(getRGB1($C1468)="FFFFFF",0,1)+IF(getRGB1($D1468)="FFFFFF",0,2)+IF(getRGB1($E1468)="FFFFFF",0,3)+IF(getRGB1($F1468)="FFFFFF",0,4)</f>
        <v>3</v>
      </c>
    </row>
    <row r="1469" spans="1:7" ht="15.75">
      <c r="A1469" t="s">
        <v>7719</v>
      </c>
      <c r="B1469" s="604" t="s">
        <v>8060</v>
      </c>
      <c r="C1469" s="605" t="s">
        <v>8061</v>
      </c>
      <c r="D1469" s="604" t="s">
        <v>8062</v>
      </c>
      <c r="E1469" s="604" t="s">
        <v>7896</v>
      </c>
      <c r="F1469" s="604" t="s">
        <v>1437</v>
      </c>
      <c r="G1469">
        <f>IF(getRGB1($C1469)="FFFFFF",0,1)+IF(getRGB1($D1469)="FFFFFF",0,2)+IF(getRGB1($E1469)="FFFFFF",0,3)+IF(getRGB1($F1469)="FFFFFF",0,4)</f>
        <v>1</v>
      </c>
    </row>
    <row r="1470" spans="1:7" ht="15.75">
      <c r="A1470" t="s">
        <v>7719</v>
      </c>
      <c r="B1470" s="604" t="s">
        <v>8063</v>
      </c>
      <c r="C1470" s="604" t="s">
        <v>7740</v>
      </c>
      <c r="D1470" s="604" t="s">
        <v>8064</v>
      </c>
      <c r="E1470" s="604" t="s">
        <v>8065</v>
      </c>
      <c r="F1470" s="605" t="s">
        <v>8066</v>
      </c>
      <c r="G1470">
        <f>IF(getRGB1($C1470)="FFFFFF",0,1)+IF(getRGB1($D1470)="FFFFFF",0,2)+IF(getRGB1($E1470)="FFFFFF",0,3)+IF(getRGB1($F1470)="FFFFFF",0,4)</f>
        <v>4</v>
      </c>
    </row>
    <row r="1471" spans="1:7" ht="15.75">
      <c r="A1471" t="s">
        <v>7719</v>
      </c>
      <c r="B1471" s="604" t="s">
        <v>8067</v>
      </c>
      <c r="C1471" s="605" t="s">
        <v>8068</v>
      </c>
      <c r="D1471" s="604" t="s">
        <v>8069</v>
      </c>
      <c r="E1471" s="604" t="s">
        <v>8070</v>
      </c>
      <c r="F1471" s="604" t="s">
        <v>1437</v>
      </c>
      <c r="G1471">
        <f>IF(getRGB1($C1471)="FFFFFF",0,1)+IF(getRGB1($D1471)="FFFFFF",0,2)+IF(getRGB1($E1471)="FFFFFF",0,3)+IF(getRGB1($F1471)="FFFFFF",0,4)</f>
        <v>1</v>
      </c>
    </row>
    <row r="1472" spans="1:7" ht="15.75">
      <c r="A1472" t="s">
        <v>7719</v>
      </c>
      <c r="B1472" s="604" t="s">
        <v>8071</v>
      </c>
      <c r="C1472" s="604" t="s">
        <v>8072</v>
      </c>
      <c r="D1472" s="604" t="s">
        <v>8073</v>
      </c>
      <c r="E1472" s="604" t="s">
        <v>8074</v>
      </c>
      <c r="F1472" s="604" t="s">
        <v>1437</v>
      </c>
      <c r="G1472">
        <f>IF(getRGB1($C1472)="FFFFFF",0,1)+IF(getRGB1($D1472)="FFFFFF",0,2)+IF(getRGB1($E1472)="FFFFFF",0,3)+IF(getRGB1($F1472)="FFFFFF",0,4)</f>
        <v>0</v>
      </c>
    </row>
    <row r="1473" spans="1:7" ht="31.5">
      <c r="A1473" t="s">
        <v>7719</v>
      </c>
      <c r="B1473" s="604" t="s">
        <v>8075</v>
      </c>
      <c r="C1473" s="604" t="s">
        <v>8076</v>
      </c>
      <c r="D1473" s="604" t="s">
        <v>8077</v>
      </c>
      <c r="E1473" s="605" t="s">
        <v>8078</v>
      </c>
      <c r="F1473" s="604" t="s">
        <v>1437</v>
      </c>
      <c r="G1473">
        <f>IF(getRGB1($C1473)="FFFFFF",0,1)+IF(getRGB1($D1473)="FFFFFF",0,2)+IF(getRGB1($E1473)="FFFFFF",0,3)+IF(getRGB1($F1473)="FFFFFF",0,4)</f>
        <v>3</v>
      </c>
    </row>
    <row r="1474" spans="1:7" ht="15.75">
      <c r="A1474" t="s">
        <v>7719</v>
      </c>
      <c r="B1474" s="604" t="s">
        <v>8079</v>
      </c>
      <c r="C1474" s="605" t="s">
        <v>8080</v>
      </c>
      <c r="D1474" s="604" t="s">
        <v>8081</v>
      </c>
      <c r="E1474" s="604" t="s">
        <v>7896</v>
      </c>
      <c r="F1474" s="604" t="s">
        <v>1437</v>
      </c>
      <c r="G1474">
        <f>IF(getRGB1($C1474)="FFFFFF",0,1)+IF(getRGB1($D1474)="FFFFFF",0,2)+IF(getRGB1($E1474)="FFFFFF",0,3)+IF(getRGB1($F1474)="FFFFFF",0,4)</f>
        <v>1</v>
      </c>
    </row>
    <row r="1475" spans="1:7" ht="31.5">
      <c r="A1475" t="s">
        <v>7719</v>
      </c>
      <c r="B1475" s="604" t="s">
        <v>8082</v>
      </c>
      <c r="C1475" s="604" t="s">
        <v>8083</v>
      </c>
      <c r="D1475" s="604" t="s">
        <v>8084</v>
      </c>
      <c r="E1475" s="604" t="s">
        <v>8085</v>
      </c>
      <c r="F1475" s="604" t="s">
        <v>8066</v>
      </c>
      <c r="G1475">
        <f>IF(getRGB1($C1475)="FFFFFF",0,1)+IF(getRGB1($D1475)="FFFFFF",0,2)+IF(getRGB1($E1475)="FFFFFF",0,3)+IF(getRGB1($F1475)="FFFFFF",0,4)</f>
        <v>0</v>
      </c>
    </row>
    <row r="1476" spans="1:7" ht="31.5">
      <c r="A1476" t="s">
        <v>7719</v>
      </c>
      <c r="B1476" s="604" t="s">
        <v>8086</v>
      </c>
      <c r="C1476" s="604" t="s">
        <v>8087</v>
      </c>
      <c r="D1476" s="604" t="s">
        <v>8088</v>
      </c>
      <c r="E1476" s="605" t="s">
        <v>8089</v>
      </c>
      <c r="F1476" s="604" t="s">
        <v>1437</v>
      </c>
      <c r="G1476">
        <f>IF(getRGB1($C1476)="FFFFFF",0,1)+IF(getRGB1($D1476)="FFFFFF",0,2)+IF(getRGB1($E1476)="FFFFFF",0,3)+IF(getRGB1($F1476)="FFFFFF",0,4)</f>
        <v>3</v>
      </c>
    </row>
    <row r="1477" spans="1:7" ht="15.75">
      <c r="A1477" t="s">
        <v>7719</v>
      </c>
      <c r="B1477" s="604" t="s">
        <v>8090</v>
      </c>
      <c r="C1477" s="604" t="s">
        <v>8091</v>
      </c>
      <c r="D1477" s="604" t="s">
        <v>8092</v>
      </c>
      <c r="E1477" s="605" t="s">
        <v>3407</v>
      </c>
      <c r="F1477" s="604" t="s">
        <v>1437</v>
      </c>
      <c r="G1477">
        <f>IF(getRGB1($C1477)="FFFFFF",0,1)+IF(getRGB1($D1477)="FFFFFF",0,2)+IF(getRGB1($E1477)="FFFFFF",0,3)+IF(getRGB1($F1477)="FFFFFF",0,4)</f>
        <v>3</v>
      </c>
    </row>
    <row r="1478" spans="1:7" ht="15.75">
      <c r="A1478" t="s">
        <v>7719</v>
      </c>
      <c r="B1478" s="604" t="s">
        <v>8093</v>
      </c>
      <c r="C1478" s="604" t="s">
        <v>8094</v>
      </c>
      <c r="D1478" s="604" t="s">
        <v>8095</v>
      </c>
      <c r="E1478" s="604" t="s">
        <v>7896</v>
      </c>
      <c r="F1478" s="604" t="s">
        <v>1437</v>
      </c>
      <c r="G1478">
        <f>IF(getRGB1($C1478)="FFFFFF",0,1)+IF(getRGB1($D1478)="FFFFFF",0,2)+IF(getRGB1($E1478)="FFFFFF",0,3)+IF(getRGB1($F1478)="FFFFFF",0,4)</f>
        <v>0</v>
      </c>
    </row>
    <row r="1479" spans="1:7" ht="15.75">
      <c r="A1479" t="s">
        <v>7719</v>
      </c>
      <c r="B1479" s="604" t="s">
        <v>8096</v>
      </c>
      <c r="C1479" s="605" t="s">
        <v>8097</v>
      </c>
      <c r="D1479" s="604" t="s">
        <v>8098</v>
      </c>
      <c r="E1479" s="604" t="s">
        <v>7896</v>
      </c>
      <c r="F1479" s="604" t="s">
        <v>1437</v>
      </c>
      <c r="G1479">
        <f>IF(getRGB1($C1479)="FFFFFF",0,1)+IF(getRGB1($D1479)="FFFFFF",0,2)+IF(getRGB1($E1479)="FFFFFF",0,3)+IF(getRGB1($F1479)="FFFFFF",0,4)</f>
        <v>1</v>
      </c>
    </row>
    <row r="1480" spans="1:7" ht="31.5">
      <c r="A1480" t="s">
        <v>7719</v>
      </c>
      <c r="B1480" s="604" t="s">
        <v>8099</v>
      </c>
      <c r="C1480" s="604" t="s">
        <v>8100</v>
      </c>
      <c r="D1480" s="604" t="s">
        <v>8101</v>
      </c>
      <c r="E1480" s="605" t="s">
        <v>1744</v>
      </c>
      <c r="F1480" s="604" t="s">
        <v>1437</v>
      </c>
      <c r="G1480">
        <f>IF(getRGB1($C1480)="FFFFFF",0,1)+IF(getRGB1($D1480)="FFFFFF",0,2)+IF(getRGB1($E1480)="FFFFFF",0,3)+IF(getRGB1($F1480)="FFFFFF",0,4)</f>
        <v>3</v>
      </c>
    </row>
    <row r="1481" spans="1:7" ht="31.5">
      <c r="A1481" t="s">
        <v>7719</v>
      </c>
      <c r="B1481" s="604" t="s">
        <v>8102</v>
      </c>
      <c r="C1481" s="604" t="s">
        <v>8055</v>
      </c>
      <c r="D1481" s="605" t="s">
        <v>8088</v>
      </c>
      <c r="E1481" s="604" t="s">
        <v>8103</v>
      </c>
      <c r="F1481" s="604" t="s">
        <v>1437</v>
      </c>
      <c r="G1481">
        <f>IF(getRGB1($C1481)="FFFFFF",0,1)+IF(getRGB1($D1481)="FFFFFF",0,2)+IF(getRGB1($E1481)="FFFFFF",0,3)+IF(getRGB1($F1481)="FFFFFF",0,4)</f>
        <v>2</v>
      </c>
    </row>
    <row r="1482" spans="1:7" ht="31.5">
      <c r="A1482" t="s">
        <v>7719</v>
      </c>
      <c r="B1482" s="604" t="s">
        <v>8104</v>
      </c>
      <c r="C1482" s="605" t="s">
        <v>8105</v>
      </c>
      <c r="D1482" s="604" t="s">
        <v>8106</v>
      </c>
      <c r="E1482" s="604" t="s">
        <v>8107</v>
      </c>
      <c r="F1482" s="604" t="s">
        <v>1437</v>
      </c>
      <c r="G1482">
        <f>IF(getRGB1($C1482)="FFFFFF",0,1)+IF(getRGB1($D1482)="FFFFFF",0,2)+IF(getRGB1($E1482)="FFFFFF",0,3)+IF(getRGB1($F1482)="FFFFFF",0,4)</f>
        <v>1</v>
      </c>
    </row>
    <row r="1483" spans="1:7" ht="15.75">
      <c r="A1483" t="s">
        <v>7719</v>
      </c>
      <c r="B1483" s="604" t="s">
        <v>8108</v>
      </c>
      <c r="C1483" s="604" t="s">
        <v>8109</v>
      </c>
      <c r="D1483" s="604" t="s">
        <v>8051</v>
      </c>
      <c r="E1483" s="605" t="s">
        <v>8110</v>
      </c>
      <c r="F1483" s="604" t="s">
        <v>1437</v>
      </c>
      <c r="G1483">
        <f>IF(getRGB1($C1483)="FFFFFF",0,1)+IF(getRGB1($D1483)="FFFFFF",0,2)+IF(getRGB1($E1483)="FFFFFF",0,3)+IF(getRGB1($F1483)="FFFFFF",0,4)</f>
        <v>3</v>
      </c>
    </row>
    <row r="1484" spans="1:7" ht="15.75">
      <c r="A1484" t="s">
        <v>7719</v>
      </c>
      <c r="B1484" s="604" t="s">
        <v>8111</v>
      </c>
      <c r="C1484" s="605" t="s">
        <v>8112</v>
      </c>
      <c r="D1484" s="604" t="s">
        <v>8113</v>
      </c>
      <c r="E1484" s="604" t="s">
        <v>7896</v>
      </c>
      <c r="F1484" s="604" t="s">
        <v>1437</v>
      </c>
      <c r="G1484">
        <f>IF(getRGB1($C1484)="FFFFFF",0,1)+IF(getRGB1($D1484)="FFFFFF",0,2)+IF(getRGB1($E1484)="FFFFFF",0,3)+IF(getRGB1($F1484)="FFFFFF",0,4)</f>
        <v>1</v>
      </c>
    </row>
    <row r="1485" spans="1:7" ht="15.75">
      <c r="A1485" t="s">
        <v>7719</v>
      </c>
      <c r="B1485" s="604" t="s">
        <v>8114</v>
      </c>
      <c r="C1485" s="604" t="s">
        <v>8115</v>
      </c>
      <c r="D1485" s="724" t="s">
        <v>8116</v>
      </c>
      <c r="E1485" s="605" t="s">
        <v>8117</v>
      </c>
      <c r="F1485" s="604" t="s">
        <v>1437</v>
      </c>
      <c r="G1485">
        <f>IF(getRGB1($C1485)="FFFFFF",0,1)+IF(getRGB1($D1485)="FFFFFF",0,2)+IF(getRGB1($E1485)="FFFFFF",0,3)+IF(getRGB1($F1485)="FFFFFF",0,4)</f>
        <v>3</v>
      </c>
    </row>
    <row r="1486" spans="1:7" ht="15.75">
      <c r="A1486" t="s">
        <v>7719</v>
      </c>
      <c r="B1486" s="604" t="s">
        <v>8118</v>
      </c>
      <c r="C1486" s="604" t="s">
        <v>8119</v>
      </c>
      <c r="D1486" s="604" t="s">
        <v>8120</v>
      </c>
      <c r="E1486" s="605" t="s">
        <v>8121</v>
      </c>
      <c r="F1486" s="604" t="s">
        <v>5234</v>
      </c>
      <c r="G1486">
        <f>IF(getRGB1($C1486)="FFFFFF",0,1)+IF(getRGB1($D1486)="FFFFFF",0,2)+IF(getRGB1($E1486)="FFFFFF",0,3)+IF(getRGB1($F1486)="FFFFFF",0,4)</f>
        <v>3</v>
      </c>
    </row>
    <row r="1487" spans="1:7" ht="15.75">
      <c r="A1487" t="s">
        <v>7719</v>
      </c>
      <c r="B1487" s="604" t="s">
        <v>8122</v>
      </c>
      <c r="C1487" s="604" t="s">
        <v>8123</v>
      </c>
      <c r="D1487" s="604" t="s">
        <v>8124</v>
      </c>
      <c r="E1487" s="604" t="s">
        <v>8125</v>
      </c>
      <c r="F1487" s="604" t="s">
        <v>1437</v>
      </c>
      <c r="G1487">
        <f>IF(getRGB1($C1487)="FFFFFF",0,1)+IF(getRGB1($D1487)="FFFFFF",0,2)+IF(getRGB1($E1487)="FFFFFF",0,3)+IF(getRGB1($F1487)="FFFFFF",0,4)</f>
        <v>0</v>
      </c>
    </row>
    <row r="1488" spans="1:7" ht="15.75">
      <c r="A1488" t="s">
        <v>7719</v>
      </c>
      <c r="B1488" s="604" t="s">
        <v>8126</v>
      </c>
      <c r="C1488" s="604" t="s">
        <v>8127</v>
      </c>
      <c r="D1488" s="604" t="s">
        <v>8128</v>
      </c>
      <c r="E1488" s="605" t="s">
        <v>8129</v>
      </c>
      <c r="F1488" s="604" t="s">
        <v>1437</v>
      </c>
      <c r="G1488">
        <f>IF(getRGB1($C1488)="FFFFFF",0,1)+IF(getRGB1($D1488)="FFFFFF",0,2)+IF(getRGB1($E1488)="FFFFFF",0,3)+IF(getRGB1($F1488)="FFFFFF",0,4)</f>
        <v>3</v>
      </c>
    </row>
    <row r="1489" spans="1:7" ht="31.5">
      <c r="A1489" t="s">
        <v>7719</v>
      </c>
      <c r="B1489" s="604" t="s">
        <v>8130</v>
      </c>
      <c r="C1489" s="604" t="s">
        <v>8131</v>
      </c>
      <c r="D1489" s="605" t="s">
        <v>8132</v>
      </c>
      <c r="E1489" s="604" t="s">
        <v>8046</v>
      </c>
      <c r="F1489" s="604" t="s">
        <v>1437</v>
      </c>
      <c r="G1489">
        <f>IF(getRGB1($C1489)="FFFFFF",0,1)+IF(getRGB1($D1489)="FFFFFF",0,2)+IF(getRGB1($E1489)="FFFFFF",0,3)+IF(getRGB1($F1489)="FFFFFF",0,4)</f>
        <v>2</v>
      </c>
    </row>
    <row r="1490" spans="1:7" ht="31.5">
      <c r="A1490" t="s">
        <v>7719</v>
      </c>
      <c r="B1490" s="604" t="s">
        <v>8133</v>
      </c>
      <c r="C1490" s="604" t="s">
        <v>8134</v>
      </c>
      <c r="D1490" s="604" t="s">
        <v>8135</v>
      </c>
      <c r="E1490" s="605" t="s">
        <v>7896</v>
      </c>
      <c r="F1490" s="604" t="s">
        <v>1437</v>
      </c>
      <c r="G1490">
        <f>IF(getRGB1($C1490)="FFFFFF",0,1)+IF(getRGB1($D1490)="FFFFFF",0,2)+IF(getRGB1($E1490)="FFFFFF",0,3)+IF(getRGB1($F1490)="FFFFFF",0,4)</f>
        <v>3</v>
      </c>
    </row>
    <row r="1491" spans="1:7" ht="15.75">
      <c r="A1491" t="s">
        <v>7719</v>
      </c>
      <c r="B1491" s="604" t="s">
        <v>8136</v>
      </c>
      <c r="C1491" s="604" t="s">
        <v>8137</v>
      </c>
      <c r="D1491" s="605" t="s">
        <v>8138</v>
      </c>
      <c r="E1491" s="604" t="s">
        <v>8139</v>
      </c>
      <c r="F1491" s="604" t="s">
        <v>1437</v>
      </c>
      <c r="G1491">
        <f>IF(getRGB1($C1491)="FFFFFF",0,1)+IF(getRGB1($D1491)="FFFFFF",0,2)+IF(getRGB1($E1491)="FFFFFF",0,3)+IF(getRGB1($F1491)="FFFFFF",0,4)</f>
        <v>2</v>
      </c>
    </row>
    <row r="1492" spans="1:7" ht="15.75">
      <c r="A1492" t="s">
        <v>7719</v>
      </c>
      <c r="B1492" s="604" t="s">
        <v>8140</v>
      </c>
      <c r="C1492" s="604" t="s">
        <v>8141</v>
      </c>
      <c r="D1492" s="604" t="s">
        <v>8142</v>
      </c>
      <c r="E1492" s="604" t="s">
        <v>8143</v>
      </c>
      <c r="F1492" s="604" t="s">
        <v>1437</v>
      </c>
      <c r="G1492">
        <f>IF(getRGB1($C1492)="FFFFFF",0,1)+IF(getRGB1($D1492)="FFFFFF",0,2)+IF(getRGB1($E1492)="FFFFFF",0,3)+IF(getRGB1($F1492)="FFFFFF",0,4)</f>
        <v>0</v>
      </c>
    </row>
    <row r="1493" spans="1:7" ht="15.75">
      <c r="A1493" t="s">
        <v>7719</v>
      </c>
      <c r="B1493" s="604" t="s">
        <v>8144</v>
      </c>
      <c r="C1493" s="605" t="s">
        <v>8145</v>
      </c>
      <c r="D1493" s="604" t="s">
        <v>8146</v>
      </c>
      <c r="E1493" s="604" t="s">
        <v>7896</v>
      </c>
      <c r="F1493" s="604" t="s">
        <v>1437</v>
      </c>
      <c r="G1493">
        <f>IF(getRGB1($C1493)="FFFFFF",0,1)+IF(getRGB1($D1493)="FFFFFF",0,2)+IF(getRGB1($E1493)="FFFFFF",0,3)+IF(getRGB1($F1493)="FFFFFF",0,4)</f>
        <v>1</v>
      </c>
    </row>
    <row r="1494" spans="1:7" ht="15.75">
      <c r="A1494" t="s">
        <v>7719</v>
      </c>
      <c r="B1494" s="604" t="s">
        <v>8147</v>
      </c>
      <c r="C1494" s="604" t="s">
        <v>8148</v>
      </c>
      <c r="D1494" s="604" t="s">
        <v>8149</v>
      </c>
      <c r="E1494" s="604" t="s">
        <v>8150</v>
      </c>
      <c r="F1494" s="604" t="s">
        <v>1437</v>
      </c>
      <c r="G1494">
        <f>IF(getRGB1($C1494)="FFFFFF",0,1)+IF(getRGB1($D1494)="FFFFFF",0,2)+IF(getRGB1($E1494)="FFFFFF",0,3)+IF(getRGB1($F1494)="FFFFFF",0,4)</f>
        <v>0</v>
      </c>
    </row>
    <row r="1495" spans="1:7" ht="15.75">
      <c r="A1495" t="s">
        <v>7719</v>
      </c>
      <c r="B1495" s="604" t="s">
        <v>8151</v>
      </c>
      <c r="C1495" s="604" t="s">
        <v>8152</v>
      </c>
      <c r="D1495" s="604" t="s">
        <v>8153</v>
      </c>
      <c r="E1495" s="605" t="s">
        <v>7896</v>
      </c>
      <c r="F1495" s="604" t="s">
        <v>1437</v>
      </c>
      <c r="G1495">
        <f>IF(getRGB1($C1495)="FFFFFF",0,1)+IF(getRGB1($D1495)="FFFFFF",0,2)+IF(getRGB1($E1495)="FFFFFF",0,3)+IF(getRGB1($F1495)="FFFFFF",0,4)</f>
        <v>3</v>
      </c>
    </row>
    <row r="1496" spans="1:7" ht="15.75">
      <c r="A1496" t="s">
        <v>7719</v>
      </c>
      <c r="B1496" s="604" t="s">
        <v>8154</v>
      </c>
      <c r="C1496" s="605" t="s">
        <v>8155</v>
      </c>
      <c r="D1496" s="604" t="s">
        <v>8156</v>
      </c>
      <c r="E1496" s="604" t="s">
        <v>8157</v>
      </c>
      <c r="F1496" s="604" t="s">
        <v>1437</v>
      </c>
      <c r="G1496">
        <f>IF(getRGB1($C1496)="FFFFFF",0,1)+IF(getRGB1($D1496)="FFFFFF",0,2)+IF(getRGB1($E1496)="FFFFFF",0,3)+IF(getRGB1($F1496)="FFFFFF",0,4)</f>
        <v>1</v>
      </c>
    </row>
    <row r="1497" spans="1:7" ht="47.25">
      <c r="A1497" t="s">
        <v>7719</v>
      </c>
      <c r="B1497" s="604" t="s">
        <v>8158</v>
      </c>
      <c r="C1497" s="605" t="s">
        <v>8159</v>
      </c>
      <c r="D1497" s="604" t="s">
        <v>8160</v>
      </c>
      <c r="E1497" s="604" t="s">
        <v>7896</v>
      </c>
      <c r="F1497" s="604" t="s">
        <v>1437</v>
      </c>
      <c r="G1497">
        <f>IF(getRGB1($C1497)="FFFFFF",0,1)+IF(getRGB1($D1497)="FFFFFF",0,2)+IF(getRGB1($E1497)="FFFFFF",0,3)+IF(getRGB1($F1497)="FFFFFF",0,4)</f>
        <v>1</v>
      </c>
    </row>
    <row r="1498" spans="1:7" ht="15.75">
      <c r="A1498" t="s">
        <v>7719</v>
      </c>
      <c r="B1498" s="604" t="s">
        <v>8161</v>
      </c>
      <c r="C1498" s="604" t="s">
        <v>8162</v>
      </c>
      <c r="D1498" s="605" t="s">
        <v>8163</v>
      </c>
      <c r="E1498" s="604" t="s">
        <v>7896</v>
      </c>
      <c r="F1498" s="604" t="s">
        <v>1437</v>
      </c>
      <c r="G1498">
        <f>IF(getRGB1($C1498)="FFFFFF",0,1)+IF(getRGB1($D1498)="FFFFFF",0,2)+IF(getRGB1($E1498)="FFFFFF",0,3)+IF(getRGB1($F1498)="FFFFFF",0,4)</f>
        <v>2</v>
      </c>
    </row>
    <row r="1499" spans="1:7" ht="15.75">
      <c r="A1499" t="s">
        <v>7719</v>
      </c>
      <c r="B1499" s="604" t="s">
        <v>8164</v>
      </c>
      <c r="C1499" s="605" t="s">
        <v>8165</v>
      </c>
      <c r="D1499" s="604" t="s">
        <v>8166</v>
      </c>
      <c r="E1499" s="604" t="s">
        <v>8167</v>
      </c>
      <c r="F1499" s="604" t="s">
        <v>5234</v>
      </c>
      <c r="G1499">
        <f>IF(getRGB1($C1499)="FFFFFF",0,1)+IF(getRGB1($D1499)="FFFFFF",0,2)+IF(getRGB1($E1499)="FFFFFF",0,3)+IF(getRGB1($F1499)="FFFFFF",0,4)</f>
        <v>1</v>
      </c>
    </row>
    <row r="1500" spans="1:7" ht="31.5">
      <c r="A1500" t="s">
        <v>7719</v>
      </c>
      <c r="B1500" s="604" t="s">
        <v>8168</v>
      </c>
      <c r="C1500" s="604" t="s">
        <v>8169</v>
      </c>
      <c r="D1500" s="604" t="s">
        <v>8170</v>
      </c>
      <c r="E1500" s="604" t="s">
        <v>8171</v>
      </c>
      <c r="F1500" s="604" t="s">
        <v>1437</v>
      </c>
      <c r="G1500">
        <f>IF(getRGB1($C1500)="FFFFFF",0,1)+IF(getRGB1($D1500)="FFFFFF",0,2)+IF(getRGB1($E1500)="FFFFFF",0,3)+IF(getRGB1($F1500)="FFFFFF",0,4)</f>
        <v>0</v>
      </c>
    </row>
    <row r="1501" spans="1:7" ht="31.5">
      <c r="A1501" t="s">
        <v>7719</v>
      </c>
      <c r="B1501" s="604" t="s">
        <v>8172</v>
      </c>
      <c r="C1501" s="604" t="s">
        <v>8173</v>
      </c>
      <c r="D1501" s="604" t="s">
        <v>8174</v>
      </c>
      <c r="E1501" s="604" t="s">
        <v>8175</v>
      </c>
      <c r="F1501" s="604" t="s">
        <v>1437</v>
      </c>
      <c r="G1501">
        <f>IF(getRGB1($C1501)="FFFFFF",0,1)+IF(getRGB1($D1501)="FFFFFF",0,2)+IF(getRGB1($E1501)="FFFFFF",0,3)+IF(getRGB1($F1501)="FFFFFF",0,4)</f>
        <v>0</v>
      </c>
    </row>
    <row r="1502" spans="1:7" ht="31.5">
      <c r="A1502" t="s">
        <v>7719</v>
      </c>
      <c r="B1502" s="604" t="s">
        <v>8176</v>
      </c>
      <c r="C1502" s="604" t="s">
        <v>8177</v>
      </c>
      <c r="D1502" s="605" t="s">
        <v>8178</v>
      </c>
      <c r="E1502" s="604" t="s">
        <v>8179</v>
      </c>
      <c r="F1502" s="604" t="s">
        <v>8180</v>
      </c>
      <c r="G1502">
        <f>IF(getRGB1($C1502)="FFFFFF",0,1)+IF(getRGB1($D1502)="FFFFFF",0,2)+IF(getRGB1($E1502)="FFFFFF",0,3)+IF(getRGB1($F1502)="FFFFFF",0,4)</f>
        <v>2</v>
      </c>
    </row>
    <row r="1503" spans="1:7" ht="15.75">
      <c r="A1503" t="s">
        <v>7719</v>
      </c>
      <c r="B1503" s="604" t="s">
        <v>8181</v>
      </c>
      <c r="C1503" s="604" t="s">
        <v>8182</v>
      </c>
      <c r="D1503" s="605" t="s">
        <v>8183</v>
      </c>
      <c r="E1503" s="604" t="s">
        <v>8184</v>
      </c>
      <c r="F1503" s="604" t="s">
        <v>8185</v>
      </c>
      <c r="G1503">
        <f>IF(getRGB1($C1503)="FFFFFF",0,1)+IF(getRGB1($D1503)="FFFFFF",0,2)+IF(getRGB1($E1503)="FFFFFF",0,3)+IF(getRGB1($F1503)="FFFFFF",0,4)</f>
        <v>2</v>
      </c>
    </row>
    <row r="1504" spans="1:7" ht="31.5">
      <c r="A1504" t="s">
        <v>7719</v>
      </c>
      <c r="B1504" s="604" t="s">
        <v>8186</v>
      </c>
      <c r="C1504" s="604" t="s">
        <v>8187</v>
      </c>
      <c r="D1504" s="604" t="s">
        <v>8188</v>
      </c>
      <c r="E1504" s="605" t="s">
        <v>8189</v>
      </c>
      <c r="F1504" s="604" t="s">
        <v>8185</v>
      </c>
      <c r="G1504">
        <f>IF(getRGB1($C1504)="FFFFFF",0,1)+IF(getRGB1($D1504)="FFFFFF",0,2)+IF(getRGB1($E1504)="FFFFFF",0,3)+IF(getRGB1($F1504)="FFFFFF",0,4)</f>
        <v>3</v>
      </c>
    </row>
    <row r="1505" spans="1:7" ht="63">
      <c r="A1505" t="s">
        <v>7719</v>
      </c>
      <c r="B1505" s="604" t="s">
        <v>8190</v>
      </c>
      <c r="C1505" s="604" t="s">
        <v>8191</v>
      </c>
      <c r="D1505" s="604" t="s">
        <v>8192</v>
      </c>
      <c r="E1505" s="605" t="s">
        <v>8193</v>
      </c>
      <c r="F1505" s="604" t="s">
        <v>8185</v>
      </c>
      <c r="G1505">
        <f>IF(getRGB1($C1505)="FFFFFF",0,1)+IF(getRGB1($D1505)="FFFFFF",0,2)+IF(getRGB1($E1505)="FFFFFF",0,3)+IF(getRGB1($F1505)="FFFFFF",0,4)</f>
        <v>3</v>
      </c>
    </row>
    <row r="1506" spans="1:7" ht="31.5">
      <c r="A1506" t="s">
        <v>7719</v>
      </c>
      <c r="B1506" s="604" t="s">
        <v>8194</v>
      </c>
      <c r="C1506" s="604" t="s">
        <v>8195</v>
      </c>
      <c r="D1506" s="604" t="s">
        <v>8196</v>
      </c>
      <c r="E1506" s="604" t="s">
        <v>8197</v>
      </c>
      <c r="F1506" s="605" t="s">
        <v>8198</v>
      </c>
      <c r="G1506">
        <f>IF(getRGB1($C1506)="FFFFFF",0,1)+IF(getRGB1($D1506)="FFFFFF",0,2)+IF(getRGB1($E1506)="FFFFFF",0,3)+IF(getRGB1($F1506)="FFFFFF",0,4)</f>
        <v>4</v>
      </c>
    </row>
    <row r="1507" spans="1:7" ht="15.75">
      <c r="A1507" t="s">
        <v>7719</v>
      </c>
      <c r="B1507" s="604" t="s">
        <v>8199</v>
      </c>
      <c r="C1507" s="604" t="s">
        <v>8200</v>
      </c>
      <c r="D1507" s="604" t="s">
        <v>8201</v>
      </c>
      <c r="E1507" s="604" t="s">
        <v>8202</v>
      </c>
      <c r="F1507" s="604" t="s">
        <v>8203</v>
      </c>
      <c r="G1507">
        <f>IF(getRGB1($C1507)="FFFFFF",0,1)+IF(getRGB1($D1507)="FFFFFF",0,2)+IF(getRGB1($E1507)="FFFFFF",0,3)+IF(getRGB1($F1507)="FFFFFF",0,4)</f>
        <v>0</v>
      </c>
    </row>
    <row r="1508" spans="1:7" ht="47.25">
      <c r="A1508" t="s">
        <v>7719</v>
      </c>
      <c r="B1508" s="604" t="s">
        <v>8204</v>
      </c>
      <c r="C1508" s="604" t="s">
        <v>8205</v>
      </c>
      <c r="D1508" s="604" t="s">
        <v>8206</v>
      </c>
      <c r="E1508" s="604" t="s">
        <v>8207</v>
      </c>
      <c r="F1508" s="605" t="s">
        <v>3313</v>
      </c>
      <c r="G1508">
        <f>IF(getRGB1($C1508)="FFFFFF",0,1)+IF(getRGB1($D1508)="FFFFFF",0,2)+IF(getRGB1($E1508)="FFFFFF",0,3)+IF(getRGB1($F1508)="FFFFFF",0,4)</f>
        <v>4</v>
      </c>
    </row>
    <row r="1509" spans="1:7" ht="31.5">
      <c r="A1509" t="s">
        <v>7719</v>
      </c>
      <c r="B1509" s="604" t="s">
        <v>8208</v>
      </c>
      <c r="C1509" s="604" t="s">
        <v>8209</v>
      </c>
      <c r="D1509" s="605" t="s">
        <v>8210</v>
      </c>
      <c r="E1509" s="604" t="s">
        <v>3979</v>
      </c>
      <c r="F1509" s="604" t="s">
        <v>8211</v>
      </c>
      <c r="G1509">
        <f>IF(getRGB1($C1509)="FFFFFF",0,1)+IF(getRGB1($D1509)="FFFFFF",0,2)+IF(getRGB1($E1509)="FFFFFF",0,3)+IF(getRGB1($F1509)="FFFFFF",0,4)</f>
        <v>2</v>
      </c>
    </row>
    <row r="1510" spans="1:7" ht="31.5">
      <c r="A1510" t="s">
        <v>7719</v>
      </c>
      <c r="B1510" s="604" t="s">
        <v>8712</v>
      </c>
      <c r="C1510" s="605" t="s">
        <v>8212</v>
      </c>
      <c r="D1510" s="724" t="s">
        <v>8213</v>
      </c>
      <c r="E1510" s="604" t="s">
        <v>8214</v>
      </c>
      <c r="F1510" s="604" t="s">
        <v>209</v>
      </c>
      <c r="G1510">
        <f>IF(getRGB1($C1510)="FFFFFF",0,1)+IF(getRGB1($D1510)="FFFFFF",0,2)+IF(getRGB1($E1510)="FFFFFF",0,3)+IF(getRGB1($F1510)="FFFFFF",0,4)</f>
        <v>1</v>
      </c>
    </row>
    <row r="1511" spans="1:7" ht="15.75">
      <c r="A1511" t="s">
        <v>7719</v>
      </c>
      <c r="B1511" s="604" t="s">
        <v>8215</v>
      </c>
      <c r="C1511" s="604" t="s">
        <v>8216</v>
      </c>
      <c r="D1511" s="605" t="s">
        <v>8217</v>
      </c>
      <c r="E1511" s="724" t="s">
        <v>8218</v>
      </c>
      <c r="F1511" s="604" t="s">
        <v>8219</v>
      </c>
      <c r="G1511">
        <f>IF(getRGB1($C1511)="FFFFFF",0,1)+IF(getRGB1($D1511)="FFFFFF",0,2)+IF(getRGB1($E1511)="FFFFFF",0,3)+IF(getRGB1($F1511)="FFFFFF",0,4)</f>
        <v>2</v>
      </c>
    </row>
    <row r="1512" spans="1:7" ht="15.75">
      <c r="A1512" t="s">
        <v>7719</v>
      </c>
      <c r="B1512" s="604" t="s">
        <v>8220</v>
      </c>
      <c r="C1512" s="604" t="s">
        <v>8221</v>
      </c>
      <c r="D1512" s="604" t="s">
        <v>8222</v>
      </c>
      <c r="E1512" s="605" t="s">
        <v>8223</v>
      </c>
      <c r="F1512" s="604" t="s">
        <v>8224</v>
      </c>
      <c r="G1512">
        <f>IF(getRGB1($C1512)="FFFFFF",0,1)+IF(getRGB1($D1512)="FFFFFF",0,2)+IF(getRGB1($E1512)="FFFFFF",0,3)+IF(getRGB1($F1512)="FFFFFF",0,4)</f>
        <v>3</v>
      </c>
    </row>
    <row r="1513" spans="1:7" ht="47.25">
      <c r="A1513" t="s">
        <v>7719</v>
      </c>
      <c r="B1513" s="604" t="s">
        <v>8225</v>
      </c>
      <c r="C1513" s="604" t="s">
        <v>8226</v>
      </c>
      <c r="D1513" s="605" t="s">
        <v>8227</v>
      </c>
      <c r="E1513" s="604" t="s">
        <v>8228</v>
      </c>
      <c r="F1513" s="604" t="s">
        <v>8229</v>
      </c>
      <c r="G1513">
        <f>IF(getRGB1($C1513)="FFFFFF",0,1)+IF(getRGB1($D1513)="FFFFFF",0,2)+IF(getRGB1($E1513)="FFFFFF",0,3)+IF(getRGB1($F1513)="FFFFFF",0,4)</f>
        <v>2</v>
      </c>
    </row>
    <row r="1514" spans="1:7" ht="15.75">
      <c r="A1514" t="s">
        <v>7719</v>
      </c>
      <c r="B1514" s="604" t="s">
        <v>8230</v>
      </c>
      <c r="C1514" s="605" t="s">
        <v>8231</v>
      </c>
      <c r="D1514" s="604" t="s">
        <v>8232</v>
      </c>
      <c r="E1514" s="604" t="s">
        <v>8233</v>
      </c>
      <c r="F1514" s="604" t="s">
        <v>8224</v>
      </c>
      <c r="G1514">
        <f>IF(getRGB1($C1514)="FFFFFF",0,1)+IF(getRGB1($D1514)="FFFFFF",0,2)+IF(getRGB1($E1514)="FFFFFF",0,3)+IF(getRGB1($F1514)="FFFFFF",0,4)</f>
        <v>1</v>
      </c>
    </row>
    <row r="1515" spans="1:7" ht="15.75">
      <c r="A1515" t="s">
        <v>7719</v>
      </c>
      <c r="B1515" s="604" t="s">
        <v>8234</v>
      </c>
      <c r="C1515" s="604" t="s">
        <v>8235</v>
      </c>
      <c r="D1515" s="604" t="s">
        <v>8236</v>
      </c>
      <c r="E1515" s="604" t="s">
        <v>8237</v>
      </c>
      <c r="F1515" s="605" t="s">
        <v>3313</v>
      </c>
      <c r="G1515">
        <f>IF(getRGB1($C1515)="FFFFFF",0,1)+IF(getRGB1($D1515)="FFFFFF",0,2)+IF(getRGB1($E1515)="FFFFFF",0,3)+IF(getRGB1($F1515)="FFFFFF",0,4)</f>
        <v>4</v>
      </c>
    </row>
    <row r="1516" spans="1:7" ht="78.75">
      <c r="A1516" t="s">
        <v>7719</v>
      </c>
      <c r="B1516" s="604" t="s">
        <v>8238</v>
      </c>
      <c r="C1516" s="604" t="s">
        <v>8239</v>
      </c>
      <c r="D1516" s="604" t="s">
        <v>8240</v>
      </c>
      <c r="E1516" s="605" t="s">
        <v>8241</v>
      </c>
      <c r="F1516" s="604" t="s">
        <v>8242</v>
      </c>
      <c r="G1516">
        <f>IF(getRGB1($C1516)="FFFFFF",0,1)+IF(getRGB1($D1516)="FFFFFF",0,2)+IF(getRGB1($E1516)="FFFFFF",0,3)+IF(getRGB1($F1516)="FFFFFF",0,4)</f>
        <v>3</v>
      </c>
    </row>
    <row r="1517" spans="1:7" ht="31.5">
      <c r="A1517" t="s">
        <v>7719</v>
      </c>
      <c r="B1517" s="604" t="s">
        <v>8243</v>
      </c>
      <c r="C1517" s="604">
        <v>64</v>
      </c>
      <c r="D1517" s="604">
        <v>127</v>
      </c>
      <c r="E1517" s="604">
        <v>128</v>
      </c>
      <c r="F1517" s="604">
        <v>256</v>
      </c>
      <c r="G1517">
        <f>IF(getRGB1($C1517)="FFFFFF",0,1)+IF(getRGB1($D1517)="FFFFFF",0,2)+IF(getRGB1($E1517)="FFFFFF",0,3)+IF(getRGB1($F1517)="FFFFFF",0,4)</f>
        <v>0</v>
      </c>
    </row>
    <row r="1518" spans="1:7" ht="31.5">
      <c r="A1518" t="s">
        <v>7719</v>
      </c>
      <c r="B1518" s="604" t="s">
        <v>8244</v>
      </c>
      <c r="C1518" s="604" t="s">
        <v>8245</v>
      </c>
      <c r="D1518" s="605" t="s">
        <v>8246</v>
      </c>
      <c r="E1518" s="604" t="s">
        <v>8247</v>
      </c>
      <c r="F1518" s="604" t="s">
        <v>8248</v>
      </c>
      <c r="G1518">
        <f>IF(getRGB1($C1518)="FFFFFF",0,1)+IF(getRGB1($D1518)="FFFFFF",0,2)+IF(getRGB1($E1518)="FFFFFF",0,3)+IF(getRGB1($F1518)="FFFFFF",0,4)</f>
        <v>2</v>
      </c>
    </row>
    <row r="1519" spans="1:7" ht="31.5">
      <c r="A1519" t="s">
        <v>7719</v>
      </c>
      <c r="B1519" s="604" t="s">
        <v>8249</v>
      </c>
      <c r="C1519" s="604" t="s">
        <v>8250</v>
      </c>
      <c r="D1519" s="604" t="s">
        <v>8251</v>
      </c>
      <c r="E1519" s="604" t="s">
        <v>8252</v>
      </c>
      <c r="F1519" s="605" t="s">
        <v>8253</v>
      </c>
      <c r="G1519">
        <f>IF(getRGB1($C1519)="FFFFFF",0,1)+IF(getRGB1($D1519)="FFFFFF",0,2)+IF(getRGB1($E1519)="FFFFFF",0,3)+IF(getRGB1($F1519)="FFFFFF",0,4)</f>
        <v>4</v>
      </c>
    </row>
    <row r="1520" spans="1:7" ht="31.5">
      <c r="A1520" t="s">
        <v>7719</v>
      </c>
      <c r="B1520" s="604" t="s">
        <v>8254</v>
      </c>
      <c r="C1520" s="604" t="s">
        <v>8255</v>
      </c>
      <c r="D1520" s="604" t="s">
        <v>8256</v>
      </c>
      <c r="E1520" s="604" t="s">
        <v>8257</v>
      </c>
      <c r="F1520" s="605" t="s">
        <v>8258</v>
      </c>
      <c r="G1520">
        <f>IF(getRGB1($C1520)="FFFFFF",0,1)+IF(getRGB1($D1520)="FFFFFF",0,2)+IF(getRGB1($E1520)="FFFFFF",0,3)+IF(getRGB1($F1520)="FFFFFF",0,4)</f>
        <v>4</v>
      </c>
    </row>
    <row r="1521" spans="1:7" ht="15.75">
      <c r="A1521" t="s">
        <v>7719</v>
      </c>
      <c r="B1521" s="604" t="s">
        <v>8259</v>
      </c>
      <c r="C1521" s="605" t="s">
        <v>8260</v>
      </c>
      <c r="D1521" s="604" t="s">
        <v>8261</v>
      </c>
      <c r="E1521" s="604" t="s">
        <v>8262</v>
      </c>
      <c r="F1521" s="604" t="s">
        <v>8263</v>
      </c>
      <c r="G1521">
        <f>IF(getRGB1($C1521)="FFFFFF",0,1)+IF(getRGB1($D1521)="FFFFFF",0,2)+IF(getRGB1($E1521)="FFFFFF",0,3)+IF(getRGB1($F1521)="FFFFFF",0,4)</f>
        <v>1</v>
      </c>
    </row>
    <row r="1522" spans="1:7" ht="31.5">
      <c r="A1522" t="s">
        <v>7719</v>
      </c>
      <c r="B1522" s="604" t="s">
        <v>8264</v>
      </c>
      <c r="C1522" s="604" t="s">
        <v>8265</v>
      </c>
      <c r="D1522" s="604" t="s">
        <v>8266</v>
      </c>
      <c r="E1522" s="605" t="s">
        <v>8258</v>
      </c>
      <c r="F1522" s="604" t="s">
        <v>8267</v>
      </c>
      <c r="G1522">
        <f>IF(getRGB1($C1522)="FFFFFF",0,1)+IF(getRGB1($D1522)="FFFFFF",0,2)+IF(getRGB1($E1522)="FFFFFF",0,3)+IF(getRGB1($F1522)="FFFFFF",0,4)</f>
        <v>3</v>
      </c>
    </row>
    <row r="1523" spans="1:7" ht="31.5">
      <c r="A1523" t="s">
        <v>7719</v>
      </c>
      <c r="B1523" s="604" t="s">
        <v>8268</v>
      </c>
      <c r="C1523" s="605" t="s">
        <v>8269</v>
      </c>
      <c r="D1523" s="604" t="s">
        <v>8270</v>
      </c>
      <c r="E1523" s="604" t="s">
        <v>8271</v>
      </c>
      <c r="F1523" s="604" t="s">
        <v>8272</v>
      </c>
      <c r="G1523">
        <f>IF(getRGB1($C1523)="FFFFFF",0,1)+IF(getRGB1($D1523)="FFFFFF",0,2)+IF(getRGB1($E1523)="FFFFFF",0,3)+IF(getRGB1($F1523)="FFFFFF",0,4)</f>
        <v>1</v>
      </c>
    </row>
    <row r="1524" spans="1:7" ht="31.5">
      <c r="A1524" t="s">
        <v>7719</v>
      </c>
      <c r="B1524" s="604" t="s">
        <v>8273</v>
      </c>
      <c r="C1524" s="724" t="s">
        <v>8274</v>
      </c>
      <c r="D1524" s="604" t="s">
        <v>8275</v>
      </c>
      <c r="E1524" s="605" t="s">
        <v>8266</v>
      </c>
      <c r="F1524" s="604" t="s">
        <v>7740</v>
      </c>
      <c r="G1524">
        <f>IF(getRGB1($C1524)="FFFFFF",0,1)+IF(getRGB1($D1524)="FFFFFF",0,2)+IF(getRGB1($E1524)="FFFFFF",0,3)+IF(getRGB1($F1524)="FFFFFF",0,4)</f>
        <v>3</v>
      </c>
    </row>
    <row r="1525" spans="1:7" ht="15.75">
      <c r="A1525" t="s">
        <v>7719</v>
      </c>
      <c r="B1525" s="604" t="s">
        <v>8276</v>
      </c>
      <c r="C1525" s="604" t="s">
        <v>8277</v>
      </c>
      <c r="D1525" s="604" t="s">
        <v>8278</v>
      </c>
      <c r="E1525" s="605" t="s">
        <v>8279</v>
      </c>
      <c r="F1525" s="604" t="s">
        <v>8280</v>
      </c>
      <c r="G1525">
        <f>IF(getRGB1($C1525)="FFFFFF",0,1)+IF(getRGB1($D1525)="FFFFFF",0,2)+IF(getRGB1($E1525)="FFFFFF",0,3)+IF(getRGB1($F1525)="FFFFFF",0,4)</f>
        <v>3</v>
      </c>
    </row>
    <row r="1526" spans="1:7" ht="31.5">
      <c r="A1526" t="s">
        <v>7719</v>
      </c>
      <c r="B1526" s="604" t="s">
        <v>8281</v>
      </c>
      <c r="C1526" s="604" t="s">
        <v>8282</v>
      </c>
      <c r="D1526" s="605" t="s">
        <v>8283</v>
      </c>
      <c r="E1526" s="724" t="s">
        <v>8284</v>
      </c>
      <c r="F1526" s="604" t="s">
        <v>8285</v>
      </c>
      <c r="G1526">
        <f>IF(getRGB1($C1526)="FFFFFF",0,1)+IF(getRGB1($D1526)="FFFFFF",0,2)+IF(getRGB1($E1526)="FFFFFF",0,3)+IF(getRGB1($F1526)="FFFFFF",0,4)</f>
        <v>2</v>
      </c>
    </row>
    <row r="1527" spans="1:7" ht="15.75">
      <c r="A1527" t="s">
        <v>7719</v>
      </c>
      <c r="B1527" s="604" t="s">
        <v>8286</v>
      </c>
      <c r="C1527" s="605" t="s">
        <v>8287</v>
      </c>
      <c r="D1527" s="604" t="s">
        <v>8288</v>
      </c>
      <c r="E1527" s="604" t="s">
        <v>8289</v>
      </c>
      <c r="F1527" s="604" t="s">
        <v>8290</v>
      </c>
      <c r="G1527">
        <f>IF(getRGB1($C1527)="FFFFFF",0,1)+IF(getRGB1($D1527)="FFFFFF",0,2)+IF(getRGB1($E1527)="FFFFFF",0,3)+IF(getRGB1($F1527)="FFFFFF",0,4)</f>
        <v>1</v>
      </c>
    </row>
    <row r="1528" spans="1:7" ht="31.5">
      <c r="A1528" t="s">
        <v>7719</v>
      </c>
      <c r="B1528" s="604" t="s">
        <v>8291</v>
      </c>
      <c r="C1528" s="604" t="s">
        <v>8292</v>
      </c>
      <c r="D1528" s="605" t="s">
        <v>8293</v>
      </c>
      <c r="E1528" s="604" t="s">
        <v>8294</v>
      </c>
      <c r="F1528" s="604" t="s">
        <v>8295</v>
      </c>
      <c r="G1528">
        <f>IF(getRGB1($C1528)="FFFFFF",0,1)+IF(getRGB1($D1528)="FFFFFF",0,2)+IF(getRGB1($E1528)="FFFFFF",0,3)+IF(getRGB1($F1528)="FFFFFF",0,4)</f>
        <v>2</v>
      </c>
    </row>
    <row r="1529" spans="1:7" ht="31.5">
      <c r="A1529" t="s">
        <v>7719</v>
      </c>
      <c r="B1529" s="604" t="s">
        <v>8296</v>
      </c>
      <c r="C1529" s="604" t="s">
        <v>8297</v>
      </c>
      <c r="D1529" s="604" t="s">
        <v>8298</v>
      </c>
      <c r="E1529" s="604" t="s">
        <v>8299</v>
      </c>
      <c r="F1529" s="605" t="s">
        <v>8300</v>
      </c>
      <c r="G1529">
        <f>IF(getRGB1($C1529)="FFFFFF",0,1)+IF(getRGB1($D1529)="FFFFFF",0,2)+IF(getRGB1($E1529)="FFFFFF",0,3)+IF(getRGB1($F1529)="FFFFFF",0,4)</f>
        <v>4</v>
      </c>
    </row>
    <row r="1530" spans="1:7" ht="15.75">
      <c r="A1530" t="s">
        <v>7719</v>
      </c>
      <c r="B1530" s="604" t="s">
        <v>8301</v>
      </c>
      <c r="C1530" s="604" t="s">
        <v>8302</v>
      </c>
      <c r="D1530" s="605" t="s">
        <v>8303</v>
      </c>
      <c r="E1530" s="604" t="s">
        <v>8304</v>
      </c>
      <c r="F1530" s="604" t="s">
        <v>8305</v>
      </c>
      <c r="G1530">
        <f>IF(getRGB1($C1530)="FFFFFF",0,1)+IF(getRGB1($D1530)="FFFFFF",0,2)+IF(getRGB1($E1530)="FFFFFF",0,3)+IF(getRGB1($F1530)="FFFFFF",0,4)</f>
        <v>2</v>
      </c>
    </row>
    <row r="1531" spans="1:7" ht="15.75">
      <c r="A1531" t="s">
        <v>7719</v>
      </c>
      <c r="B1531" s="604" t="s">
        <v>8306</v>
      </c>
      <c r="C1531" s="604" t="s">
        <v>8307</v>
      </c>
      <c r="D1531" s="605" t="s">
        <v>8308</v>
      </c>
      <c r="E1531" s="724" t="s">
        <v>8309</v>
      </c>
      <c r="F1531" s="604" t="s">
        <v>8310</v>
      </c>
      <c r="G1531">
        <f>IF(getRGB1($C1531)="FFFFFF",0,1)+IF(getRGB1($D1531)="FFFFFF",0,2)+IF(getRGB1($E1531)="FFFFFF",0,3)+IF(getRGB1($F1531)="FFFFFF",0,4)</f>
        <v>2</v>
      </c>
    </row>
    <row r="1532" spans="1:7" ht="15.75">
      <c r="A1532" t="s">
        <v>7719</v>
      </c>
      <c r="B1532" s="604" t="s">
        <v>8311</v>
      </c>
      <c r="C1532" s="604" t="s">
        <v>8307</v>
      </c>
      <c r="D1532" s="605" t="s">
        <v>8312</v>
      </c>
      <c r="E1532" s="604" t="s">
        <v>8313</v>
      </c>
      <c r="F1532" s="604" t="s">
        <v>8314</v>
      </c>
      <c r="G1532">
        <f>IF(getRGB1($C1532)="FFFFFF",0,1)+IF(getRGB1($D1532)="FFFFFF",0,2)+IF(getRGB1($E1532)="FFFFFF",0,3)+IF(getRGB1($F1532)="FFFFFF",0,4)</f>
        <v>2</v>
      </c>
    </row>
    <row r="1533" spans="1:7" ht="31.5">
      <c r="A1533" t="s">
        <v>7719</v>
      </c>
      <c r="B1533" s="604" t="s">
        <v>8315</v>
      </c>
      <c r="C1533" s="605" t="s">
        <v>8316</v>
      </c>
      <c r="D1533" s="604" t="s">
        <v>8317</v>
      </c>
      <c r="E1533" s="604" t="s">
        <v>8318</v>
      </c>
      <c r="F1533" s="604" t="s">
        <v>8319</v>
      </c>
      <c r="G1533">
        <f>IF(getRGB1($C1533)="FFFFFF",0,1)+IF(getRGB1($D1533)="FFFFFF",0,2)+IF(getRGB1($E1533)="FFFFFF",0,3)+IF(getRGB1($F1533)="FFFFFF",0,4)</f>
        <v>1</v>
      </c>
    </row>
    <row r="1534" spans="1:7" ht="15.75">
      <c r="A1534" t="s">
        <v>7719</v>
      </c>
      <c r="B1534" s="604" t="s">
        <v>8320</v>
      </c>
      <c r="C1534" s="604" t="s">
        <v>8321</v>
      </c>
      <c r="D1534" s="605" t="s">
        <v>8260</v>
      </c>
      <c r="E1534" s="604" t="s">
        <v>8322</v>
      </c>
      <c r="F1534" s="604" t="s">
        <v>8323</v>
      </c>
      <c r="G1534">
        <f>IF(getRGB1($C1534)="FFFFFF",0,1)+IF(getRGB1($D1534)="FFFFFF",0,2)+IF(getRGB1($E1534)="FFFFFF",0,3)+IF(getRGB1($F1534)="FFFFFF",0,4)</f>
        <v>2</v>
      </c>
    </row>
    <row r="1535" spans="1:7" ht="31.5">
      <c r="A1535" t="s">
        <v>7719</v>
      </c>
      <c r="B1535" s="604" t="s">
        <v>8324</v>
      </c>
      <c r="C1535" s="604" t="s">
        <v>8325</v>
      </c>
      <c r="D1535" s="604" t="s">
        <v>8326</v>
      </c>
      <c r="E1535" s="604" t="s">
        <v>8327</v>
      </c>
      <c r="F1535" s="605" t="s">
        <v>8328</v>
      </c>
      <c r="G1535">
        <f>IF(getRGB1($C1535)="FFFFFF",0,1)+IF(getRGB1($D1535)="FFFFFF",0,2)+IF(getRGB1($E1535)="FFFFFF",0,3)+IF(getRGB1($F1535)="FFFFFF",0,4)</f>
        <v>4</v>
      </c>
    </row>
    <row r="1536" spans="1:7" ht="31.5">
      <c r="A1536" t="s">
        <v>7719</v>
      </c>
      <c r="B1536" s="604" t="s">
        <v>8329</v>
      </c>
      <c r="C1536" s="604" t="s">
        <v>8330</v>
      </c>
      <c r="D1536" s="605" t="s">
        <v>8331</v>
      </c>
      <c r="E1536" s="604" t="s">
        <v>8332</v>
      </c>
      <c r="F1536" s="604" t="s">
        <v>1363</v>
      </c>
      <c r="G1536">
        <f>IF(getRGB1($C1536)="FFFFFF",0,1)+IF(getRGB1($D1536)="FFFFFF",0,2)+IF(getRGB1($E1536)="FFFFFF",0,3)+IF(getRGB1($F1536)="FFFFFF",0,4)</f>
        <v>2</v>
      </c>
    </row>
    <row r="1537" spans="1:7" ht="31.5">
      <c r="A1537" t="s">
        <v>7719</v>
      </c>
      <c r="B1537" s="604" t="s">
        <v>8333</v>
      </c>
      <c r="C1537" s="604" t="s">
        <v>8334</v>
      </c>
      <c r="D1537" s="604" t="s">
        <v>8335</v>
      </c>
      <c r="E1537" s="605" t="s">
        <v>8336</v>
      </c>
      <c r="F1537" s="604" t="s">
        <v>8337</v>
      </c>
      <c r="G1537">
        <f>IF(getRGB1($C1537)="FFFFFF",0,1)+IF(getRGB1($D1537)="FFFFFF",0,2)+IF(getRGB1($E1537)="FFFFFF",0,3)+IF(getRGB1($F1537)="FFFFFF",0,4)</f>
        <v>3</v>
      </c>
    </row>
    <row r="1538" spans="1:7" ht="15.75">
      <c r="A1538" t="s">
        <v>7719</v>
      </c>
      <c r="B1538" s="604" t="s">
        <v>8338</v>
      </c>
      <c r="C1538" s="605" t="s">
        <v>8339</v>
      </c>
      <c r="D1538" s="724" t="s">
        <v>8340</v>
      </c>
      <c r="E1538" s="604" t="s">
        <v>8070</v>
      </c>
      <c r="F1538" s="604" t="s">
        <v>8341</v>
      </c>
      <c r="G1538">
        <f>IF(getRGB1($C1538)="FFFFFF",0,1)+IF(getRGB1($D1538)="FFFFFF",0,2)+IF(getRGB1($E1538)="FFFFFF",0,3)+IF(getRGB1($F1538)="FFFFFF",0,4)</f>
        <v>1</v>
      </c>
    </row>
    <row r="1539" spans="1:7" ht="15.75">
      <c r="A1539" t="s">
        <v>7719</v>
      </c>
      <c r="B1539" s="604" t="s">
        <v>8342</v>
      </c>
      <c r="C1539" s="604" t="s">
        <v>8070</v>
      </c>
      <c r="D1539" s="604" t="s">
        <v>8339</v>
      </c>
      <c r="E1539" s="605" t="s">
        <v>8068</v>
      </c>
      <c r="F1539" s="604" t="s">
        <v>8343</v>
      </c>
      <c r="G1539">
        <f>IF(getRGB1($C1539)="FFFFFF",0,1)+IF(getRGB1($D1539)="FFFFFF",0,2)+IF(getRGB1($E1539)="FFFFFF",0,3)+IF(getRGB1($F1539)="FFFFFF",0,4)</f>
        <v>3</v>
      </c>
    </row>
    <row r="1540" spans="1:7" ht="15.75">
      <c r="A1540" t="s">
        <v>7719</v>
      </c>
      <c r="B1540" s="604" t="s">
        <v>8344</v>
      </c>
      <c r="C1540" s="604" t="s">
        <v>8345</v>
      </c>
      <c r="D1540" s="604" t="s">
        <v>8346</v>
      </c>
      <c r="E1540" s="604" t="s">
        <v>8347</v>
      </c>
      <c r="F1540" s="605" t="s">
        <v>5234</v>
      </c>
      <c r="G1540">
        <f>IF(getRGB1($C1540)="FFFFFF",0,1)+IF(getRGB1($D1540)="FFFFFF",0,2)+IF(getRGB1($E1540)="FFFFFF",0,3)+IF(getRGB1($F1540)="FFFFFF",0,4)</f>
        <v>4</v>
      </c>
    </row>
    <row r="1541" spans="1:7" ht="31.5">
      <c r="A1541" t="s">
        <v>7719</v>
      </c>
      <c r="B1541" s="604" t="s">
        <v>8348</v>
      </c>
      <c r="C1541" s="604" t="s">
        <v>8349</v>
      </c>
      <c r="D1541" s="605" t="s">
        <v>8350</v>
      </c>
      <c r="E1541" s="604" t="s">
        <v>8351</v>
      </c>
      <c r="F1541" s="604" t="s">
        <v>8185</v>
      </c>
      <c r="G1541">
        <f>IF(getRGB1($C1541)="FFFFFF",0,1)+IF(getRGB1($D1541)="FFFFFF",0,2)+IF(getRGB1($E1541)="FFFFFF",0,3)+IF(getRGB1($F1541)="FFFFFF",0,4)</f>
        <v>2</v>
      </c>
    </row>
    <row r="1542" spans="1:7" ht="15.75">
      <c r="A1542" t="s">
        <v>7719</v>
      </c>
      <c r="B1542" s="604" t="s">
        <v>8352</v>
      </c>
      <c r="C1542" s="604" t="s">
        <v>8353</v>
      </c>
      <c r="D1542" s="604" t="s">
        <v>8354</v>
      </c>
      <c r="E1542" s="604" t="s">
        <v>8355</v>
      </c>
      <c r="F1542" s="605" t="s">
        <v>5234</v>
      </c>
      <c r="G1542">
        <f>IF(getRGB1($C1542)="FFFFFF",0,1)+IF(getRGB1($D1542)="FFFFFF",0,2)+IF(getRGB1($E1542)="FFFFFF",0,3)+IF(getRGB1($F1542)="FFFFFF",0,4)</f>
        <v>4</v>
      </c>
    </row>
    <row r="1543" spans="1:7" ht="15.75">
      <c r="A1543" t="s">
        <v>7719</v>
      </c>
      <c r="B1543" s="604" t="s">
        <v>8356</v>
      </c>
      <c r="C1543" s="604" t="s">
        <v>8357</v>
      </c>
      <c r="D1543" s="604" t="s">
        <v>8358</v>
      </c>
      <c r="E1543" s="604" t="s">
        <v>8359</v>
      </c>
      <c r="F1543" s="605" t="s">
        <v>5234</v>
      </c>
      <c r="G1543">
        <f>IF(getRGB1($C1543)="FFFFFF",0,1)+IF(getRGB1($D1543)="FFFFFF",0,2)+IF(getRGB1($E1543)="FFFFFF",0,3)+IF(getRGB1($F1543)="FFFFFF",0,4)</f>
        <v>4</v>
      </c>
    </row>
    <row r="1544" spans="1:7" ht="15.75">
      <c r="A1544" t="s">
        <v>7719</v>
      </c>
      <c r="B1544" s="604" t="s">
        <v>8360</v>
      </c>
      <c r="C1544" s="604" t="s">
        <v>8076</v>
      </c>
      <c r="D1544" s="604" t="s">
        <v>8361</v>
      </c>
      <c r="E1544" s="605" t="s">
        <v>8362</v>
      </c>
      <c r="F1544" s="604" t="s">
        <v>8363</v>
      </c>
      <c r="G1544">
        <f>IF(getRGB1($C1544)="FFFFFF",0,1)+IF(getRGB1($D1544)="FFFFFF",0,2)+IF(getRGB1($E1544)="FFFFFF",0,3)+IF(getRGB1($F1544)="FFFFFF",0,4)</f>
        <v>3</v>
      </c>
    </row>
    <row r="1545" spans="1:7" ht="15.75">
      <c r="A1545" t="s">
        <v>7719</v>
      </c>
      <c r="B1545" s="604" t="s">
        <v>8364</v>
      </c>
      <c r="C1545" s="604" t="s">
        <v>8365</v>
      </c>
      <c r="D1545" s="604" t="s">
        <v>8366</v>
      </c>
      <c r="E1545" s="605" t="s">
        <v>8367</v>
      </c>
      <c r="F1545" s="604" t="s">
        <v>8368</v>
      </c>
      <c r="G1545">
        <f>IF(getRGB1($C1545)="FFFFFF",0,1)+IF(getRGB1($D1545)="FFFFFF",0,2)+IF(getRGB1($E1545)="FFFFFF",0,3)+IF(getRGB1($F1545)="FFFFFF",0,4)</f>
        <v>3</v>
      </c>
    </row>
    <row r="1546" spans="1:7" ht="15.75">
      <c r="A1546" t="s">
        <v>7719</v>
      </c>
      <c r="B1546" s="604" t="s">
        <v>8369</v>
      </c>
      <c r="C1546" s="604" t="s">
        <v>8076</v>
      </c>
      <c r="D1546" s="604" t="s">
        <v>8370</v>
      </c>
      <c r="E1546" s="605" t="s">
        <v>8371</v>
      </c>
      <c r="F1546" s="604" t="s">
        <v>8372</v>
      </c>
      <c r="G1546">
        <f>IF(getRGB1($C1546)="FFFFFF",0,1)+IF(getRGB1($D1546)="FFFFFF",0,2)+IF(getRGB1($E1546)="FFFFFF",0,3)+IF(getRGB1($F1546)="FFFFFF",0,4)</f>
        <v>3</v>
      </c>
    </row>
    <row r="1547" spans="1:7" ht="31.5">
      <c r="A1547" t="s">
        <v>7719</v>
      </c>
      <c r="B1547" s="604" t="s">
        <v>8373</v>
      </c>
      <c r="C1547" s="604" t="s">
        <v>8374</v>
      </c>
      <c r="D1547" s="604" t="s">
        <v>8375</v>
      </c>
      <c r="E1547" s="604" t="s">
        <v>8376</v>
      </c>
      <c r="F1547" s="605" t="s">
        <v>8377</v>
      </c>
      <c r="G1547">
        <f>IF(getRGB1($C1547)="FFFFFF",0,1)+IF(getRGB1($D1547)="FFFFFF",0,2)+IF(getRGB1($E1547)="FFFFFF",0,3)+IF(getRGB1($F1547)="FFFFFF",0,4)</f>
        <v>4</v>
      </c>
    </row>
    <row r="1548" spans="1:7" ht="31.5">
      <c r="A1548" t="s">
        <v>7719</v>
      </c>
      <c r="B1548" s="604" t="s">
        <v>8378</v>
      </c>
      <c r="C1548" s="604" t="s">
        <v>8379</v>
      </c>
      <c r="D1548" s="605" t="s">
        <v>8380</v>
      </c>
      <c r="E1548" s="604" t="s">
        <v>8381</v>
      </c>
      <c r="F1548" s="604" t="s">
        <v>8382</v>
      </c>
      <c r="G1548">
        <f>IF(getRGB1($C1548)="FFFFFF",0,1)+IF(getRGB1($D1548)="FFFFFF",0,2)+IF(getRGB1($E1548)="FFFFFF",0,3)+IF(getRGB1($F1548)="FFFFFF",0,4)</f>
        <v>2</v>
      </c>
    </row>
    <row r="1549" spans="1:7" ht="31.5">
      <c r="A1549" t="s">
        <v>7719</v>
      </c>
      <c r="B1549" s="604" t="s">
        <v>8383</v>
      </c>
      <c r="C1549" s="604" t="s">
        <v>8384</v>
      </c>
      <c r="D1549" s="604" t="s">
        <v>8385</v>
      </c>
      <c r="E1549" s="604" t="s">
        <v>8386</v>
      </c>
      <c r="F1549" s="605" t="s">
        <v>8387</v>
      </c>
      <c r="G1549">
        <f>IF(getRGB1($C1549)="FFFFFF",0,1)+IF(getRGB1($D1549)="FFFFFF",0,2)+IF(getRGB1($E1549)="FFFFFF",0,3)+IF(getRGB1($F1549)="FFFFFF",0,4)</f>
        <v>4</v>
      </c>
    </row>
    <row r="1550" spans="1:7" ht="15.75">
      <c r="A1550" t="s">
        <v>7719</v>
      </c>
      <c r="B1550" s="604" t="s">
        <v>8713</v>
      </c>
      <c r="C1550" s="604" t="s">
        <v>8076</v>
      </c>
      <c r="D1550" s="605" t="s">
        <v>8367</v>
      </c>
      <c r="E1550" s="604" t="s">
        <v>8388</v>
      </c>
      <c r="F1550" s="604" t="s">
        <v>8389</v>
      </c>
      <c r="G1550">
        <f>IF(getRGB1($C1550)="FFFFFF",0,1)+IF(getRGB1($D1550)="FFFFFF",0,2)+IF(getRGB1($E1550)="FFFFFF",0,3)+IF(getRGB1($F1550)="FFFFFF",0,4)</f>
        <v>2</v>
      </c>
    </row>
    <row r="1551" spans="1:7" ht="15.75">
      <c r="A1551" t="s">
        <v>7719</v>
      </c>
      <c r="B1551" s="604" t="s">
        <v>8390</v>
      </c>
      <c r="C1551" s="604" t="s">
        <v>8391</v>
      </c>
      <c r="D1551" s="605" t="s">
        <v>8392</v>
      </c>
      <c r="E1551" s="604" t="s">
        <v>8393</v>
      </c>
      <c r="F1551" s="724" t="s">
        <v>8394</v>
      </c>
      <c r="G1551">
        <f>IF(getRGB1($C1551)="FFFFFF",0,1)+IF(getRGB1($D1551)="FFFFFF",0,2)+IF(getRGB1($E1551)="FFFFFF",0,3)+IF(getRGB1($F1551)="FFFFFF",0,4)</f>
        <v>2</v>
      </c>
    </row>
    <row r="1552" spans="1:7" ht="94.5">
      <c r="A1552" t="s">
        <v>7719</v>
      </c>
      <c r="B1552" s="604" t="s">
        <v>8395</v>
      </c>
      <c r="C1552" s="604" t="s">
        <v>8396</v>
      </c>
      <c r="D1552" s="605" t="s">
        <v>8397</v>
      </c>
      <c r="E1552" s="604" t="s">
        <v>8398</v>
      </c>
      <c r="F1552" s="604" t="s">
        <v>8399</v>
      </c>
      <c r="G1552">
        <f>IF(getRGB1($C1552)="FFFFFF",0,1)+IF(getRGB1($D1552)="FFFFFF",0,2)+IF(getRGB1($E1552)="FFFFFF",0,3)+IF(getRGB1($F1552)="FFFFFF",0,4)</f>
        <v>2</v>
      </c>
    </row>
    <row r="1553" spans="1:7" ht="31.5">
      <c r="A1553" t="s">
        <v>7719</v>
      </c>
      <c r="B1553" s="604" t="s">
        <v>8400</v>
      </c>
      <c r="C1553" s="604" t="s">
        <v>8401</v>
      </c>
      <c r="D1553" s="605" t="s">
        <v>8402</v>
      </c>
      <c r="E1553" s="604" t="s">
        <v>8403</v>
      </c>
      <c r="F1553" s="604" t="s">
        <v>8404</v>
      </c>
      <c r="G1553">
        <f>IF(getRGB1($C1553)="FFFFFF",0,1)+IF(getRGB1($D1553)="FFFFFF",0,2)+IF(getRGB1($E1553)="FFFFFF",0,3)+IF(getRGB1($F1553)="FFFFFF",0,4)</f>
        <v>2</v>
      </c>
    </row>
    <row r="1554" spans="1:7" ht="47.25">
      <c r="A1554" t="s">
        <v>7719</v>
      </c>
      <c r="B1554" s="604" t="s">
        <v>8405</v>
      </c>
      <c r="C1554" s="604" t="s">
        <v>8406</v>
      </c>
      <c r="D1554" s="604" t="s">
        <v>8407</v>
      </c>
      <c r="E1554" s="604" t="s">
        <v>8408</v>
      </c>
      <c r="F1554" s="605" t="s">
        <v>8409</v>
      </c>
      <c r="G1554">
        <f>IF(getRGB1($C1554)="FFFFFF",0,1)+IF(getRGB1($D1554)="FFFFFF",0,2)+IF(getRGB1($E1554)="FFFFFF",0,3)+IF(getRGB1($F1554)="FFFFFF",0,4)</f>
        <v>4</v>
      </c>
    </row>
    <row r="1555" spans="1:7" ht="31.5">
      <c r="A1555" t="s">
        <v>7719</v>
      </c>
      <c r="B1555" s="604" t="s">
        <v>8410</v>
      </c>
      <c r="C1555" s="604" t="s">
        <v>8411</v>
      </c>
      <c r="D1555" s="605" t="s">
        <v>8412</v>
      </c>
      <c r="E1555" s="604" t="s">
        <v>8413</v>
      </c>
      <c r="F1555" s="604" t="s">
        <v>8414</v>
      </c>
      <c r="G1555">
        <f>IF(getRGB1($C1555)="FFFFFF",0,1)+IF(getRGB1($D1555)="FFFFFF",0,2)+IF(getRGB1($E1555)="FFFFFF",0,3)+IF(getRGB1($F1555)="FFFFFF",0,4)</f>
        <v>2</v>
      </c>
    </row>
    <row r="1556" spans="1:7" ht="31.5">
      <c r="A1556" t="s">
        <v>7719</v>
      </c>
      <c r="B1556" s="604" t="s">
        <v>8415</v>
      </c>
      <c r="C1556" s="605" t="s">
        <v>8416</v>
      </c>
      <c r="D1556" s="604" t="s">
        <v>8417</v>
      </c>
      <c r="E1556" s="604" t="s">
        <v>8418</v>
      </c>
      <c r="F1556" s="604" t="s">
        <v>8419</v>
      </c>
      <c r="G1556">
        <f>IF(getRGB1($C1556)="FFFFFF",0,1)+IF(getRGB1($D1556)="FFFFFF",0,2)+IF(getRGB1($E1556)="FFFFFF",0,3)+IF(getRGB1($F1556)="FFFFFF",0,4)</f>
        <v>1</v>
      </c>
    </row>
    <row r="1557" spans="1:7" ht="15.75">
      <c r="A1557" t="s">
        <v>7719</v>
      </c>
      <c r="B1557" s="604" t="s">
        <v>8420</v>
      </c>
      <c r="C1557" s="605" t="s">
        <v>8421</v>
      </c>
      <c r="D1557" s="604" t="s">
        <v>8422</v>
      </c>
      <c r="E1557" s="604" t="s">
        <v>8423</v>
      </c>
      <c r="F1557" s="724" t="s">
        <v>8424</v>
      </c>
      <c r="G1557">
        <f>IF(getRGB1($C1557)="FFFFFF",0,1)+IF(getRGB1($D1557)="FFFFFF",0,2)+IF(getRGB1($E1557)="FFFFFF",0,3)+IF(getRGB1($F1557)="FFFFFF",0,4)</f>
        <v>1</v>
      </c>
    </row>
    <row r="1558" spans="1:7" ht="15.75">
      <c r="A1558" t="s">
        <v>7719</v>
      </c>
      <c r="B1558" s="604" t="s">
        <v>8425</v>
      </c>
      <c r="C1558" s="605" t="s">
        <v>8426</v>
      </c>
      <c r="D1558" s="604" t="s">
        <v>8427</v>
      </c>
      <c r="E1558" s="604" t="s">
        <v>8428</v>
      </c>
      <c r="F1558" s="604" t="s">
        <v>8429</v>
      </c>
      <c r="G1558">
        <f>IF(getRGB1($C1558)="FFFFFF",0,1)+IF(getRGB1($D1558)="FFFFFF",0,2)+IF(getRGB1($E1558)="FFFFFF",0,3)+IF(getRGB1($F1558)="FFFFFF",0,4)</f>
        <v>1</v>
      </c>
    </row>
    <row r="1559" spans="1:7" ht="15.75">
      <c r="A1559" t="s">
        <v>7719</v>
      </c>
      <c r="B1559" s="604" t="s">
        <v>8430</v>
      </c>
      <c r="C1559" s="604" t="s">
        <v>8431</v>
      </c>
      <c r="D1559" s="605" t="s">
        <v>8432</v>
      </c>
      <c r="E1559" s="604" t="s">
        <v>8433</v>
      </c>
      <c r="F1559" s="604" t="s">
        <v>8434</v>
      </c>
      <c r="G1559">
        <f>IF(getRGB1($C1559)="FFFFFF",0,1)+IF(getRGB1($D1559)="FFFFFF",0,2)+IF(getRGB1($E1559)="FFFFFF",0,3)+IF(getRGB1($F1559)="FFFFFF",0,4)</f>
        <v>2</v>
      </c>
    </row>
    <row r="1560" spans="1:7" ht="31.5">
      <c r="A1560" t="s">
        <v>7719</v>
      </c>
      <c r="B1560" s="604" t="s">
        <v>8435</v>
      </c>
      <c r="C1560" s="604" t="s">
        <v>8436</v>
      </c>
      <c r="D1560" s="604" t="s">
        <v>8437</v>
      </c>
      <c r="E1560" s="604" t="s">
        <v>8438</v>
      </c>
      <c r="F1560" s="605" t="s">
        <v>8439</v>
      </c>
      <c r="G1560">
        <f>IF(getRGB1($C1560)="FFFFFF",0,1)+IF(getRGB1($D1560)="FFFFFF",0,2)+IF(getRGB1($E1560)="FFFFFF",0,3)+IF(getRGB1($F1560)="FFFFFF",0,4)</f>
        <v>4</v>
      </c>
    </row>
    <row r="1561" spans="1:7" ht="47.25">
      <c r="A1561" t="s">
        <v>7719</v>
      </c>
      <c r="B1561" s="604" t="s">
        <v>8440</v>
      </c>
      <c r="C1561" s="604" t="s">
        <v>8441</v>
      </c>
      <c r="D1561" s="605" t="s">
        <v>8442</v>
      </c>
      <c r="E1561" s="604" t="s">
        <v>8443</v>
      </c>
      <c r="F1561" s="604" t="s">
        <v>8444</v>
      </c>
      <c r="G1561">
        <f>IF(getRGB1($C1561)="FFFFFF",0,1)+IF(getRGB1($D1561)="FFFFFF",0,2)+IF(getRGB1($E1561)="FFFFFF",0,3)+IF(getRGB1($F1561)="FFFFFF",0,4)</f>
        <v>2</v>
      </c>
    </row>
    <row r="1562" spans="1:7" ht="63">
      <c r="A1562" t="s">
        <v>7719</v>
      </c>
      <c r="B1562" s="604" t="s">
        <v>8445</v>
      </c>
      <c r="C1562" s="605" t="s">
        <v>8446</v>
      </c>
      <c r="D1562" s="604" t="s">
        <v>8447</v>
      </c>
      <c r="E1562" s="604" t="s">
        <v>8448</v>
      </c>
      <c r="F1562" s="604" t="s">
        <v>8449</v>
      </c>
      <c r="G1562">
        <f>IF(getRGB1($C1562)="FFFFFF",0,1)+IF(getRGB1($D1562)="FFFFFF",0,2)+IF(getRGB1($E1562)="FFFFFF",0,3)+IF(getRGB1($F1562)="FFFFFF",0,4)</f>
        <v>1</v>
      </c>
    </row>
    <row r="1563" spans="1:7" ht="63">
      <c r="A1563" t="s">
        <v>7719</v>
      </c>
      <c r="B1563" s="604" t="s">
        <v>8450</v>
      </c>
      <c r="C1563" s="604" t="s">
        <v>8451</v>
      </c>
      <c r="D1563" s="604" t="s">
        <v>8452</v>
      </c>
      <c r="E1563" s="605" t="s">
        <v>8453</v>
      </c>
      <c r="F1563" s="604" t="s">
        <v>8454</v>
      </c>
      <c r="G1563">
        <f>IF(getRGB1($C1563)="FFFFFF",0,1)+IF(getRGB1($D1563)="FFFFFF",0,2)+IF(getRGB1($E1563)="FFFFFF",0,3)+IF(getRGB1($F1563)="FFFFFF",0,4)</f>
        <v>3</v>
      </c>
    </row>
    <row r="1564" spans="1:7" ht="63">
      <c r="A1564" t="s">
        <v>7719</v>
      </c>
      <c r="B1564" s="604" t="s">
        <v>8367</v>
      </c>
      <c r="C1564" s="604" t="s">
        <v>8455</v>
      </c>
      <c r="D1564" s="604" t="s">
        <v>8456</v>
      </c>
      <c r="E1564" s="604" t="s">
        <v>8457</v>
      </c>
      <c r="F1564" s="605" t="s">
        <v>8458</v>
      </c>
      <c r="G1564">
        <f>IF(getRGB1($C1564)="FFFFFF",0,1)+IF(getRGB1($D1564)="FFFFFF",0,2)+IF(getRGB1($E1564)="FFFFFF",0,3)+IF(getRGB1($F1564)="FFFFFF",0,4)</f>
        <v>4</v>
      </c>
    </row>
    <row r="1565" spans="1:7" ht="47.25">
      <c r="A1565" t="s">
        <v>7719</v>
      </c>
      <c r="B1565" s="604" t="s">
        <v>8459</v>
      </c>
      <c r="C1565" s="604" t="s">
        <v>8460</v>
      </c>
      <c r="D1565" s="604" t="s">
        <v>8461</v>
      </c>
      <c r="E1565" s="604" t="s">
        <v>8462</v>
      </c>
      <c r="F1565" s="605" t="s">
        <v>8463</v>
      </c>
      <c r="G1565">
        <f>IF(getRGB1($C1565)="FFFFFF",0,1)+IF(getRGB1($D1565)="FFFFFF",0,2)+IF(getRGB1($E1565)="FFFFFF",0,3)+IF(getRGB1($F1565)="FFFFFF",0,4)</f>
        <v>4</v>
      </c>
    </row>
    <row r="1566" spans="1:7">
      <c r="A1566" t="s">
        <v>8680</v>
      </c>
      <c r="B1566" s="364" t="s">
        <v>4934</v>
      </c>
      <c r="C1566" s="365" t="s">
        <v>4935</v>
      </c>
      <c r="D1566" s="365" t="s">
        <v>4936</v>
      </c>
      <c r="E1566" s="365" t="s">
        <v>4937</v>
      </c>
      <c r="F1566" s="366" t="s">
        <v>2141</v>
      </c>
      <c r="G1566">
        <f>IF(getRGB1($C1566)="FFFFFF",0,1)+IF(getRGB1($D1566)="FFFFFF",0,2)+IF(getRGB1($E1566)="FFFFFF",0,3)+IF(getRGB1($F1566)="FFFFFF",0,4)</f>
        <v>4</v>
      </c>
    </row>
    <row r="1567" spans="1:7" ht="25.5">
      <c r="A1567" t="s">
        <v>8680</v>
      </c>
      <c r="B1567" s="364" t="s">
        <v>4938</v>
      </c>
      <c r="C1567" s="365" t="s">
        <v>4939</v>
      </c>
      <c r="D1567" s="366" t="s">
        <v>4940</v>
      </c>
      <c r="E1567" s="365" t="s">
        <v>4113</v>
      </c>
      <c r="F1567" s="365" t="s">
        <v>4113</v>
      </c>
      <c r="G1567">
        <f>IF(getRGB1($C1567)="FFFFFF",0,1)+IF(getRGB1($D1567)="FFFFFF",0,2)+IF(getRGB1($E1567)="FFFFFF",0,3)+IF(getRGB1($F1567)="FFFFFF",0,4)</f>
        <v>2</v>
      </c>
    </row>
    <row r="1568" spans="1:7" ht="25.5">
      <c r="A1568" t="s">
        <v>8680</v>
      </c>
      <c r="B1568" s="364" t="s">
        <v>4950</v>
      </c>
      <c r="C1568" s="365" t="s">
        <v>4951</v>
      </c>
      <c r="D1568" s="365" t="s">
        <v>4952</v>
      </c>
      <c r="E1568" s="366" t="s">
        <v>4953</v>
      </c>
      <c r="F1568" s="365" t="s">
        <v>4658</v>
      </c>
      <c r="G1568">
        <f>IF(getRGB1($C1568)="FFFFFF",0,1)+IF(getRGB1($D1568)="FFFFFF",0,2)+IF(getRGB1($E1568)="FFFFFF",0,3)+IF(getRGB1($F1568)="FFFFFF",0,4)</f>
        <v>3</v>
      </c>
    </row>
    <row r="1569" spans="1:7" ht="63.75">
      <c r="A1569" t="s">
        <v>8680</v>
      </c>
      <c r="B1569" s="364" t="s">
        <v>4973</v>
      </c>
      <c r="C1569" s="365" t="s">
        <v>4974</v>
      </c>
      <c r="D1569" s="366" t="s">
        <v>4975</v>
      </c>
      <c r="E1569" s="365" t="s">
        <v>2515</v>
      </c>
      <c r="F1569" s="365" t="s">
        <v>4976</v>
      </c>
      <c r="G1569">
        <f>IF(getRGB1($C1569)="FFFFFF",0,1)+IF(getRGB1($D1569)="FFFFFF",0,2)+IF(getRGB1($E1569)="FFFFFF",0,3)+IF(getRGB1($F1569)="FFFFFF",0,4)</f>
        <v>2</v>
      </c>
    </row>
    <row r="1570" spans="1:7" ht="38.25">
      <c r="A1570" t="s">
        <v>8680</v>
      </c>
      <c r="B1570" s="367" t="s">
        <v>4977</v>
      </c>
      <c r="C1570" s="366" t="s">
        <v>5441</v>
      </c>
      <c r="D1570" s="365" t="s">
        <v>4979</v>
      </c>
      <c r="E1570" s="365" t="s">
        <v>2554</v>
      </c>
      <c r="F1570" s="728" t="s">
        <v>4980</v>
      </c>
      <c r="G1570">
        <f>IF(getRGB1($C1570)="FFFFFF",0,1)+IF(getRGB1($D1570)="FFFFFF",0,2)+IF(getRGB1($E1570)="FFFFFF",0,3)+IF(getRGB1($F1570)="FFFFFF",0,4)</f>
        <v>1</v>
      </c>
    </row>
    <row r="1571" spans="1:7" ht="25.5">
      <c r="A1571" t="s">
        <v>8680</v>
      </c>
      <c r="B1571" s="367" t="s">
        <v>4981</v>
      </c>
      <c r="C1571" s="365" t="s">
        <v>4982</v>
      </c>
      <c r="D1571" s="365" t="s">
        <v>4983</v>
      </c>
      <c r="E1571" s="366" t="s">
        <v>4984</v>
      </c>
      <c r="F1571" s="368" t="s">
        <v>4985</v>
      </c>
      <c r="G1571">
        <f>IF(getRGB1($C1571)="FFFFFF",0,1)+IF(getRGB1($D1571)="FFFFFF",0,2)+IF(getRGB1($E1571)="FFFFFF",0,3)+IF(getRGB1($F1571)="FFFFFF",0,4)</f>
        <v>3</v>
      </c>
    </row>
    <row r="1572" spans="1:7" ht="25.5">
      <c r="A1572" t="s">
        <v>8680</v>
      </c>
      <c r="B1572" s="364" t="s">
        <v>4986</v>
      </c>
      <c r="C1572" s="365" t="s">
        <v>4987</v>
      </c>
      <c r="D1572" s="366" t="s">
        <v>4988</v>
      </c>
      <c r="E1572" s="365" t="s">
        <v>4989</v>
      </c>
      <c r="F1572" s="365" t="s">
        <v>4658</v>
      </c>
      <c r="G1572">
        <f>IF(getRGB1($C1572)="FFFFFF",0,1)+IF(getRGB1($D1572)="FFFFFF",0,2)+IF(getRGB1($E1572)="FFFFFF",0,3)+IF(getRGB1($F1572)="FFFFFF",0,4)</f>
        <v>2</v>
      </c>
    </row>
    <row r="1573" spans="1:7" ht="25.5">
      <c r="A1573" t="s">
        <v>8680</v>
      </c>
      <c r="B1573" s="364" t="s">
        <v>4990</v>
      </c>
      <c r="C1573" s="365" t="s">
        <v>4991</v>
      </c>
      <c r="D1573" s="365" t="s">
        <v>4992</v>
      </c>
      <c r="E1573" s="365" t="s">
        <v>4341</v>
      </c>
      <c r="F1573" s="366" t="s">
        <v>4993</v>
      </c>
      <c r="G1573">
        <f>IF(getRGB1($C1573)="FFFFFF",0,1)+IF(getRGB1($D1573)="FFFFFF",0,2)+IF(getRGB1($E1573)="FFFFFF",0,3)+IF(getRGB1($F1573)="FFFFFF",0,4)</f>
        <v>4</v>
      </c>
    </row>
    <row r="1574" spans="1:7" ht="25.5">
      <c r="A1574" t="s">
        <v>8680</v>
      </c>
      <c r="B1574" s="364" t="s">
        <v>4994</v>
      </c>
      <c r="C1574" s="365" t="s">
        <v>4995</v>
      </c>
      <c r="D1574" s="365" t="s">
        <v>825</v>
      </c>
      <c r="E1574" s="365" t="s">
        <v>4996</v>
      </c>
      <c r="F1574" s="366" t="s">
        <v>2515</v>
      </c>
      <c r="G1574">
        <f>IF(getRGB1($C1574)="FFFFFF",0,1)+IF(getRGB1($D1574)="FFFFFF",0,2)+IF(getRGB1($E1574)="FFFFFF",0,3)+IF(getRGB1($F1574)="FFFFFF",0,4)</f>
        <v>4</v>
      </c>
    </row>
    <row r="1575" spans="1:7" ht="25.5">
      <c r="A1575" t="s">
        <v>8680</v>
      </c>
      <c r="B1575" s="364" t="s">
        <v>4997</v>
      </c>
      <c r="C1575" s="365" t="s">
        <v>4998</v>
      </c>
      <c r="D1575" s="365" t="s">
        <v>4999</v>
      </c>
      <c r="E1575" s="366" t="s">
        <v>5000</v>
      </c>
      <c r="F1575" s="368" t="s">
        <v>5001</v>
      </c>
      <c r="G1575">
        <f>IF(getRGB1($C1575)="FFFFFF",0,1)+IF(getRGB1($D1575)="FFFFFF",0,2)+IF(getRGB1($E1575)="FFFFFF",0,3)+IF(getRGB1($F1575)="FFFFFF",0,4)</f>
        <v>3</v>
      </c>
    </row>
    <row r="1576" spans="1:7" ht="25.5">
      <c r="A1576" t="s">
        <v>8680</v>
      </c>
      <c r="B1576" s="364" t="s">
        <v>5002</v>
      </c>
      <c r="C1576" s="365" t="s">
        <v>5003</v>
      </c>
      <c r="D1576" s="366" t="s">
        <v>5004</v>
      </c>
      <c r="E1576" s="365" t="s">
        <v>4952</v>
      </c>
      <c r="F1576" s="365" t="s">
        <v>5005</v>
      </c>
      <c r="G1576">
        <f>IF(getRGB1($C1576)="FFFFFF",0,1)+IF(getRGB1($D1576)="FFFFFF",0,2)+IF(getRGB1($E1576)="FFFFFF",0,3)+IF(getRGB1($F1576)="FFFFFF",0,4)</f>
        <v>2</v>
      </c>
    </row>
    <row r="1577" spans="1:7" ht="25.5">
      <c r="A1577" t="s">
        <v>8680</v>
      </c>
      <c r="B1577" s="364" t="s">
        <v>5006</v>
      </c>
      <c r="C1577" s="365" t="s">
        <v>5007</v>
      </c>
      <c r="D1577" s="365" t="s">
        <v>5008</v>
      </c>
      <c r="E1577" s="365" t="s">
        <v>5009</v>
      </c>
      <c r="F1577" s="366" t="s">
        <v>5010</v>
      </c>
      <c r="G1577">
        <f>IF(getRGB1($C1577)="FFFFFF",0,1)+IF(getRGB1($D1577)="FFFFFF",0,2)+IF(getRGB1($E1577)="FFFFFF",0,3)+IF(getRGB1($F1577)="FFFFFF",0,4)</f>
        <v>4</v>
      </c>
    </row>
    <row r="1578" spans="1:7" ht="25.5">
      <c r="A1578" t="s">
        <v>8680</v>
      </c>
      <c r="B1578" s="364" t="s">
        <v>5011</v>
      </c>
      <c r="C1578" s="365" t="s">
        <v>5012</v>
      </c>
      <c r="D1578" s="365" t="s">
        <v>1136</v>
      </c>
      <c r="E1578" s="365" t="s">
        <v>1137</v>
      </c>
      <c r="F1578" s="366" t="s">
        <v>1490</v>
      </c>
      <c r="G1578">
        <f>IF(getRGB1($C1578)="FFFFFF",0,1)+IF(getRGB1($D1578)="FFFFFF",0,2)+IF(getRGB1($E1578)="FFFFFF",0,3)+IF(getRGB1($F1578)="FFFFFF",0,4)</f>
        <v>4</v>
      </c>
    </row>
    <row r="1579" spans="1:7" ht="51">
      <c r="A1579" t="s">
        <v>8680</v>
      </c>
      <c r="B1579" s="364" t="s">
        <v>5013</v>
      </c>
      <c r="C1579" s="365" t="s">
        <v>5014</v>
      </c>
      <c r="D1579" s="365" t="s">
        <v>5015</v>
      </c>
      <c r="E1579" s="365" t="s">
        <v>5016</v>
      </c>
      <c r="F1579" s="366" t="s">
        <v>5017</v>
      </c>
      <c r="G1579">
        <f>IF(getRGB1($C1579)="FFFFFF",0,1)+IF(getRGB1($D1579)="FFFFFF",0,2)+IF(getRGB1($E1579)="FFFFFF",0,3)+IF(getRGB1($F1579)="FFFFFF",0,4)</f>
        <v>4</v>
      </c>
    </row>
    <row r="1580" spans="1:7" ht="38.25">
      <c r="A1580" t="s">
        <v>8680</v>
      </c>
      <c r="B1580" s="364" t="s">
        <v>5018</v>
      </c>
      <c r="C1580" s="365">
        <v>108</v>
      </c>
      <c r="D1580" s="365">
        <v>110</v>
      </c>
      <c r="E1580" s="366">
        <v>178</v>
      </c>
      <c r="F1580" s="365">
        <v>184</v>
      </c>
      <c r="G1580">
        <f>IF(getRGB1($C1580)="FFFFFF",0,1)+IF(getRGB1($D1580)="FFFFFF",0,2)+IF(getRGB1($E1580)="FFFFFF",0,3)+IF(getRGB1($F1580)="FFFFFF",0,4)</f>
        <v>3</v>
      </c>
    </row>
    <row r="1581" spans="1:7" ht="102">
      <c r="A1581" t="s">
        <v>8680</v>
      </c>
      <c r="B1581" s="364" t="s">
        <v>5023</v>
      </c>
      <c r="C1581" s="365" t="s">
        <v>5024</v>
      </c>
      <c r="D1581" s="365" t="s">
        <v>5025</v>
      </c>
      <c r="E1581" s="366" t="s">
        <v>5026</v>
      </c>
      <c r="F1581" s="365" t="s">
        <v>4658</v>
      </c>
      <c r="G1581">
        <f>IF(getRGB1($C1581)="FFFFFF",0,1)+IF(getRGB1($D1581)="FFFFFF",0,2)+IF(getRGB1($E1581)="FFFFFF",0,3)+IF(getRGB1($F1581)="FFFFFF",0,4)</f>
        <v>3</v>
      </c>
    </row>
    <row r="1582" spans="1:7" ht="38.25">
      <c r="A1582" t="s">
        <v>8680</v>
      </c>
      <c r="B1582" s="364" t="s">
        <v>5030</v>
      </c>
      <c r="C1582" s="365" t="s">
        <v>4975</v>
      </c>
      <c r="D1582" s="365" t="s">
        <v>5031</v>
      </c>
      <c r="E1582" s="366" t="s">
        <v>4985</v>
      </c>
      <c r="F1582" s="365" t="s">
        <v>5032</v>
      </c>
      <c r="G1582">
        <f>IF(getRGB1($C1582)="FFFFFF",0,1)+IF(getRGB1($D1582)="FFFFFF",0,2)+IF(getRGB1($E1582)="FFFFFF",0,3)+IF(getRGB1($F1582)="FFFFFF",0,4)</f>
        <v>3</v>
      </c>
    </row>
    <row r="1583" spans="1:7" ht="25.5">
      <c r="A1583" t="s">
        <v>8680</v>
      </c>
      <c r="B1583" s="364" t="s">
        <v>5033</v>
      </c>
      <c r="C1583" s="366" t="s">
        <v>5034</v>
      </c>
      <c r="D1583" s="365" t="s">
        <v>5035</v>
      </c>
      <c r="E1583" s="365" t="s">
        <v>5036</v>
      </c>
      <c r="F1583" s="365" t="s">
        <v>5037</v>
      </c>
      <c r="G1583">
        <f>IF(getRGB1($C1583)="FFFFFF",0,1)+IF(getRGB1($D1583)="FFFFFF",0,2)+IF(getRGB1($E1583)="FFFFFF",0,3)+IF(getRGB1($F1583)="FFFFFF",0,4)</f>
        <v>1</v>
      </c>
    </row>
    <row r="1584" spans="1:7" ht="38.25">
      <c r="A1584" t="s">
        <v>8680</v>
      </c>
      <c r="B1584" s="364" t="s">
        <v>5038</v>
      </c>
      <c r="C1584" s="365" t="s">
        <v>5039</v>
      </c>
      <c r="D1584" s="366" t="s">
        <v>5040</v>
      </c>
      <c r="E1584" s="365" t="s">
        <v>5041</v>
      </c>
      <c r="F1584" s="365" t="s">
        <v>5042</v>
      </c>
      <c r="G1584">
        <f>IF(getRGB1($C1584)="FFFFFF",0,1)+IF(getRGB1($D1584)="FFFFFF",0,2)+IF(getRGB1($E1584)="FFFFFF",0,3)+IF(getRGB1($F1584)="FFFFFF",0,4)</f>
        <v>2</v>
      </c>
    </row>
    <row r="1585" spans="1:7" ht="25.5">
      <c r="A1585" t="s">
        <v>8680</v>
      </c>
      <c r="B1585" s="364" t="s">
        <v>5043</v>
      </c>
      <c r="C1585" s="365" t="s">
        <v>4885</v>
      </c>
      <c r="D1585" s="365" t="s">
        <v>4886</v>
      </c>
      <c r="E1585" s="365" t="s">
        <v>4887</v>
      </c>
      <c r="F1585" s="366" t="s">
        <v>4755</v>
      </c>
      <c r="G1585">
        <f>IF(getRGB1($C1585)="FFFFFF",0,1)+IF(getRGB1($D1585)="FFFFFF",0,2)+IF(getRGB1($E1585)="FFFFFF",0,3)+IF(getRGB1($F1585)="FFFFFF",0,4)</f>
        <v>4</v>
      </c>
    </row>
    <row r="1586" spans="1:7" ht="25.5">
      <c r="A1586" t="s">
        <v>8680</v>
      </c>
      <c r="B1586" s="364" t="s">
        <v>4882</v>
      </c>
      <c r="C1586" s="365" t="s">
        <v>1370</v>
      </c>
      <c r="D1586" s="365" t="s">
        <v>4883</v>
      </c>
      <c r="E1586" s="365" t="s">
        <v>1372</v>
      </c>
      <c r="F1586" s="366" t="s">
        <v>1117</v>
      </c>
      <c r="G1586">
        <f>IF(getRGB1($C1586)="FFFFFF",0,1)+IF(getRGB1($D1586)="FFFFFF",0,2)+IF(getRGB1($E1586)="FFFFFF",0,3)+IF(getRGB1($F1586)="FFFFFF",0,4)</f>
        <v>4</v>
      </c>
    </row>
    <row r="1587" spans="1:7" ht="38.25">
      <c r="A1587" t="s">
        <v>8680</v>
      </c>
      <c r="B1587" s="364" t="s">
        <v>5044</v>
      </c>
      <c r="C1587" s="365" t="s">
        <v>5045</v>
      </c>
      <c r="D1587" s="365" t="s">
        <v>2514</v>
      </c>
      <c r="E1587" s="366" t="s">
        <v>5046</v>
      </c>
      <c r="F1587" s="365" t="s">
        <v>1272</v>
      </c>
      <c r="G1587">
        <f>IF(getRGB1($C1587)="FFFFFF",0,1)+IF(getRGB1($D1587)="FFFFFF",0,2)+IF(getRGB1($E1587)="FFFFFF",0,3)+IF(getRGB1($F1587)="FFFFFF",0,4)</f>
        <v>3</v>
      </c>
    </row>
    <row r="1588" spans="1:7" ht="25.5">
      <c r="A1588" t="s">
        <v>8680</v>
      </c>
      <c r="B1588" s="364" t="s">
        <v>5047</v>
      </c>
      <c r="C1588" s="366" t="s">
        <v>1272</v>
      </c>
      <c r="D1588" s="365" t="s">
        <v>5048</v>
      </c>
      <c r="E1588" s="365" t="s">
        <v>5049</v>
      </c>
      <c r="F1588" s="365" t="s">
        <v>5050</v>
      </c>
      <c r="G1588">
        <f>IF(getRGB1($C1588)="FFFFFF",0,1)+IF(getRGB1($D1588)="FFFFFF",0,2)+IF(getRGB1($E1588)="FFFFFF",0,3)+IF(getRGB1($F1588)="FFFFFF",0,4)</f>
        <v>1</v>
      </c>
    </row>
    <row r="1589" spans="1:7" ht="25.5">
      <c r="A1589" t="s">
        <v>8680</v>
      </c>
      <c r="B1589" s="364" t="s">
        <v>5051</v>
      </c>
      <c r="C1589" s="365" t="s">
        <v>5052</v>
      </c>
      <c r="D1589" s="365" t="s">
        <v>3139</v>
      </c>
      <c r="E1589" s="366" t="s">
        <v>5053</v>
      </c>
      <c r="F1589" s="365" t="s">
        <v>5054</v>
      </c>
      <c r="G1589">
        <f>IF(getRGB1($C1589)="FFFFFF",0,1)+IF(getRGB1($D1589)="FFFFFF",0,2)+IF(getRGB1($E1589)="FFFFFF",0,3)+IF(getRGB1($F1589)="FFFFFF",0,4)</f>
        <v>3</v>
      </c>
    </row>
    <row r="1590" spans="1:7">
      <c r="A1590" t="s">
        <v>8680</v>
      </c>
      <c r="B1590" s="364" t="s">
        <v>5055</v>
      </c>
      <c r="C1590" s="365" t="s">
        <v>5056</v>
      </c>
      <c r="D1590" s="365" t="s">
        <v>5057</v>
      </c>
      <c r="E1590" s="366" t="s">
        <v>5058</v>
      </c>
      <c r="F1590" s="365" t="s">
        <v>5059</v>
      </c>
      <c r="G1590">
        <f>IF(getRGB1($C1590)="FFFFFF",0,1)+IF(getRGB1($D1590)="FFFFFF",0,2)+IF(getRGB1($E1590)="FFFFFF",0,3)+IF(getRGB1($F1590)="FFFFFF",0,4)</f>
        <v>3</v>
      </c>
    </row>
    <row r="1591" spans="1:7">
      <c r="A1591" t="s">
        <v>8680</v>
      </c>
      <c r="B1591" s="364" t="s">
        <v>4112</v>
      </c>
      <c r="C1591" s="369">
        <v>40269</v>
      </c>
      <c r="D1591" s="369">
        <v>40271</v>
      </c>
      <c r="E1591" s="370">
        <v>40666</v>
      </c>
      <c r="F1591" s="371">
        <v>40330</v>
      </c>
      <c r="G1591">
        <f>IF(getRGB1($C1591)="FFFFFF",0,1)+IF(getRGB1($D1591)="FFFFFF",0,2)+IF(getRGB1($E1591)="FFFFFF",0,3)+IF(getRGB1($F1591)="FFFFFF",0,4)</f>
        <v>3</v>
      </c>
    </row>
    <row r="1592" spans="1:7" ht="39">
      <c r="A1592" t="s">
        <v>8680</v>
      </c>
      <c r="B1592" s="372" t="s">
        <v>5442</v>
      </c>
      <c r="C1592" s="372" t="s">
        <v>4130</v>
      </c>
      <c r="D1592" s="372" t="s">
        <v>4131</v>
      </c>
      <c r="E1592" s="373" t="s">
        <v>4132</v>
      </c>
      <c r="F1592" s="374" t="s">
        <v>4133</v>
      </c>
      <c r="G1592">
        <f>IF(getRGB1($C1592)="FFFFFF",0,1)+IF(getRGB1($D1592)="FFFFFF",0,2)+IF(getRGB1($E1592)="FFFFFF",0,3)+IF(getRGB1($F1592)="FFFFFF",0,4)</f>
        <v>3</v>
      </c>
    </row>
    <row r="1593" spans="1:7" ht="51.75">
      <c r="A1593" t="s">
        <v>8680</v>
      </c>
      <c r="B1593" s="372" t="s">
        <v>4196</v>
      </c>
      <c r="C1593" s="372" t="s">
        <v>5443</v>
      </c>
      <c r="D1593" s="375" t="s">
        <v>4136</v>
      </c>
      <c r="E1593" s="373" t="s">
        <v>4137</v>
      </c>
      <c r="F1593" s="374" t="s">
        <v>4138</v>
      </c>
      <c r="G1593">
        <f>IF(getRGB1($C1593)="FFFFFF",0,1)+IF(getRGB1($D1593)="FFFFFF",0,2)+IF(getRGB1($E1593)="FFFFFF",0,3)+IF(getRGB1($F1593)="FFFFFF",0,4)</f>
        <v>3</v>
      </c>
    </row>
    <row r="1594" spans="1:7" ht="64.5">
      <c r="A1594" t="s">
        <v>8680</v>
      </c>
      <c r="B1594" s="372" t="s">
        <v>4139</v>
      </c>
      <c r="C1594" s="372" t="s">
        <v>4140</v>
      </c>
      <c r="D1594" s="373" t="s">
        <v>4141</v>
      </c>
      <c r="E1594" s="372" t="s">
        <v>4142</v>
      </c>
      <c r="F1594" s="374" t="s">
        <v>4143</v>
      </c>
      <c r="G1594">
        <f>IF(getRGB1($C1594)="FFFFFF",0,1)+IF(getRGB1($D1594)="FFFFFF",0,2)+IF(getRGB1($E1594)="FFFFFF",0,3)+IF(getRGB1($F1594)="FFFFFF",0,4)</f>
        <v>2</v>
      </c>
    </row>
    <row r="1595" spans="1:7" ht="26.25">
      <c r="A1595" t="s">
        <v>8680</v>
      </c>
      <c r="B1595" s="372" t="s">
        <v>4144</v>
      </c>
      <c r="C1595" s="372" t="s">
        <v>4140</v>
      </c>
      <c r="D1595" s="373" t="s">
        <v>4141</v>
      </c>
      <c r="E1595" s="372" t="s">
        <v>4142</v>
      </c>
      <c r="F1595" s="374" t="s">
        <v>4143</v>
      </c>
      <c r="G1595">
        <f>IF(getRGB1($C1595)="FFFFFF",0,1)+IF(getRGB1($D1595)="FFFFFF",0,2)+IF(getRGB1($E1595)="FFFFFF",0,3)+IF(getRGB1($F1595)="FFFFFF",0,4)</f>
        <v>2</v>
      </c>
    </row>
    <row r="1596" spans="1:7" ht="39">
      <c r="A1596" t="s">
        <v>8680</v>
      </c>
      <c r="B1596" s="372" t="s">
        <v>4145</v>
      </c>
      <c r="C1596" s="372" t="s">
        <v>4146</v>
      </c>
      <c r="D1596" s="372" t="s">
        <v>4147</v>
      </c>
      <c r="E1596" s="373" t="s">
        <v>4148</v>
      </c>
      <c r="F1596" s="374" t="s">
        <v>4149</v>
      </c>
      <c r="G1596">
        <f>IF(getRGB1($C1596)="FFFFFF",0,1)+IF(getRGB1($D1596)="FFFFFF",0,2)+IF(getRGB1($E1596)="FFFFFF",0,3)+IF(getRGB1($F1596)="FFFFFF",0,4)</f>
        <v>3</v>
      </c>
    </row>
    <row r="1597" spans="1:7" ht="51.75">
      <c r="A1597" t="s">
        <v>8680</v>
      </c>
      <c r="B1597" s="372" t="s">
        <v>4150</v>
      </c>
      <c r="C1597" s="372" t="s">
        <v>76</v>
      </c>
      <c r="D1597" s="372" t="s">
        <v>137</v>
      </c>
      <c r="E1597" s="373" t="s">
        <v>179</v>
      </c>
      <c r="F1597" s="374" t="s">
        <v>3708</v>
      </c>
      <c r="G1597">
        <f>IF(getRGB1($C1597)="FFFFFF",0,1)+IF(getRGB1($D1597)="FFFFFF",0,2)+IF(getRGB1($E1597)="FFFFFF",0,3)+IF(getRGB1($F1597)="FFFFFF",0,4)</f>
        <v>3</v>
      </c>
    </row>
    <row r="1598" spans="1:7" ht="51.75">
      <c r="A1598" t="s">
        <v>8680</v>
      </c>
      <c r="B1598" s="372" t="s">
        <v>4151</v>
      </c>
      <c r="C1598" s="372" t="s">
        <v>4152</v>
      </c>
      <c r="D1598" s="373" t="s">
        <v>4153</v>
      </c>
      <c r="E1598" s="372" t="s">
        <v>4154</v>
      </c>
      <c r="F1598" s="374" t="s">
        <v>4155</v>
      </c>
      <c r="G1598">
        <f>IF(getRGB1($C1598)="FFFFFF",0,1)+IF(getRGB1($D1598)="FFFFFF",0,2)+IF(getRGB1($E1598)="FFFFFF",0,3)+IF(getRGB1($F1598)="FFFFFF",0,4)</f>
        <v>2</v>
      </c>
    </row>
    <row r="1599" spans="1:7" ht="39">
      <c r="A1599" t="s">
        <v>8680</v>
      </c>
      <c r="B1599" s="372" t="s">
        <v>4156</v>
      </c>
      <c r="C1599" s="372" t="s">
        <v>3710</v>
      </c>
      <c r="D1599" s="373" t="s">
        <v>8</v>
      </c>
      <c r="E1599" s="372" t="s">
        <v>1599</v>
      </c>
      <c r="F1599" s="374" t="s">
        <v>1289</v>
      </c>
      <c r="G1599">
        <f>IF(getRGB1($C1599)="FFFFFF",0,1)+IF(getRGB1($D1599)="FFFFFF",0,2)+IF(getRGB1($E1599)="FFFFFF",0,3)+IF(getRGB1($F1599)="FFFFFF",0,4)</f>
        <v>2</v>
      </c>
    </row>
    <row r="1600" spans="1:7" ht="64.5">
      <c r="A1600" t="s">
        <v>8680</v>
      </c>
      <c r="B1600" s="372" t="s">
        <v>4157</v>
      </c>
      <c r="C1600" s="372" t="s">
        <v>3712</v>
      </c>
      <c r="D1600" s="373" t="s">
        <v>3713</v>
      </c>
      <c r="E1600" s="372" t="s">
        <v>3714</v>
      </c>
      <c r="F1600" s="374" t="s">
        <v>3715</v>
      </c>
      <c r="G1600">
        <f>IF(getRGB1($C1600)="FFFFFF",0,1)+IF(getRGB1($D1600)="FFFFFF",0,2)+IF(getRGB1($E1600)="FFFFFF",0,3)+IF(getRGB1($F1600)="FFFFFF",0,4)</f>
        <v>2</v>
      </c>
    </row>
    <row r="1601" spans="1:7" ht="39">
      <c r="A1601" t="s">
        <v>8680</v>
      </c>
      <c r="B1601" s="372" t="s">
        <v>4158</v>
      </c>
      <c r="C1601" s="373" t="s">
        <v>4159</v>
      </c>
      <c r="D1601" s="372" t="s">
        <v>4160</v>
      </c>
      <c r="E1601" s="372" t="s">
        <v>4161</v>
      </c>
      <c r="F1601" s="374" t="s">
        <v>4162</v>
      </c>
      <c r="G1601">
        <f>IF(getRGB1($C1601)="FFFFFF",0,1)+IF(getRGB1($D1601)="FFFFFF",0,2)+IF(getRGB1($E1601)="FFFFFF",0,3)+IF(getRGB1($F1601)="FFFFFF",0,4)</f>
        <v>1</v>
      </c>
    </row>
    <row r="1602" spans="1:7" ht="30">
      <c r="A1602" t="s">
        <v>8680</v>
      </c>
      <c r="B1602" s="376" t="s">
        <v>5444</v>
      </c>
      <c r="C1602" s="377" t="s">
        <v>5445</v>
      </c>
      <c r="D1602" s="378" t="s">
        <v>5446</v>
      </c>
      <c r="E1602" s="378" t="s">
        <v>5447</v>
      </c>
      <c r="F1602" s="378" t="s">
        <v>468</v>
      </c>
      <c r="G1602">
        <f>IF(getRGB1($C1602)="FFFFFF",0,1)+IF(getRGB1($D1602)="FFFFFF",0,2)+IF(getRGB1($E1602)="FFFFFF",0,3)+IF(getRGB1($F1602)="FFFFFF",0,4)</f>
        <v>1</v>
      </c>
    </row>
    <row r="1603" spans="1:7">
      <c r="A1603" t="s">
        <v>8680</v>
      </c>
      <c r="B1603" s="379" t="s">
        <v>5448</v>
      </c>
      <c r="C1603" s="380" t="s">
        <v>5449</v>
      </c>
      <c r="D1603" s="380" t="s">
        <v>5450</v>
      </c>
      <c r="E1603" s="377" t="s">
        <v>5447</v>
      </c>
      <c r="F1603" s="378" t="s">
        <v>468</v>
      </c>
      <c r="G1603">
        <f>IF(getRGB1($C1603)="FFFFFF",0,1)+IF(getRGB1($D1603)="FFFFFF",0,2)+IF(getRGB1($E1603)="FFFFFF",0,3)+IF(getRGB1($F1603)="FFFFFF",0,4)</f>
        <v>3</v>
      </c>
    </row>
    <row r="1604" spans="1:7" ht="30">
      <c r="A1604" t="s">
        <v>8680</v>
      </c>
      <c r="B1604" s="381" t="s">
        <v>5451</v>
      </c>
      <c r="C1604" s="208" t="s">
        <v>5452</v>
      </c>
      <c r="D1604" s="382" t="s">
        <v>5453</v>
      </c>
      <c r="E1604" s="380" t="s">
        <v>5454</v>
      </c>
      <c r="F1604" s="380" t="s">
        <v>5455</v>
      </c>
      <c r="G1604">
        <f>IF(getRGB1($C1604)="FFFFFF",0,1)+IF(getRGB1($D1604)="FFFFFF",0,2)+IF(getRGB1($E1604)="FFFFFF",0,3)+IF(getRGB1($F1604)="FFFFFF",0,4)</f>
        <v>2</v>
      </c>
    </row>
    <row r="1605" spans="1:7" ht="30">
      <c r="A1605" t="s">
        <v>8680</v>
      </c>
      <c r="B1605" s="383" t="s">
        <v>5456</v>
      </c>
      <c r="C1605" s="382">
        <v>19975</v>
      </c>
      <c r="D1605" s="208">
        <v>20000</v>
      </c>
      <c r="E1605" s="380">
        <v>16550</v>
      </c>
      <c r="F1605" s="380">
        <v>21667</v>
      </c>
      <c r="G1605">
        <f>IF(getRGB1($C1605)="FFFFFF",0,1)+IF(getRGB1($D1605)="FFFFFF",0,2)+IF(getRGB1($E1605)="FFFFFF",0,3)+IF(getRGB1($F1605)="FFFFFF",0,4)</f>
        <v>1</v>
      </c>
    </row>
    <row r="1606" spans="1:7" ht="30">
      <c r="A1606" t="s">
        <v>8680</v>
      </c>
      <c r="B1606" s="384" t="s">
        <v>5457</v>
      </c>
      <c r="C1606" s="385">
        <v>18500</v>
      </c>
      <c r="D1606" s="380">
        <v>16000</v>
      </c>
      <c r="E1606" s="208">
        <v>16500</v>
      </c>
      <c r="F1606" s="380">
        <v>17000</v>
      </c>
      <c r="G1606">
        <f>IF(getRGB1($C1606)="FFFFFF",0,1)+IF(getRGB1($D1606)="FFFFFF",0,2)+IF(getRGB1($E1606)="FFFFFF",0,3)+IF(getRGB1($F1606)="FFFFFF",0,4)</f>
        <v>1</v>
      </c>
    </row>
    <row r="1607" spans="1:7" ht="30">
      <c r="A1607" t="s">
        <v>8680</v>
      </c>
      <c r="B1607" s="384" t="s">
        <v>5458</v>
      </c>
      <c r="C1607" s="380">
        <v>30000</v>
      </c>
      <c r="D1607" s="386">
        <v>30500</v>
      </c>
      <c r="E1607" s="380">
        <v>31000</v>
      </c>
      <c r="F1607" s="380">
        <v>31500</v>
      </c>
      <c r="G1607">
        <f>IF(getRGB1($C1607)="FFFFFF",0,1)+IF(getRGB1($D1607)="FFFFFF",0,2)+IF(getRGB1($E1607)="FFFFFF",0,3)+IF(getRGB1($F1607)="FFFFFF",0,4)</f>
        <v>2</v>
      </c>
    </row>
    <row r="1608" spans="1:7" ht="30">
      <c r="A1608" t="s">
        <v>8680</v>
      </c>
      <c r="B1608" s="383" t="s">
        <v>5459</v>
      </c>
      <c r="C1608" s="380" t="s">
        <v>5460</v>
      </c>
      <c r="D1608" s="386" t="s">
        <v>5461</v>
      </c>
      <c r="E1608" s="380" t="s">
        <v>5462</v>
      </c>
      <c r="F1608" s="380" t="s">
        <v>5463</v>
      </c>
      <c r="G1608">
        <f>IF(getRGB1($C1608)="FFFFFF",0,1)+IF(getRGB1($D1608)="FFFFFF",0,2)+IF(getRGB1($E1608)="FFFFFF",0,3)+IF(getRGB1($F1608)="FFFFFF",0,4)</f>
        <v>2</v>
      </c>
    </row>
    <row r="1609" spans="1:7" ht="45">
      <c r="A1609" t="s">
        <v>8680</v>
      </c>
      <c r="B1609" s="387" t="s">
        <v>5464</v>
      </c>
      <c r="C1609" s="382" t="s">
        <v>5465</v>
      </c>
      <c r="D1609" s="380" t="s">
        <v>5466</v>
      </c>
      <c r="E1609" s="208" t="s">
        <v>5447</v>
      </c>
      <c r="F1609" s="378" t="s">
        <v>468</v>
      </c>
      <c r="G1609">
        <f>IF(getRGB1($C1609)="FFFFFF",0,1)+IF(getRGB1($D1609)="FFFFFF",0,2)+IF(getRGB1($E1609)="FFFFFF",0,3)+IF(getRGB1($F1609)="FFFFFF",0,4)</f>
        <v>1</v>
      </c>
    </row>
    <row r="1610" spans="1:7" ht="30">
      <c r="A1610" t="s">
        <v>8680</v>
      </c>
      <c r="B1610" s="388" t="s">
        <v>5467</v>
      </c>
      <c r="C1610" s="389" t="s">
        <v>5468</v>
      </c>
      <c r="D1610" s="390" t="s">
        <v>5469</v>
      </c>
      <c r="E1610" s="391" t="s">
        <v>5447</v>
      </c>
      <c r="F1610" s="378" t="s">
        <v>468</v>
      </c>
      <c r="G1610">
        <f>IF(getRGB1($C1610)="FFFFFF",0,1)+IF(getRGB1($D1610)="FFFFFF",0,2)+IF(getRGB1($E1610)="FFFFFF",0,3)+IF(getRGB1($F1610)="FFFFFF",0,4)</f>
        <v>3</v>
      </c>
    </row>
    <row r="1611" spans="1:7" ht="60">
      <c r="A1611" t="s">
        <v>8680</v>
      </c>
      <c r="B1611" s="392" t="s">
        <v>5470</v>
      </c>
      <c r="C1611" s="393" t="s">
        <v>5471</v>
      </c>
      <c r="D1611" s="393" t="s">
        <v>5472</v>
      </c>
      <c r="E1611" s="393" t="s">
        <v>5473</v>
      </c>
      <c r="F1611" s="382" t="s">
        <v>3313</v>
      </c>
      <c r="G1611">
        <f>IF(getRGB1($C1611)="FFFFFF",0,1)+IF(getRGB1($D1611)="FFFFFF",0,2)+IF(getRGB1($E1611)="FFFFFF",0,3)+IF(getRGB1($F1611)="FFFFFF",0,4)</f>
        <v>4</v>
      </c>
    </row>
    <row r="1612" spans="1:7" ht="30">
      <c r="A1612" t="s">
        <v>8680</v>
      </c>
      <c r="B1612" s="394" t="s">
        <v>5474</v>
      </c>
      <c r="C1612" s="380">
        <v>5</v>
      </c>
      <c r="D1612" s="382">
        <v>15</v>
      </c>
      <c r="E1612" s="380">
        <v>25</v>
      </c>
      <c r="F1612" s="380">
        <v>30</v>
      </c>
      <c r="G1612">
        <f>IF(getRGB1($C1612)="FFFFFF",0,1)+IF(getRGB1($D1612)="FFFFFF",0,2)+IF(getRGB1($E1612)="FFFFFF",0,3)+IF(getRGB1($F1612)="FFFFFF",0,4)</f>
        <v>2</v>
      </c>
    </row>
    <row r="1613" spans="1:7" ht="30">
      <c r="A1613" t="s">
        <v>8680</v>
      </c>
      <c r="B1613" s="394" t="s">
        <v>5475</v>
      </c>
      <c r="C1613" s="380">
        <v>5</v>
      </c>
      <c r="D1613" s="380">
        <v>25</v>
      </c>
      <c r="E1613" s="380">
        <v>30</v>
      </c>
      <c r="F1613" s="382">
        <v>30</v>
      </c>
      <c r="G1613">
        <f>IF(getRGB1($C1613)="FFFFFF",0,1)+IF(getRGB1($D1613)="FFFFFF",0,2)+IF(getRGB1($E1613)="FFFFFF",0,3)+IF(getRGB1($F1613)="FFFFFF",0,4)</f>
        <v>4</v>
      </c>
    </row>
    <row r="1614" spans="1:7" ht="45">
      <c r="A1614" t="s">
        <v>8680</v>
      </c>
      <c r="B1614" s="394" t="s">
        <v>5476</v>
      </c>
      <c r="C1614" s="380">
        <v>10</v>
      </c>
      <c r="D1614" s="382">
        <v>15</v>
      </c>
      <c r="E1614" s="380">
        <v>20</v>
      </c>
      <c r="F1614" s="380">
        <v>25</v>
      </c>
      <c r="G1614">
        <f>IF(getRGB1($C1614)="FFFFFF",0,1)+IF(getRGB1($D1614)="FFFFFF",0,2)+IF(getRGB1($E1614)="FFFFFF",0,3)+IF(getRGB1($F1614)="FFFFFF",0,4)</f>
        <v>2</v>
      </c>
    </row>
    <row r="1615" spans="1:7">
      <c r="A1615" t="s">
        <v>8680</v>
      </c>
      <c r="B1615" s="381" t="s">
        <v>5477</v>
      </c>
      <c r="C1615" s="380" t="s">
        <v>5478</v>
      </c>
      <c r="D1615" s="382" t="s">
        <v>5479</v>
      </c>
      <c r="E1615" s="378" t="s">
        <v>5447</v>
      </c>
      <c r="F1615" s="378" t="s">
        <v>468</v>
      </c>
      <c r="G1615">
        <f>IF(getRGB1($C1615)="FFFFFF",0,1)+IF(getRGB1($D1615)="FFFFFF",0,2)+IF(getRGB1($E1615)="FFFFFF",0,3)+IF(getRGB1($F1615)="FFFFFF",0,4)</f>
        <v>2</v>
      </c>
    </row>
    <row r="1616" spans="1:7" ht="30">
      <c r="A1616" t="s">
        <v>8680</v>
      </c>
      <c r="B1616" s="394" t="s">
        <v>5480</v>
      </c>
      <c r="C1616" s="382">
        <v>2000</v>
      </c>
      <c r="D1616" s="380">
        <v>3000</v>
      </c>
      <c r="E1616" s="380">
        <v>4000</v>
      </c>
      <c r="F1616" s="380">
        <v>5000</v>
      </c>
      <c r="G1616">
        <f>IF(getRGB1($C1616)="FFFFFF",0,1)+IF(getRGB1($D1616)="FFFFFF",0,2)+IF(getRGB1($E1616)="FFFFFF",0,3)+IF(getRGB1($F1616)="FFFFFF",0,4)</f>
        <v>1</v>
      </c>
    </row>
    <row r="1617" spans="1:7" ht="30">
      <c r="A1617" t="s">
        <v>8680</v>
      </c>
      <c r="B1617" s="394" t="s">
        <v>5481</v>
      </c>
      <c r="C1617" s="382" t="s">
        <v>5482</v>
      </c>
      <c r="D1617" s="380" t="s">
        <v>5483</v>
      </c>
      <c r="E1617" s="380" t="s">
        <v>5484</v>
      </c>
      <c r="F1617" s="380" t="s">
        <v>5485</v>
      </c>
      <c r="G1617">
        <f>IF(getRGB1($C1617)="FFFFFF",0,1)+IF(getRGB1($D1617)="FFFFFF",0,2)+IF(getRGB1($E1617)="FFFFFF",0,3)+IF(getRGB1($F1617)="FFFFFF",0,4)</f>
        <v>1</v>
      </c>
    </row>
    <row r="1618" spans="1:7" ht="30">
      <c r="A1618" t="s">
        <v>8680</v>
      </c>
      <c r="B1618" s="394" t="s">
        <v>5486</v>
      </c>
      <c r="C1618" s="382" t="s">
        <v>5487</v>
      </c>
      <c r="D1618" s="380" t="s">
        <v>5488</v>
      </c>
      <c r="E1618" s="380" t="s">
        <v>5489</v>
      </c>
      <c r="F1618" s="380" t="s">
        <v>209</v>
      </c>
      <c r="G1618">
        <f>IF(getRGB1($C1618)="FFFFFF",0,1)+IF(getRGB1($D1618)="FFFFFF",0,2)+IF(getRGB1($E1618)="FFFFFF",0,3)+IF(getRGB1($F1618)="FFFFFF",0,4)</f>
        <v>1</v>
      </c>
    </row>
    <row r="1619" spans="1:7" ht="45">
      <c r="A1619" t="s">
        <v>8680</v>
      </c>
      <c r="B1619" s="394" t="s">
        <v>5490</v>
      </c>
      <c r="C1619" s="395" t="b">
        <v>1</v>
      </c>
      <c r="D1619" s="390" t="b">
        <v>0</v>
      </c>
      <c r="E1619" s="390"/>
      <c r="F1619" s="380"/>
      <c r="G1619">
        <f>IF(getRGB1($C1619)="FFFFFF",0,1)+IF(getRGB1($D1619)="FFFFFF",0,2)+IF(getRGB1($E1619)="FFFFFF",0,3)+IF(getRGB1($F1619)="FFFFFF",0,4)</f>
        <v>1</v>
      </c>
    </row>
    <row r="1620" spans="1:7" ht="105">
      <c r="A1620" t="s">
        <v>8680</v>
      </c>
      <c r="B1620" s="383" t="s">
        <v>5491</v>
      </c>
      <c r="C1620" s="383" t="s">
        <v>5492</v>
      </c>
      <c r="D1620" s="383" t="s">
        <v>5493</v>
      </c>
      <c r="E1620" s="383" t="s">
        <v>5494</v>
      </c>
      <c r="F1620" s="382" t="s">
        <v>3313</v>
      </c>
      <c r="G1620">
        <f>IF(getRGB1($C1620)="FFFFFF",0,1)+IF(getRGB1($D1620)="FFFFFF",0,2)+IF(getRGB1($E1620)="FFFFFF",0,3)+IF(getRGB1($F1620)="FFFFFF",0,4)</f>
        <v>4</v>
      </c>
    </row>
    <row r="1621" spans="1:7" ht="31.5">
      <c r="A1621" t="s">
        <v>8680</v>
      </c>
      <c r="B1621" s="396" t="s">
        <v>5495</v>
      </c>
      <c r="C1621" s="380">
        <v>10</v>
      </c>
      <c r="D1621" s="382">
        <v>15</v>
      </c>
      <c r="E1621" s="380">
        <v>20</v>
      </c>
      <c r="F1621" s="380">
        <v>25</v>
      </c>
      <c r="G1621">
        <f>IF(getRGB1($C1621)="FFFFFF",0,1)+IF(getRGB1($D1621)="FFFFFF",0,2)+IF(getRGB1($E1621)="FFFFFF",0,3)+IF(getRGB1($F1621)="FFFFFF",0,4)</f>
        <v>2</v>
      </c>
    </row>
    <row r="1622" spans="1:7" ht="30">
      <c r="A1622" t="s">
        <v>8680</v>
      </c>
      <c r="B1622" s="394" t="s">
        <v>5496</v>
      </c>
      <c r="C1622" s="380">
        <v>159</v>
      </c>
      <c r="D1622" s="380">
        <v>167</v>
      </c>
      <c r="E1622" s="382">
        <v>182</v>
      </c>
      <c r="F1622" s="380">
        <v>198</v>
      </c>
      <c r="G1622">
        <f>IF(getRGB1($C1622)="FFFFFF",0,1)+IF(getRGB1($D1622)="FFFFFF",0,2)+IF(getRGB1($E1622)="FFFFFF",0,3)+IF(getRGB1($F1622)="FFFFFF",0,4)</f>
        <v>3</v>
      </c>
    </row>
    <row r="1623" spans="1:7" ht="45">
      <c r="A1623" t="s">
        <v>8680</v>
      </c>
      <c r="B1623" s="394" t="s">
        <v>5497</v>
      </c>
      <c r="C1623" s="395" t="b">
        <v>1</v>
      </c>
      <c r="D1623" s="390" t="b">
        <v>0</v>
      </c>
      <c r="E1623" s="390"/>
      <c r="F1623" s="380"/>
      <c r="G1623">
        <f>IF(getRGB1($C1623)="FFFFFF",0,1)+IF(getRGB1($D1623)="FFFFFF",0,2)+IF(getRGB1($E1623)="FFFFFF",0,3)+IF(getRGB1($F1623)="FFFFFF",0,4)</f>
        <v>1</v>
      </c>
    </row>
    <row r="1624" spans="1:7" ht="60">
      <c r="A1624" t="s">
        <v>8680</v>
      </c>
      <c r="B1624" s="381" t="s">
        <v>5498</v>
      </c>
      <c r="C1624" s="383" t="s">
        <v>5499</v>
      </c>
      <c r="D1624" s="383" t="s">
        <v>5500</v>
      </c>
      <c r="E1624" s="383" t="s">
        <v>5501</v>
      </c>
      <c r="F1624" s="382" t="s">
        <v>3313</v>
      </c>
      <c r="G1624">
        <f>IF(getRGB1($C1624)="FFFFFF",0,1)+IF(getRGB1($D1624)="FFFFFF",0,2)+IF(getRGB1($E1624)="FFFFFF",0,3)+IF(getRGB1($F1624)="FFFFFF",0,4)</f>
        <v>4</v>
      </c>
    </row>
    <row r="1625" spans="1:7" ht="45">
      <c r="A1625" t="s">
        <v>8680</v>
      </c>
      <c r="B1625" s="394" t="s">
        <v>5502</v>
      </c>
      <c r="C1625" s="397" t="s">
        <v>5503</v>
      </c>
      <c r="D1625" s="394" t="s">
        <v>5504</v>
      </c>
      <c r="E1625" s="377" t="s">
        <v>5447</v>
      </c>
      <c r="F1625" s="378" t="s">
        <v>468</v>
      </c>
      <c r="G1625">
        <f>IF(getRGB1($C1625)="FFFFFF",0,1)+IF(getRGB1($D1625)="FFFFFF",0,2)+IF(getRGB1($E1625)="FFFFFF",0,3)+IF(getRGB1($F1625)="FFFFFF",0,4)</f>
        <v>3</v>
      </c>
    </row>
    <row r="1626" spans="1:7" ht="60">
      <c r="A1626" t="s">
        <v>8680</v>
      </c>
      <c r="B1626" s="394" t="s">
        <v>5505</v>
      </c>
      <c r="C1626" s="385" t="s">
        <v>5506</v>
      </c>
      <c r="D1626" s="380" t="s">
        <v>5507</v>
      </c>
      <c r="E1626" s="380" t="s">
        <v>5508</v>
      </c>
      <c r="F1626" s="380" t="s">
        <v>5509</v>
      </c>
      <c r="G1626">
        <f>IF(getRGB1($C1626)="FFFFFF",0,1)+IF(getRGB1($D1626)="FFFFFF",0,2)+IF(getRGB1($E1626)="FFFFFF",0,3)+IF(getRGB1($F1626)="FFFFFF",0,4)</f>
        <v>1</v>
      </c>
    </row>
    <row r="1627" spans="1:7" ht="60">
      <c r="A1627" t="s">
        <v>8680</v>
      </c>
      <c r="B1627" s="394" t="s">
        <v>5510</v>
      </c>
      <c r="C1627" s="382" t="s">
        <v>5511</v>
      </c>
      <c r="D1627" s="380" t="s">
        <v>5512</v>
      </c>
      <c r="E1627" s="380" t="s">
        <v>5513</v>
      </c>
      <c r="F1627" s="380" t="s">
        <v>5514</v>
      </c>
      <c r="G1627">
        <f>IF(getRGB1($C1627)="FFFFFF",0,1)+IF(getRGB1($D1627)="FFFFFF",0,2)+IF(getRGB1($E1627)="FFFFFF",0,3)+IF(getRGB1($F1627)="FFFFFF",0,4)</f>
        <v>1</v>
      </c>
    </row>
    <row r="1628" spans="1:7" ht="30">
      <c r="A1628" t="s">
        <v>8680</v>
      </c>
      <c r="B1628" s="394" t="s">
        <v>5515</v>
      </c>
      <c r="C1628" s="382" t="s">
        <v>5516</v>
      </c>
      <c r="D1628" s="380" t="s">
        <v>5517</v>
      </c>
      <c r="E1628" s="380" t="s">
        <v>5518</v>
      </c>
      <c r="F1628" s="380" t="s">
        <v>5519</v>
      </c>
      <c r="G1628">
        <f>IF(getRGB1($C1628)="FFFFFF",0,1)+IF(getRGB1($D1628)="FFFFFF",0,2)+IF(getRGB1($E1628)="FFFFFF",0,3)+IF(getRGB1($F1628)="FFFFFF",0,4)</f>
        <v>1</v>
      </c>
    </row>
    <row r="1629" spans="1:7" ht="30">
      <c r="A1629" t="s">
        <v>8680</v>
      </c>
      <c r="B1629" s="394" t="s">
        <v>5520</v>
      </c>
      <c r="C1629" s="380">
        <v>107000</v>
      </c>
      <c r="D1629" s="398">
        <v>109000</v>
      </c>
      <c r="E1629" s="380">
        <v>110000</v>
      </c>
      <c r="F1629" s="380">
        <v>130000</v>
      </c>
      <c r="G1629">
        <f>IF(getRGB1($C1629)="FFFFFF",0,1)+IF(getRGB1($D1629)="FFFFFF",0,2)+IF(getRGB1($E1629)="FFFFFF",0,3)+IF(getRGB1($F1629)="FFFFFF",0,4)</f>
        <v>2</v>
      </c>
    </row>
    <row r="1630" spans="1:7" ht="30">
      <c r="A1630" t="s">
        <v>8680</v>
      </c>
      <c r="B1630" s="394" t="s">
        <v>5521</v>
      </c>
      <c r="C1630" s="399">
        <v>260000</v>
      </c>
      <c r="D1630" s="385">
        <v>270000</v>
      </c>
      <c r="E1630" s="380">
        <v>280000</v>
      </c>
      <c r="F1630" s="380">
        <v>290000</v>
      </c>
      <c r="G1630">
        <f>IF(getRGB1($C1630)="FFFFFF",0,1)+IF(getRGB1($D1630)="FFFFFF",0,2)+IF(getRGB1($E1630)="FFFFFF",0,3)+IF(getRGB1($F1630)="FFFFFF",0,4)</f>
        <v>2</v>
      </c>
    </row>
    <row r="1631" spans="1:7" ht="30">
      <c r="A1631" t="s">
        <v>8680</v>
      </c>
      <c r="B1631" s="394" t="s">
        <v>5522</v>
      </c>
      <c r="C1631" s="380">
        <v>9000</v>
      </c>
      <c r="D1631" s="380">
        <v>11000</v>
      </c>
      <c r="E1631" s="385">
        <v>13000</v>
      </c>
      <c r="F1631" s="380">
        <v>15000</v>
      </c>
      <c r="G1631">
        <f>IF(getRGB1($C1631)="FFFFFF",0,1)+IF(getRGB1($D1631)="FFFFFF",0,2)+IF(getRGB1($E1631)="FFFFFF",0,3)+IF(getRGB1($F1631)="FFFFFF",0,4)</f>
        <v>3</v>
      </c>
    </row>
    <row r="1632" spans="1:7" ht="45">
      <c r="A1632" t="s">
        <v>8680</v>
      </c>
      <c r="B1632" s="394" t="s">
        <v>5523</v>
      </c>
      <c r="C1632" s="385">
        <v>180000</v>
      </c>
      <c r="D1632" s="380">
        <v>170000</v>
      </c>
      <c r="E1632" s="380">
        <v>190000</v>
      </c>
      <c r="F1632" s="380">
        <v>195000</v>
      </c>
      <c r="G1632">
        <f>IF(getRGB1($C1632)="FFFFFF",0,1)+IF(getRGB1($D1632)="FFFFFF",0,2)+IF(getRGB1($E1632)="FFFFFF",0,3)+IF(getRGB1($F1632)="FFFFFF",0,4)</f>
        <v>1</v>
      </c>
    </row>
    <row r="1633" spans="1:7" ht="45">
      <c r="A1633" t="s">
        <v>8680</v>
      </c>
      <c r="B1633" s="394" t="s">
        <v>5524</v>
      </c>
      <c r="C1633" s="380">
        <v>90000</v>
      </c>
      <c r="D1633" s="382">
        <v>100000</v>
      </c>
      <c r="E1633" s="380">
        <v>11000</v>
      </c>
      <c r="F1633" s="380">
        <v>12000</v>
      </c>
      <c r="G1633">
        <f>IF(getRGB1($C1633)="FFFFFF",0,1)+IF(getRGB1($D1633)="FFFFFF",0,2)+IF(getRGB1($E1633)="FFFFFF",0,3)+IF(getRGB1($F1633)="FFFFFF",0,4)</f>
        <v>2</v>
      </c>
    </row>
    <row r="1634" spans="1:7" ht="45">
      <c r="A1634" t="s">
        <v>8680</v>
      </c>
      <c r="B1634" s="394" t="s">
        <v>5525</v>
      </c>
      <c r="C1634" s="380">
        <v>45000</v>
      </c>
      <c r="D1634" s="382">
        <v>55000</v>
      </c>
      <c r="E1634" s="380">
        <v>65000</v>
      </c>
      <c r="F1634" s="380">
        <v>75000</v>
      </c>
      <c r="G1634">
        <f>IF(getRGB1($C1634)="FFFFFF",0,1)+IF(getRGB1($D1634)="FFFFFF",0,2)+IF(getRGB1($E1634)="FFFFFF",0,3)+IF(getRGB1($F1634)="FFFFFF",0,4)</f>
        <v>2</v>
      </c>
    </row>
    <row r="1635" spans="1:7" ht="45">
      <c r="A1635" t="s">
        <v>8680</v>
      </c>
      <c r="B1635" s="394" t="s">
        <v>5526</v>
      </c>
      <c r="C1635" s="382">
        <v>25000</v>
      </c>
      <c r="D1635" s="380">
        <v>30000</v>
      </c>
      <c r="E1635" s="380">
        <v>35000</v>
      </c>
      <c r="F1635" s="380">
        <v>40000</v>
      </c>
      <c r="G1635">
        <f>IF(getRGB1($C1635)="FFFFFF",0,1)+IF(getRGB1($D1635)="FFFFFF",0,2)+IF(getRGB1($E1635)="FFFFFF",0,3)+IF(getRGB1($F1635)="FFFFFF",0,4)</f>
        <v>1</v>
      </c>
    </row>
    <row r="1636" spans="1:7" ht="30">
      <c r="A1636" t="s">
        <v>8680</v>
      </c>
      <c r="B1636" s="381" t="s">
        <v>5527</v>
      </c>
      <c r="C1636" s="382">
        <v>130000</v>
      </c>
      <c r="D1636" s="380">
        <v>140000</v>
      </c>
      <c r="E1636" s="380">
        <v>150000</v>
      </c>
      <c r="F1636" s="380">
        <v>160000</v>
      </c>
      <c r="G1636">
        <f>IF(getRGB1($C1636)="FFFFFF",0,1)+IF(getRGB1($D1636)="FFFFFF",0,2)+IF(getRGB1($E1636)="FFFFFF",0,3)+IF(getRGB1($F1636)="FFFFFF",0,4)</f>
        <v>1</v>
      </c>
    </row>
    <row r="1637" spans="1:7" ht="30">
      <c r="A1637" t="s">
        <v>8680</v>
      </c>
      <c r="B1637" s="381" t="s">
        <v>5528</v>
      </c>
      <c r="C1637" s="380">
        <v>290000</v>
      </c>
      <c r="D1637" s="382">
        <v>300000</v>
      </c>
      <c r="E1637" s="380">
        <v>310000</v>
      </c>
      <c r="F1637" s="380">
        <v>320000</v>
      </c>
      <c r="G1637">
        <f>IF(getRGB1($C1637)="FFFFFF",0,1)+IF(getRGB1($D1637)="FFFFFF",0,2)+IF(getRGB1($E1637)="FFFFFF",0,3)+IF(getRGB1($F1637)="FFFFFF",0,4)</f>
        <v>2</v>
      </c>
    </row>
    <row r="1638" spans="1:7" ht="30">
      <c r="A1638" t="s">
        <v>8680</v>
      </c>
      <c r="B1638" s="381" t="s">
        <v>5529</v>
      </c>
      <c r="C1638" s="380">
        <v>180000</v>
      </c>
      <c r="D1638" s="380">
        <v>190000</v>
      </c>
      <c r="E1638" s="382">
        <v>200000</v>
      </c>
      <c r="F1638" s="380">
        <v>210000</v>
      </c>
      <c r="G1638">
        <f>IF(getRGB1($C1638)="FFFFFF",0,1)+IF(getRGB1($D1638)="FFFFFF",0,2)+IF(getRGB1($E1638)="FFFFFF",0,3)+IF(getRGB1($F1638)="FFFFFF",0,4)</f>
        <v>3</v>
      </c>
    </row>
    <row r="1639" spans="1:7" ht="45">
      <c r="A1639" t="s">
        <v>8680</v>
      </c>
      <c r="B1639" s="383" t="s">
        <v>5530</v>
      </c>
      <c r="C1639" s="400" t="s">
        <v>5531</v>
      </c>
      <c r="D1639" s="401" t="s">
        <v>5532</v>
      </c>
      <c r="E1639" s="401" t="s">
        <v>5533</v>
      </c>
      <c r="F1639" s="382" t="s">
        <v>3313</v>
      </c>
      <c r="G1639">
        <f>IF(getRGB1($C1639)="FFFFFF",0,1)+IF(getRGB1($D1639)="FFFFFF",0,2)+IF(getRGB1($E1639)="FFFFFF",0,3)+IF(getRGB1($F1639)="FFFFFF",0,4)</f>
        <v>4</v>
      </c>
    </row>
    <row r="1640" spans="1:7">
      <c r="A1640" t="s">
        <v>8680</v>
      </c>
      <c r="B1640" s="381" t="s">
        <v>5534</v>
      </c>
      <c r="C1640" s="402">
        <v>39448</v>
      </c>
      <c r="D1640" s="403">
        <v>39479</v>
      </c>
      <c r="E1640" s="402">
        <v>39508</v>
      </c>
      <c r="F1640" s="402">
        <v>39539</v>
      </c>
      <c r="G1640">
        <f>IF(getRGB1($C1640)="FFFFFF",0,1)+IF(getRGB1($D1640)="FFFFFF",0,2)+IF(getRGB1($E1640)="FFFFFF",0,3)+IF(getRGB1($F1640)="FFFFFF",0,4)</f>
        <v>2</v>
      </c>
    </row>
    <row r="1641" spans="1:7" ht="45">
      <c r="A1641" t="s">
        <v>8680</v>
      </c>
      <c r="B1641" s="97" t="s">
        <v>5535</v>
      </c>
      <c r="C1641" s="360" t="s">
        <v>1490</v>
      </c>
      <c r="D1641" s="653" t="s">
        <v>5536</v>
      </c>
      <c r="E1641" s="653" t="s">
        <v>1502</v>
      </c>
      <c r="F1641" s="653" t="s">
        <v>203</v>
      </c>
      <c r="G1641">
        <f>IF(getRGB1($C1641)="FFFFFF",0,1)+IF(getRGB1($D1641)="FFFFFF",0,2)+IF(getRGB1($E1641)="FFFFFF",0,3)+IF(getRGB1($F1641)="FFFFFF",0,4)</f>
        <v>1</v>
      </c>
    </row>
    <row r="1642" spans="1:7" ht="135">
      <c r="A1642" t="s">
        <v>8680</v>
      </c>
      <c r="B1642" s="97" t="s">
        <v>5537</v>
      </c>
      <c r="C1642" s="113" t="s">
        <v>5538</v>
      </c>
      <c r="D1642" s="725" t="s">
        <v>5539</v>
      </c>
      <c r="E1642" s="707" t="s">
        <v>5540</v>
      </c>
      <c r="F1642" s="707" t="s">
        <v>5541</v>
      </c>
      <c r="G1642">
        <f>IF(getRGB1($C1642)="FFFFFF",0,1)+IF(getRGB1($D1642)="FFFFFF",0,2)+IF(getRGB1($E1642)="FFFFFF",0,3)+IF(getRGB1($F1642)="FFFFFF",0,4)</f>
        <v>2</v>
      </c>
    </row>
    <row r="1643" spans="1:7" ht="60">
      <c r="A1643" t="s">
        <v>8680</v>
      </c>
      <c r="B1643" s="97" t="s">
        <v>5542</v>
      </c>
      <c r="C1643" s="113" t="s">
        <v>5543</v>
      </c>
      <c r="D1643" s="707" t="s">
        <v>5544</v>
      </c>
      <c r="E1643" s="707" t="s">
        <v>5545</v>
      </c>
      <c r="F1643" s="725" t="s">
        <v>5546</v>
      </c>
      <c r="G1643">
        <f>IF(getRGB1($C1643)="FFFFFF",0,1)+IF(getRGB1($D1643)="FFFFFF",0,2)+IF(getRGB1($E1643)="FFFFFF",0,3)+IF(getRGB1($F1643)="FFFFFF",0,4)</f>
        <v>4</v>
      </c>
    </row>
    <row r="1644" spans="1:7" ht="37.5">
      <c r="A1644" t="s">
        <v>8681</v>
      </c>
      <c r="B1644" s="221" t="s">
        <v>3398</v>
      </c>
      <c r="C1644" s="222" t="s">
        <v>3399</v>
      </c>
      <c r="D1644" s="223" t="s">
        <v>3400</v>
      </c>
      <c r="E1644" s="222" t="s">
        <v>3401</v>
      </c>
      <c r="F1644" s="222" t="s">
        <v>3402</v>
      </c>
      <c r="G1644">
        <f>IF(getRGB1($C1644)="FFFFFF",0,1)+IF(getRGB1($D1644)="FFFFFF",0,2)+IF(getRGB1($E1644)="FFFFFF",0,3)+IF(getRGB1($F1644)="FFFFFF",0,4)</f>
        <v>2</v>
      </c>
    </row>
    <row r="1645" spans="1:7" ht="56.25">
      <c r="A1645" t="s">
        <v>8681</v>
      </c>
      <c r="B1645" s="221" t="s">
        <v>3403</v>
      </c>
      <c r="C1645" s="222" t="s">
        <v>3404</v>
      </c>
      <c r="D1645" s="222" t="s">
        <v>3405</v>
      </c>
      <c r="E1645" s="222" t="s">
        <v>3406</v>
      </c>
      <c r="F1645" s="223" t="s">
        <v>3407</v>
      </c>
      <c r="G1645">
        <f>IF(getRGB1($C1645)="FFFFFF",0,1)+IF(getRGB1($D1645)="FFFFFF",0,2)+IF(getRGB1($E1645)="FFFFFF",0,3)+IF(getRGB1($F1645)="FFFFFF",0,4)</f>
        <v>4</v>
      </c>
    </row>
    <row r="1646" spans="1:7" ht="37.5">
      <c r="A1646" t="s">
        <v>8681</v>
      </c>
      <c r="B1646" s="221" t="s">
        <v>3408</v>
      </c>
      <c r="C1646" s="222" t="s">
        <v>3409</v>
      </c>
      <c r="D1646" s="223" t="s">
        <v>3410</v>
      </c>
      <c r="E1646" s="222" t="s">
        <v>3411</v>
      </c>
      <c r="F1646" s="222" t="s">
        <v>3412</v>
      </c>
      <c r="G1646">
        <f>IF(getRGB1($C1646)="FFFFFF",0,1)+IF(getRGB1($D1646)="FFFFFF",0,2)+IF(getRGB1($E1646)="FFFFFF",0,3)+IF(getRGB1($F1646)="FFFFFF",0,4)</f>
        <v>2</v>
      </c>
    </row>
    <row r="1647" spans="1:7" ht="37.5">
      <c r="A1647" t="s">
        <v>8681</v>
      </c>
      <c r="B1647" s="221" t="s">
        <v>3413</v>
      </c>
      <c r="C1647" s="726" t="s">
        <v>3409</v>
      </c>
      <c r="D1647" s="727" t="s">
        <v>3410</v>
      </c>
      <c r="E1647" s="727" t="s">
        <v>3411</v>
      </c>
      <c r="F1647" s="727" t="s">
        <v>3412</v>
      </c>
      <c r="G1647">
        <f>IF(getRGB1($C1647)="FFFFFF",0,1)+IF(getRGB1($D1647)="FFFFFF",0,2)+IF(getRGB1($E1647)="FFFFFF",0,3)+IF(getRGB1($F1647)="FFFFFF",0,4)</f>
        <v>1</v>
      </c>
    </row>
    <row r="1648" spans="1:7" ht="37.5">
      <c r="A1648" t="s">
        <v>8681</v>
      </c>
      <c r="B1648" s="221" t="s">
        <v>3414</v>
      </c>
      <c r="C1648" s="726" t="s">
        <v>3415</v>
      </c>
      <c r="D1648" s="727" t="s">
        <v>3416</v>
      </c>
      <c r="E1648" s="727" t="s">
        <v>3417</v>
      </c>
      <c r="F1648" s="727" t="s">
        <v>3418</v>
      </c>
      <c r="G1648">
        <f>IF(getRGB1($C1648)="FFFFFF",0,1)+IF(getRGB1($D1648)="FFFFFF",0,2)+IF(getRGB1($E1648)="FFFFFF",0,3)+IF(getRGB1($F1648)="FFFFFF",0,4)</f>
        <v>1</v>
      </c>
    </row>
    <row r="1649" spans="1:7" ht="56.25">
      <c r="A1649" t="s">
        <v>8681</v>
      </c>
      <c r="B1649" s="221" t="s">
        <v>3419</v>
      </c>
      <c r="C1649" s="222" t="s">
        <v>3420</v>
      </c>
      <c r="D1649" s="222" t="s">
        <v>3421</v>
      </c>
      <c r="E1649" s="223" t="s">
        <v>3422</v>
      </c>
      <c r="F1649" s="222" t="s">
        <v>3423</v>
      </c>
      <c r="G1649">
        <f>IF(getRGB1($C1649)="FFFFFF",0,1)+IF(getRGB1($D1649)="FFFFFF",0,2)+IF(getRGB1($E1649)="FFFFFF",0,3)+IF(getRGB1($F1649)="FFFFFF",0,4)</f>
        <v>3</v>
      </c>
    </row>
    <row r="1650" spans="1:7" ht="112.5">
      <c r="A1650" t="s">
        <v>8681</v>
      </c>
      <c r="B1650" s="221" t="s">
        <v>3424</v>
      </c>
      <c r="C1650" s="222" t="s">
        <v>3425</v>
      </c>
      <c r="D1650" s="222" t="s">
        <v>3426</v>
      </c>
      <c r="E1650" s="223" t="s">
        <v>3427</v>
      </c>
      <c r="F1650" s="222" t="s">
        <v>3428</v>
      </c>
      <c r="G1650">
        <f>IF(getRGB1($C1650)="FFFFFF",0,1)+IF(getRGB1($D1650)="FFFFFF",0,2)+IF(getRGB1($E1650)="FFFFFF",0,3)+IF(getRGB1($F1650)="FFFFFF",0,4)</f>
        <v>3</v>
      </c>
    </row>
    <row r="1651" spans="1:7" ht="37.5">
      <c r="A1651" t="s">
        <v>8681</v>
      </c>
      <c r="B1651" s="221" t="s">
        <v>3429</v>
      </c>
      <c r="C1651" s="222" t="s">
        <v>3430</v>
      </c>
      <c r="D1651" s="222" t="s">
        <v>3431</v>
      </c>
      <c r="E1651" s="222" t="s">
        <v>3432</v>
      </c>
      <c r="F1651" s="223" t="s">
        <v>3433</v>
      </c>
      <c r="G1651">
        <f>IF(getRGB1($C1651)="FFFFFF",0,1)+IF(getRGB1($D1651)="FFFFFF",0,2)+IF(getRGB1($E1651)="FFFFFF",0,3)+IF(getRGB1($F1651)="FFFFFF",0,4)</f>
        <v>4</v>
      </c>
    </row>
    <row r="1652" spans="1:7" ht="37.5">
      <c r="A1652" t="s">
        <v>8681</v>
      </c>
      <c r="B1652" s="221" t="s">
        <v>3434</v>
      </c>
      <c r="C1652" s="727" t="s">
        <v>3435</v>
      </c>
      <c r="D1652" s="224">
        <v>2.5000000000000001E-2</v>
      </c>
      <c r="E1652" s="727" t="s">
        <v>3436</v>
      </c>
      <c r="F1652" s="225">
        <v>1.4999999999999999E-2</v>
      </c>
      <c r="G1652">
        <f>IF(getRGB1($C1652)="FFFFFF",0,1)+IF(getRGB1($D1652)="FFFFFF",0,2)+IF(getRGB1($E1652)="FFFFFF",0,3)+IF(getRGB1($F1652)="FFFFFF",0,4)</f>
        <v>4</v>
      </c>
    </row>
    <row r="1653" spans="1:7" ht="37.5">
      <c r="A1653" t="s">
        <v>8681</v>
      </c>
      <c r="B1653" s="221" t="s">
        <v>3437</v>
      </c>
      <c r="C1653" s="727" t="s">
        <v>3438</v>
      </c>
      <c r="D1653" s="727" t="s">
        <v>3439</v>
      </c>
      <c r="E1653" s="726" t="s">
        <v>3440</v>
      </c>
      <c r="F1653" s="727" t="s">
        <v>3441</v>
      </c>
      <c r="G1653">
        <f>IF(getRGB1($C1653)="FFFFFF",0,1)+IF(getRGB1($D1653)="FFFFFF",0,2)+IF(getRGB1($E1653)="FFFFFF",0,3)+IF(getRGB1($F1653)="FFFFFF",0,4)</f>
        <v>3</v>
      </c>
    </row>
    <row r="1654" spans="1:7" ht="56.25">
      <c r="A1654" t="s">
        <v>8681</v>
      </c>
      <c r="B1654" s="221" t="s">
        <v>3419</v>
      </c>
      <c r="C1654" s="727" t="s">
        <v>3442</v>
      </c>
      <c r="D1654" s="726" t="s">
        <v>3422</v>
      </c>
      <c r="E1654" s="727" t="s">
        <v>3443</v>
      </c>
      <c r="F1654" s="727" t="s">
        <v>3444</v>
      </c>
      <c r="G1654">
        <f>IF(getRGB1($C1654)="FFFFFF",0,1)+IF(getRGB1($D1654)="FFFFFF",0,2)+IF(getRGB1($E1654)="FFFFFF",0,3)+IF(getRGB1($F1654)="FFFFFF",0,4)</f>
        <v>2</v>
      </c>
    </row>
    <row r="1655" spans="1:7" ht="56.25">
      <c r="A1655" t="s">
        <v>8681</v>
      </c>
      <c r="B1655" s="221" t="s">
        <v>3445</v>
      </c>
      <c r="C1655" s="727" t="s">
        <v>3446</v>
      </c>
      <c r="D1655" s="727" t="s">
        <v>3447</v>
      </c>
      <c r="E1655" s="726" t="s">
        <v>3448</v>
      </c>
      <c r="F1655" s="727" t="s">
        <v>3449</v>
      </c>
      <c r="G1655">
        <f>IF(getRGB1($C1655)="FFFFFF",0,1)+IF(getRGB1($D1655)="FFFFFF",0,2)+IF(getRGB1($E1655)="FFFFFF",0,3)+IF(getRGB1($F1655)="FFFFFF",0,4)</f>
        <v>3</v>
      </c>
    </row>
    <row r="1656" spans="1:7" ht="37.5">
      <c r="A1656" t="s">
        <v>8681</v>
      </c>
      <c r="B1656" s="221" t="s">
        <v>3450</v>
      </c>
      <c r="C1656" s="226">
        <v>0.01</v>
      </c>
      <c r="D1656" s="227">
        <v>1.4999999999999999E-2</v>
      </c>
      <c r="E1656" s="228">
        <v>0.02</v>
      </c>
      <c r="F1656" s="226">
        <v>0.03</v>
      </c>
      <c r="G1656">
        <f>IF(getRGB1($C1656)="FFFFFF",0,1)+IF(getRGB1($D1656)="FFFFFF",0,2)+IF(getRGB1($E1656)="FFFFFF",0,3)+IF(getRGB1($F1656)="FFFFFF",0,4)</f>
        <v>2</v>
      </c>
    </row>
    <row r="1657" spans="1:7" ht="37.5">
      <c r="A1657" t="s">
        <v>8681</v>
      </c>
      <c r="B1657" s="221" t="s">
        <v>3451</v>
      </c>
      <c r="C1657" s="226">
        <v>0.01</v>
      </c>
      <c r="D1657" s="229">
        <v>1.4999999999999999E-2</v>
      </c>
      <c r="E1657" s="230">
        <v>0.02</v>
      </c>
      <c r="F1657" s="226">
        <v>0.03</v>
      </c>
      <c r="G1657">
        <f>IF(getRGB1($C1657)="FFFFFF",0,1)+IF(getRGB1($D1657)="FFFFFF",0,2)+IF(getRGB1($E1657)="FFFFFF",0,3)+IF(getRGB1($F1657)="FFFFFF",0,4)</f>
        <v>3</v>
      </c>
    </row>
    <row r="1658" spans="1:7" ht="37.5">
      <c r="A1658" t="s">
        <v>8681</v>
      </c>
      <c r="B1658" s="221" t="s">
        <v>3452</v>
      </c>
      <c r="C1658" s="727" t="s">
        <v>3453</v>
      </c>
      <c r="D1658" s="727" t="s">
        <v>3454</v>
      </c>
      <c r="E1658" s="727" t="s">
        <v>3439</v>
      </c>
      <c r="F1658" s="726" t="s">
        <v>3441</v>
      </c>
      <c r="G1658">
        <f>IF(getRGB1($C1658)="FFFFFF",0,1)+IF(getRGB1($D1658)="FFFFFF",0,2)+IF(getRGB1($E1658)="FFFFFF",0,3)+IF(getRGB1($F1658)="FFFFFF",0,4)</f>
        <v>4</v>
      </c>
    </row>
    <row r="1659" spans="1:7" ht="56.25">
      <c r="A1659" t="s">
        <v>8681</v>
      </c>
      <c r="B1659" s="221" t="s">
        <v>3455</v>
      </c>
      <c r="C1659" s="727" t="s">
        <v>3456</v>
      </c>
      <c r="D1659" s="727" t="s">
        <v>3457</v>
      </c>
      <c r="E1659" s="726" t="s">
        <v>3458</v>
      </c>
      <c r="F1659" s="727" t="s">
        <v>3459</v>
      </c>
      <c r="G1659">
        <f>IF(getRGB1($C1659)="FFFFFF",0,1)+IF(getRGB1($D1659)="FFFFFF",0,2)+IF(getRGB1($E1659)="FFFFFF",0,3)+IF(getRGB1($F1659)="FFFFFF",0,4)</f>
        <v>3</v>
      </c>
    </row>
    <row r="1660" spans="1:7" ht="37.5">
      <c r="A1660" t="s">
        <v>8681</v>
      </c>
      <c r="B1660" s="221" t="s">
        <v>3413</v>
      </c>
      <c r="C1660" s="726" t="s">
        <v>3409</v>
      </c>
      <c r="D1660" s="727" t="s">
        <v>3410</v>
      </c>
      <c r="E1660" s="727" t="s">
        <v>3411</v>
      </c>
      <c r="F1660" s="727" t="s">
        <v>3412</v>
      </c>
      <c r="G1660">
        <f>IF(getRGB1($C1660)="FFFFFF",0,1)+IF(getRGB1($D1660)="FFFFFF",0,2)+IF(getRGB1($E1660)="FFFFFF",0,3)+IF(getRGB1($F1660)="FFFFFF",0,4)</f>
        <v>1</v>
      </c>
    </row>
    <row r="1661" spans="1:7" ht="56.25">
      <c r="A1661" t="s">
        <v>8681</v>
      </c>
      <c r="B1661" s="221" t="s">
        <v>3460</v>
      </c>
      <c r="C1661" s="727" t="s">
        <v>3461</v>
      </c>
      <c r="D1661" s="727" t="s">
        <v>3462</v>
      </c>
      <c r="E1661" s="726" t="s">
        <v>3463</v>
      </c>
      <c r="F1661" s="727" t="s">
        <v>3464</v>
      </c>
      <c r="G1661">
        <f>IF(getRGB1($C1661)="FFFFFF",0,1)+IF(getRGB1($D1661)="FFFFFF",0,2)+IF(getRGB1($E1661)="FFFFFF",0,3)+IF(getRGB1($F1661)="FFFFFF",0,4)</f>
        <v>3</v>
      </c>
    </row>
    <row r="1662" spans="1:7" ht="37.5">
      <c r="A1662" t="s">
        <v>8681</v>
      </c>
      <c r="B1662" s="221" t="s">
        <v>3465</v>
      </c>
      <c r="C1662" s="727" t="s">
        <v>3466</v>
      </c>
      <c r="D1662" s="727" t="s">
        <v>3467</v>
      </c>
      <c r="E1662" s="727" t="s">
        <v>3468</v>
      </c>
      <c r="F1662" s="726" t="s">
        <v>3469</v>
      </c>
      <c r="G1662">
        <f>IF(getRGB1($C1662)="FFFFFF",0,1)+IF(getRGB1($D1662)="FFFFFF",0,2)+IF(getRGB1($E1662)="FFFFFF",0,3)+IF(getRGB1($F1662)="FFFFFF",0,4)</f>
        <v>4</v>
      </c>
    </row>
    <row r="1663" spans="1:7" ht="56.25">
      <c r="A1663" t="s">
        <v>8681</v>
      </c>
      <c r="B1663" s="221" t="s">
        <v>3470</v>
      </c>
      <c r="C1663" s="727" t="s">
        <v>3471</v>
      </c>
      <c r="D1663" s="727" t="s">
        <v>3472</v>
      </c>
      <c r="E1663" s="727" t="s">
        <v>3473</v>
      </c>
      <c r="F1663" s="726" t="s">
        <v>2141</v>
      </c>
      <c r="G1663">
        <f>IF(getRGB1($C1663)="FFFFFF",0,1)+IF(getRGB1($D1663)="FFFFFF",0,2)+IF(getRGB1($E1663)="FFFFFF",0,3)+IF(getRGB1($F1663)="FFFFFF",0,4)</f>
        <v>4</v>
      </c>
    </row>
    <row r="1664" spans="1:7" ht="56.25">
      <c r="A1664" t="s">
        <v>8681</v>
      </c>
      <c r="B1664" s="221" t="s">
        <v>3474</v>
      </c>
      <c r="C1664" s="727" t="s">
        <v>3475</v>
      </c>
      <c r="D1664" s="726" t="s">
        <v>3476</v>
      </c>
      <c r="E1664" s="727" t="s">
        <v>3477</v>
      </c>
      <c r="F1664" s="727" t="s">
        <v>3478</v>
      </c>
      <c r="G1664">
        <f>IF(getRGB1($C1664)="FFFFFF",0,1)+IF(getRGB1($D1664)="FFFFFF",0,2)+IF(getRGB1($E1664)="FFFFFF",0,3)+IF(getRGB1($F1664)="FFFFFF",0,4)</f>
        <v>2</v>
      </c>
    </row>
    <row r="1665" spans="1:7" ht="56.25">
      <c r="A1665" t="s">
        <v>8681</v>
      </c>
      <c r="B1665" s="221" t="s">
        <v>3479</v>
      </c>
      <c r="C1665" s="727" t="s">
        <v>3480</v>
      </c>
      <c r="D1665" s="727" t="s">
        <v>3481</v>
      </c>
      <c r="E1665" s="727" t="s">
        <v>3482</v>
      </c>
      <c r="F1665" s="726" t="s">
        <v>3483</v>
      </c>
      <c r="G1665">
        <f>IF(getRGB1($C1665)="FFFFFF",0,1)+IF(getRGB1($D1665)="FFFFFF",0,2)+IF(getRGB1($E1665)="FFFFFF",0,3)+IF(getRGB1($F1665)="FFFFFF",0,4)</f>
        <v>4</v>
      </c>
    </row>
    <row r="1666" spans="1:7" ht="75">
      <c r="A1666" t="s">
        <v>8681</v>
      </c>
      <c r="B1666" s="221" t="s">
        <v>3484</v>
      </c>
      <c r="C1666" s="727" t="s">
        <v>3485</v>
      </c>
      <c r="D1666" s="726" t="s">
        <v>3486</v>
      </c>
      <c r="E1666" s="727" t="s">
        <v>3487</v>
      </c>
      <c r="F1666" s="727" t="s">
        <v>3488</v>
      </c>
      <c r="G1666">
        <f>IF(getRGB1($C1666)="FFFFFF",0,1)+IF(getRGB1($D1666)="FFFFFF",0,2)+IF(getRGB1($E1666)="FFFFFF",0,3)+IF(getRGB1($F1666)="FFFFFF",0,4)</f>
        <v>2</v>
      </c>
    </row>
    <row r="1667" spans="1:7" ht="37.5">
      <c r="A1667" t="s">
        <v>8681</v>
      </c>
      <c r="B1667" s="221" t="s">
        <v>3489</v>
      </c>
      <c r="C1667" s="226">
        <v>0.01</v>
      </c>
      <c r="D1667" s="227">
        <v>1.4999999999999999E-2</v>
      </c>
      <c r="E1667" s="226">
        <v>0.02</v>
      </c>
      <c r="F1667" s="229">
        <v>2.5000000000000001E-2</v>
      </c>
      <c r="G1667">
        <f>IF(getRGB1($C1667)="FFFFFF",0,1)+IF(getRGB1($D1667)="FFFFFF",0,2)+IF(getRGB1($E1667)="FFFFFF",0,3)+IF(getRGB1($F1667)="FFFFFF",0,4)</f>
        <v>2</v>
      </c>
    </row>
    <row r="1668" spans="1:7" ht="37.5">
      <c r="A1668" t="s">
        <v>8681</v>
      </c>
      <c r="B1668" s="221" t="s">
        <v>3490</v>
      </c>
      <c r="C1668" s="226">
        <v>0.01</v>
      </c>
      <c r="D1668" s="231">
        <v>1.4999999999999999E-2</v>
      </c>
      <c r="E1668" s="230">
        <v>0.03</v>
      </c>
      <c r="F1668" s="229">
        <v>2.5000000000000001E-2</v>
      </c>
      <c r="G1668">
        <f>IF(getRGB1($C1668)="FFFFFF",0,1)+IF(getRGB1($D1668)="FFFFFF",0,2)+IF(getRGB1($E1668)="FFFFFF",0,3)+IF(getRGB1($F1668)="FFFFFF",0,4)</f>
        <v>3</v>
      </c>
    </row>
    <row r="1669" spans="1:7" ht="56.25">
      <c r="A1669" t="s">
        <v>8681</v>
      </c>
      <c r="B1669" s="221" t="s">
        <v>3491</v>
      </c>
      <c r="C1669" s="226" t="s">
        <v>3492</v>
      </c>
      <c r="D1669" s="225" t="s">
        <v>3493</v>
      </c>
      <c r="E1669" s="228" t="s">
        <v>3494</v>
      </c>
      <c r="F1669" s="224" t="s">
        <v>3495</v>
      </c>
      <c r="G1669">
        <f>IF(getRGB1($C1669)="FFFFFF",0,1)+IF(getRGB1($D1669)="FFFFFF",0,2)+IF(getRGB1($E1669)="FFFFFF",0,3)+IF(getRGB1($F1669)="FFFFFF",0,4)</f>
        <v>2</v>
      </c>
    </row>
    <row r="1670" spans="1:7" ht="56.25">
      <c r="A1670" t="s">
        <v>8681</v>
      </c>
      <c r="B1670" s="221" t="s">
        <v>3496</v>
      </c>
      <c r="C1670" s="226">
        <v>0.01</v>
      </c>
      <c r="D1670" s="224">
        <v>1.4999999999999999E-2</v>
      </c>
      <c r="E1670" s="230">
        <v>0.02</v>
      </c>
      <c r="F1670" s="224" t="s">
        <v>3497</v>
      </c>
      <c r="G1670">
        <f>IF(getRGB1($C1670)="FFFFFF",0,1)+IF(getRGB1($D1670)="FFFFFF",0,2)+IF(getRGB1($E1670)="FFFFFF",0,3)+IF(getRGB1($F1670)="FFFFFF",0,4)</f>
        <v>3</v>
      </c>
    </row>
    <row r="1671" spans="1:7" ht="112.5">
      <c r="A1671" t="s">
        <v>8681</v>
      </c>
      <c r="B1671" s="221" t="s">
        <v>8682</v>
      </c>
      <c r="C1671" s="727" t="s">
        <v>3498</v>
      </c>
      <c r="D1671" s="727" t="s">
        <v>3499</v>
      </c>
      <c r="E1671" s="727" t="s">
        <v>3500</v>
      </c>
      <c r="F1671" s="726" t="s">
        <v>3501</v>
      </c>
      <c r="G1671">
        <f>IF(getRGB1($C1671)="FFFFFF",0,1)+IF(getRGB1($D1671)="FFFFFF",0,2)+IF(getRGB1($E1671)="FFFFFF",0,3)+IF(getRGB1($F1671)="FFFFFF",0,4)</f>
        <v>4</v>
      </c>
    </row>
    <row r="1672" spans="1:7" ht="75">
      <c r="A1672" t="s">
        <v>8681</v>
      </c>
      <c r="B1672" s="221" t="s">
        <v>3502</v>
      </c>
      <c r="C1672" s="727" t="s">
        <v>74</v>
      </c>
      <c r="D1672" s="726" t="s">
        <v>137</v>
      </c>
      <c r="E1672" s="727" t="s">
        <v>179</v>
      </c>
      <c r="F1672" s="727" t="s">
        <v>76</v>
      </c>
      <c r="G1672">
        <f>IF(getRGB1($C1672)="FFFFFF",0,1)+IF(getRGB1($D1672)="FFFFFF",0,2)+IF(getRGB1($E1672)="FFFFFF",0,3)+IF(getRGB1($F1672)="FFFFFF",0,4)</f>
        <v>2</v>
      </c>
    </row>
    <row r="1673" spans="1:7" ht="56.25">
      <c r="A1673" t="s">
        <v>8681</v>
      </c>
      <c r="B1673" s="221" t="s">
        <v>3503</v>
      </c>
      <c r="C1673" s="727" t="s">
        <v>179</v>
      </c>
      <c r="D1673" s="727" t="s">
        <v>76</v>
      </c>
      <c r="E1673" s="727" t="s">
        <v>74</v>
      </c>
      <c r="F1673" s="726" t="s">
        <v>137</v>
      </c>
      <c r="G1673">
        <f>IF(getRGB1($C1673)="FFFFFF",0,1)+IF(getRGB1($D1673)="FFFFFF",0,2)+IF(getRGB1($E1673)="FFFFFF",0,3)+IF(getRGB1($F1673)="FFFFFF",0,4)</f>
        <v>4</v>
      </c>
    </row>
    <row r="1674" spans="1:7" ht="131.25">
      <c r="A1674" t="s">
        <v>8681</v>
      </c>
      <c r="B1674" s="221" t="s">
        <v>6647</v>
      </c>
      <c r="C1674" s="727" t="s">
        <v>3504</v>
      </c>
      <c r="D1674" s="727" t="s">
        <v>3505</v>
      </c>
      <c r="E1674" s="726" t="s">
        <v>3506</v>
      </c>
      <c r="F1674" s="727" t="s">
        <v>3507</v>
      </c>
      <c r="G1674">
        <f>IF(getRGB1($C1674)="FFFFFF",0,1)+IF(getRGB1($D1674)="FFFFFF",0,2)+IF(getRGB1($E1674)="FFFFFF",0,3)+IF(getRGB1($F1674)="FFFFFF",0,4)</f>
        <v>3</v>
      </c>
    </row>
    <row r="1675" spans="1:7" ht="56.25">
      <c r="A1675" t="s">
        <v>8681</v>
      </c>
      <c r="B1675" s="221" t="s">
        <v>3508</v>
      </c>
      <c r="C1675" s="727" t="s">
        <v>3509</v>
      </c>
      <c r="D1675" s="727" t="s">
        <v>3510</v>
      </c>
      <c r="E1675" s="727" t="s">
        <v>3511</v>
      </c>
      <c r="F1675" s="726" t="s">
        <v>3512</v>
      </c>
      <c r="G1675">
        <f>IF(getRGB1($C1675)="FFFFFF",0,1)+IF(getRGB1($D1675)="FFFFFF",0,2)+IF(getRGB1($E1675)="FFFFFF",0,3)+IF(getRGB1($F1675)="FFFFFF",0,4)</f>
        <v>4</v>
      </c>
    </row>
    <row r="1676" spans="1:7" ht="37.5">
      <c r="A1676" t="s">
        <v>8681</v>
      </c>
      <c r="B1676" s="221" t="s">
        <v>3513</v>
      </c>
      <c r="C1676" s="727" t="s">
        <v>74</v>
      </c>
      <c r="D1676" s="726" t="s">
        <v>557</v>
      </c>
      <c r="E1676" s="727" t="s">
        <v>137</v>
      </c>
      <c r="F1676" s="727" t="s">
        <v>177</v>
      </c>
      <c r="G1676">
        <f>IF(getRGB1($C1676)="FFFFFF",0,1)+IF(getRGB1($D1676)="FFFFFF",0,2)+IF(getRGB1($E1676)="FFFFFF",0,3)+IF(getRGB1($F1676)="FFFFFF",0,4)</f>
        <v>2</v>
      </c>
    </row>
    <row r="1677" spans="1:7" ht="56.25">
      <c r="A1677" t="s">
        <v>8681</v>
      </c>
      <c r="B1677" s="221" t="s">
        <v>3514</v>
      </c>
      <c r="C1677" s="727" t="s">
        <v>74</v>
      </c>
      <c r="D1677" s="727" t="s">
        <v>137</v>
      </c>
      <c r="E1677" s="726" t="s">
        <v>3515</v>
      </c>
      <c r="F1677" s="727" t="s">
        <v>3516</v>
      </c>
      <c r="G1677">
        <f>IF(getRGB1($C1677)="FFFFFF",0,1)+IF(getRGB1($D1677)="FFFFFF",0,2)+IF(getRGB1($E1677)="FFFFFF",0,3)+IF(getRGB1($F1677)="FFFFFF",0,4)</f>
        <v>3</v>
      </c>
    </row>
    <row r="1678" spans="1:7" ht="56.25">
      <c r="A1678" t="s">
        <v>8681</v>
      </c>
      <c r="B1678" s="221" t="s">
        <v>3517</v>
      </c>
      <c r="C1678" s="727" t="s">
        <v>204</v>
      </c>
      <c r="D1678" s="726" t="s">
        <v>203</v>
      </c>
      <c r="E1678" s="727" t="s">
        <v>3518</v>
      </c>
      <c r="F1678" s="727" t="s">
        <v>3519</v>
      </c>
      <c r="G1678">
        <f>IF(getRGB1($C1678)="FFFFFF",0,1)+IF(getRGB1($D1678)="FFFFFF",0,2)+IF(getRGB1($E1678)="FFFFFF",0,3)+IF(getRGB1($F1678)="FFFFFF",0,4)</f>
        <v>2</v>
      </c>
    </row>
    <row r="1679" spans="1:7" ht="112.5">
      <c r="A1679" t="s">
        <v>8681</v>
      </c>
      <c r="B1679" s="221" t="s">
        <v>6648</v>
      </c>
      <c r="C1679" s="726" t="s">
        <v>3498</v>
      </c>
      <c r="D1679" s="727" t="s">
        <v>3499</v>
      </c>
      <c r="E1679" s="727" t="s">
        <v>3500</v>
      </c>
      <c r="F1679" s="727" t="s">
        <v>3501</v>
      </c>
      <c r="G1679">
        <f>IF(getRGB1($C1679)="FFFFFF",0,1)+IF(getRGB1($D1679)="FFFFFF",0,2)+IF(getRGB1($E1679)="FFFFFF",0,3)+IF(getRGB1($F1679)="FFFFFF",0,4)</f>
        <v>1</v>
      </c>
    </row>
    <row r="1680" spans="1:7" ht="56.25">
      <c r="A1680" t="s">
        <v>8681</v>
      </c>
      <c r="B1680" s="221" t="s">
        <v>3520</v>
      </c>
      <c r="C1680" s="726" t="s">
        <v>137</v>
      </c>
      <c r="D1680" s="727" t="s">
        <v>179</v>
      </c>
      <c r="E1680" s="727" t="s">
        <v>76</v>
      </c>
      <c r="F1680" s="727" t="s">
        <v>74</v>
      </c>
      <c r="G1680">
        <f>IF(getRGB1($C1680)="FFFFFF",0,1)+IF(getRGB1($D1680)="FFFFFF",0,2)+IF(getRGB1($E1680)="FFFFFF",0,3)+IF(getRGB1($F1680)="FFFFFF",0,4)</f>
        <v>1</v>
      </c>
    </row>
    <row r="1681" spans="1:7" ht="56.25">
      <c r="A1681" t="s">
        <v>8681</v>
      </c>
      <c r="B1681" s="221" t="s">
        <v>3521</v>
      </c>
      <c r="C1681" s="232" t="s">
        <v>179</v>
      </c>
      <c r="D1681" s="232" t="s">
        <v>137</v>
      </c>
      <c r="E1681" s="232" t="s">
        <v>74</v>
      </c>
      <c r="F1681" s="233" t="s">
        <v>3522</v>
      </c>
      <c r="G1681">
        <f>IF(getRGB1($C1681)="FFFFFF",0,1)+IF(getRGB1($D1681)="FFFFFF",0,2)+IF(getRGB1($E1681)="FFFFFF",0,3)+IF(getRGB1($F1681)="FFFFFF",0,4)</f>
        <v>4</v>
      </c>
    </row>
    <row r="1682" spans="1:7" ht="56.25">
      <c r="A1682" t="s">
        <v>8681</v>
      </c>
      <c r="B1682" s="221" t="s">
        <v>3523</v>
      </c>
      <c r="C1682" s="222" t="s">
        <v>3524</v>
      </c>
      <c r="D1682" s="223" t="s">
        <v>803</v>
      </c>
      <c r="E1682" s="222" t="s">
        <v>3525</v>
      </c>
      <c r="F1682" s="222" t="s">
        <v>804</v>
      </c>
      <c r="G1682">
        <f>IF(getRGB1($C1682)="FFFFFF",0,1)+IF(getRGB1($D1682)="FFFFFF",0,2)+IF(getRGB1($E1682)="FFFFFF",0,3)+IF(getRGB1($F1682)="FFFFFF",0,4)</f>
        <v>2</v>
      </c>
    </row>
    <row r="1683" spans="1:7" ht="56.25">
      <c r="A1683" t="s">
        <v>8681</v>
      </c>
      <c r="B1683" s="221" t="s">
        <v>3526</v>
      </c>
      <c r="C1683" s="222" t="s">
        <v>73</v>
      </c>
      <c r="D1683" s="222" t="s">
        <v>179</v>
      </c>
      <c r="E1683" s="222" t="s">
        <v>76</v>
      </c>
      <c r="F1683" s="223" t="s">
        <v>137</v>
      </c>
      <c r="G1683">
        <f>IF(getRGB1($C1683)="FFFFFF",0,1)+IF(getRGB1($D1683)="FFFFFF",0,2)+IF(getRGB1($E1683)="FFFFFF",0,3)+IF(getRGB1($F1683)="FFFFFF",0,4)</f>
        <v>4</v>
      </c>
    </row>
    <row r="1684" spans="1:7" ht="37.5">
      <c r="A1684" t="s">
        <v>8681</v>
      </c>
      <c r="B1684" s="221" t="s">
        <v>3527</v>
      </c>
      <c r="C1684" s="223" t="s">
        <v>3528</v>
      </c>
      <c r="D1684" s="222" t="s">
        <v>3529</v>
      </c>
      <c r="E1684" s="222" t="s">
        <v>3530</v>
      </c>
      <c r="F1684" s="222" t="s">
        <v>2141</v>
      </c>
      <c r="G1684">
        <f>IF(getRGB1($C1684)="FFFFFF",0,1)+IF(getRGB1($D1684)="FFFFFF",0,2)+IF(getRGB1($E1684)="FFFFFF",0,3)+IF(getRGB1($F1684)="FFFFFF",0,4)</f>
        <v>1</v>
      </c>
    </row>
    <row r="1685" spans="1:7" ht="37.5">
      <c r="A1685" t="s">
        <v>8681</v>
      </c>
      <c r="B1685" s="221" t="s">
        <v>3531</v>
      </c>
      <c r="C1685" s="222" t="s">
        <v>3528</v>
      </c>
      <c r="D1685" s="222" t="s">
        <v>3529</v>
      </c>
      <c r="E1685" s="222" t="s">
        <v>3530</v>
      </c>
      <c r="F1685" s="223" t="s">
        <v>3532</v>
      </c>
      <c r="G1685">
        <f>IF(getRGB1($C1685)="FFFFFF",0,1)+IF(getRGB1($D1685)="FFFFFF",0,2)+IF(getRGB1($E1685)="FFFFFF",0,3)+IF(getRGB1($F1685)="FFFFFF",0,4)</f>
        <v>4</v>
      </c>
    </row>
    <row r="1686" spans="1:7" ht="37.5">
      <c r="A1686" t="s">
        <v>8681</v>
      </c>
      <c r="B1686" s="221" t="s">
        <v>3533</v>
      </c>
      <c r="C1686" s="223" t="s">
        <v>3534</v>
      </c>
      <c r="D1686" s="222" t="s">
        <v>3535</v>
      </c>
      <c r="E1686" s="222" t="s">
        <v>3536</v>
      </c>
      <c r="F1686" s="222" t="s">
        <v>3537</v>
      </c>
      <c r="G1686">
        <f>IF(getRGB1($C1686)="FFFFFF",0,1)+IF(getRGB1($D1686)="FFFFFF",0,2)+IF(getRGB1($E1686)="FFFFFF",0,3)+IF(getRGB1($F1686)="FFFFFF",0,4)</f>
        <v>1</v>
      </c>
    </row>
    <row r="1687" spans="1:7" ht="37.5">
      <c r="A1687" t="s">
        <v>8681</v>
      </c>
      <c r="B1687" s="221" t="s">
        <v>3538</v>
      </c>
      <c r="C1687" s="222" t="s">
        <v>3472</v>
      </c>
      <c r="D1687" s="223" t="s">
        <v>3539</v>
      </c>
      <c r="E1687" s="222" t="s">
        <v>3466</v>
      </c>
      <c r="F1687" s="222" t="s">
        <v>3540</v>
      </c>
      <c r="G1687">
        <f>IF(getRGB1($C1687)="FFFFFF",0,1)+IF(getRGB1($D1687)="FFFFFF",0,2)+IF(getRGB1($E1687)="FFFFFF",0,3)+IF(getRGB1($F1687)="FFFFFF",0,4)</f>
        <v>2</v>
      </c>
    </row>
    <row r="1688" spans="1:7" ht="37.5">
      <c r="A1688" t="s">
        <v>8681</v>
      </c>
      <c r="B1688" s="221" t="s">
        <v>3541</v>
      </c>
      <c r="C1688" s="222" t="s">
        <v>3472</v>
      </c>
      <c r="D1688" s="222" t="s">
        <v>3539</v>
      </c>
      <c r="E1688" s="223" t="s">
        <v>3466</v>
      </c>
      <c r="F1688" s="222" t="s">
        <v>3540</v>
      </c>
      <c r="G1688">
        <f>IF(getRGB1($C1688)="FFFFFF",0,1)+IF(getRGB1($D1688)="FFFFFF",0,2)+IF(getRGB1($E1688)="FFFFFF",0,3)+IF(getRGB1($F1688)="FFFFFF",0,4)</f>
        <v>3</v>
      </c>
    </row>
    <row r="1689" spans="1:7" ht="37.5">
      <c r="A1689" t="s">
        <v>8681</v>
      </c>
      <c r="B1689" s="221" t="s">
        <v>3542</v>
      </c>
      <c r="C1689" s="223" t="s">
        <v>3543</v>
      </c>
      <c r="D1689" s="222" t="s">
        <v>3544</v>
      </c>
      <c r="E1689" s="222" t="s">
        <v>3545</v>
      </c>
      <c r="F1689" s="222" t="s">
        <v>3546</v>
      </c>
      <c r="G1689">
        <f>IF(getRGB1($C1689)="FFFFFF",0,1)+IF(getRGB1($D1689)="FFFFFF",0,2)+IF(getRGB1($E1689)="FFFFFF",0,3)+IF(getRGB1($F1689)="FFFFFF",0,4)</f>
        <v>1</v>
      </c>
    </row>
    <row r="1690" spans="1:7" ht="37.5">
      <c r="A1690" t="s">
        <v>8681</v>
      </c>
      <c r="B1690" s="221" t="s">
        <v>3547</v>
      </c>
      <c r="C1690" s="222" t="s">
        <v>3543</v>
      </c>
      <c r="D1690" s="223" t="s">
        <v>3544</v>
      </c>
      <c r="E1690" s="222" t="s">
        <v>3545</v>
      </c>
      <c r="F1690" s="222" t="s">
        <v>3546</v>
      </c>
      <c r="G1690">
        <f>IF(getRGB1($C1690)="FFFFFF",0,1)+IF(getRGB1($D1690)="FFFFFF",0,2)+IF(getRGB1($E1690)="FFFFFF",0,3)+IF(getRGB1($F1690)="FFFFFF",0,4)</f>
        <v>2</v>
      </c>
    </row>
    <row r="1691" spans="1:7" ht="37.5">
      <c r="A1691" t="s">
        <v>8681</v>
      </c>
      <c r="B1691" s="221" t="s">
        <v>3548</v>
      </c>
      <c r="C1691" s="222" t="s">
        <v>3543</v>
      </c>
      <c r="D1691" s="222" t="s">
        <v>3544</v>
      </c>
      <c r="E1691" s="223" t="s">
        <v>3545</v>
      </c>
      <c r="F1691" s="222" t="s">
        <v>3546</v>
      </c>
      <c r="G1691">
        <f>IF(getRGB1($C1691)="FFFFFF",0,1)+IF(getRGB1($D1691)="FFFFFF",0,2)+IF(getRGB1($E1691)="FFFFFF",0,3)+IF(getRGB1($F1691)="FFFFFF",0,4)</f>
        <v>3</v>
      </c>
    </row>
    <row r="1692" spans="1:7" ht="37.5">
      <c r="A1692" t="s">
        <v>8681</v>
      </c>
      <c r="B1692" s="221" t="s">
        <v>3549</v>
      </c>
      <c r="C1692" s="222" t="s">
        <v>3543</v>
      </c>
      <c r="D1692" s="222" t="s">
        <v>3544</v>
      </c>
      <c r="E1692" s="222" t="s">
        <v>3545</v>
      </c>
      <c r="F1692" s="223" t="s">
        <v>3546</v>
      </c>
      <c r="G1692">
        <f>IF(getRGB1($C1692)="FFFFFF",0,1)+IF(getRGB1($D1692)="FFFFFF",0,2)+IF(getRGB1($E1692)="FFFFFF",0,3)+IF(getRGB1($F1692)="FFFFFF",0,4)</f>
        <v>4</v>
      </c>
    </row>
    <row r="1693" spans="1:7" ht="37.5">
      <c r="A1693" t="s">
        <v>8681</v>
      </c>
      <c r="B1693" s="221" t="s">
        <v>3550</v>
      </c>
      <c r="C1693" s="222" t="s">
        <v>3543</v>
      </c>
      <c r="D1693" s="222" t="s">
        <v>3544</v>
      </c>
      <c r="E1693" s="223" t="s">
        <v>3551</v>
      </c>
      <c r="F1693" s="222" t="s">
        <v>3546</v>
      </c>
      <c r="G1693">
        <f>IF(getRGB1($C1693)="FFFFFF",0,1)+IF(getRGB1($D1693)="FFFFFF",0,2)+IF(getRGB1($E1693)="FFFFFF",0,3)+IF(getRGB1($F1693)="FFFFFF",0,4)</f>
        <v>3</v>
      </c>
    </row>
    <row r="1694" spans="1:7" ht="93.75">
      <c r="A1694" t="s">
        <v>8681</v>
      </c>
      <c r="B1694" s="221" t="s">
        <v>3552</v>
      </c>
      <c r="C1694" s="222" t="s">
        <v>3553</v>
      </c>
      <c r="D1694" s="223" t="s">
        <v>3554</v>
      </c>
      <c r="E1694" s="222" t="s">
        <v>3555</v>
      </c>
      <c r="F1694" s="222" t="s">
        <v>3556</v>
      </c>
      <c r="G1694">
        <f>IF(getRGB1($C1694)="FFFFFF",0,1)+IF(getRGB1($D1694)="FFFFFF",0,2)+IF(getRGB1($E1694)="FFFFFF",0,3)+IF(getRGB1($F1694)="FFFFFF",0,4)</f>
        <v>2</v>
      </c>
    </row>
    <row r="1695" spans="1:7" ht="56.25">
      <c r="A1695" t="s">
        <v>8681</v>
      </c>
      <c r="B1695" s="221" t="s">
        <v>3557</v>
      </c>
      <c r="C1695" s="222" t="s">
        <v>137</v>
      </c>
      <c r="D1695" s="222" t="s">
        <v>74</v>
      </c>
      <c r="E1695" s="223" t="s">
        <v>3558</v>
      </c>
      <c r="F1695" s="222" t="s">
        <v>2141</v>
      </c>
      <c r="G1695">
        <f>IF(getRGB1($C1695)="FFFFFF",0,1)+IF(getRGB1($D1695)="FFFFFF",0,2)+IF(getRGB1($E1695)="FFFFFF",0,3)+IF(getRGB1($F1695)="FFFFFF",0,4)</f>
        <v>3</v>
      </c>
    </row>
    <row r="1696" spans="1:7" ht="56.25">
      <c r="A1696" t="s">
        <v>8681</v>
      </c>
      <c r="B1696" s="221" t="s">
        <v>3559</v>
      </c>
      <c r="C1696" s="222" t="s">
        <v>3560</v>
      </c>
      <c r="D1696" s="222" t="s">
        <v>3561</v>
      </c>
      <c r="E1696" s="223" t="s">
        <v>3562</v>
      </c>
      <c r="F1696" s="222" t="s">
        <v>3563</v>
      </c>
      <c r="G1696">
        <f>IF(getRGB1($C1696)="FFFFFF",0,1)+IF(getRGB1($D1696)="FFFFFF",0,2)+IF(getRGB1($E1696)="FFFFFF",0,3)+IF(getRGB1($F1696)="FFFFFF",0,4)</f>
        <v>3</v>
      </c>
    </row>
    <row r="1697" spans="1:7" ht="56.25">
      <c r="A1697" t="s">
        <v>8681</v>
      </c>
      <c r="B1697" s="221" t="s">
        <v>3564</v>
      </c>
      <c r="C1697" s="222" t="s">
        <v>137</v>
      </c>
      <c r="D1697" s="222" t="s">
        <v>76</v>
      </c>
      <c r="E1697" s="223" t="s">
        <v>179</v>
      </c>
      <c r="F1697" s="222" t="s">
        <v>557</v>
      </c>
      <c r="G1697">
        <f>IF(getRGB1($C1697)="FFFFFF",0,1)+IF(getRGB1($D1697)="FFFFFF",0,2)+IF(getRGB1($E1697)="FFFFFF",0,3)+IF(getRGB1($F1697)="FFFFFF",0,4)</f>
        <v>3</v>
      </c>
    </row>
    <row r="1698" spans="1:7" ht="56.25">
      <c r="A1698" t="s">
        <v>8681</v>
      </c>
      <c r="B1698" s="221" t="s">
        <v>3565</v>
      </c>
      <c r="C1698" s="222" t="s">
        <v>137</v>
      </c>
      <c r="D1698" s="222" t="s">
        <v>76</v>
      </c>
      <c r="E1698" s="222" t="s">
        <v>179</v>
      </c>
      <c r="F1698" s="223" t="s">
        <v>557</v>
      </c>
      <c r="G1698">
        <f>IF(getRGB1($C1698)="FFFFFF",0,1)+IF(getRGB1($D1698)="FFFFFF",0,2)+IF(getRGB1($E1698)="FFFFFF",0,3)+IF(getRGB1($F1698)="FFFFFF",0,4)</f>
        <v>4</v>
      </c>
    </row>
    <row r="1699" spans="1:7" ht="75">
      <c r="A1699" t="s">
        <v>8681</v>
      </c>
      <c r="B1699" s="221" t="s">
        <v>3566</v>
      </c>
      <c r="C1699" s="223" t="s">
        <v>3567</v>
      </c>
      <c r="D1699" s="222" t="s">
        <v>3568</v>
      </c>
      <c r="E1699" s="222" t="s">
        <v>3569</v>
      </c>
      <c r="F1699" s="222" t="s">
        <v>203</v>
      </c>
      <c r="G1699">
        <f>IF(getRGB1($C1699)="FFFFFF",0,1)+IF(getRGB1($D1699)="FFFFFF",0,2)+IF(getRGB1($E1699)="FFFFFF",0,3)+IF(getRGB1($F1699)="FFFFFF",0,4)</f>
        <v>1</v>
      </c>
    </row>
    <row r="1700" spans="1:7" ht="37.5">
      <c r="A1700" t="s">
        <v>8681</v>
      </c>
      <c r="B1700" s="221" t="s">
        <v>3570</v>
      </c>
      <c r="C1700" s="222" t="s">
        <v>179</v>
      </c>
      <c r="D1700" s="222" t="s">
        <v>76</v>
      </c>
      <c r="E1700" s="223" t="s">
        <v>137</v>
      </c>
      <c r="F1700" s="222" t="s">
        <v>74</v>
      </c>
      <c r="G1700">
        <f>IF(getRGB1($C1700)="FFFFFF",0,1)+IF(getRGB1($D1700)="FFFFFF",0,2)+IF(getRGB1($E1700)="FFFFFF",0,3)+IF(getRGB1($F1700)="FFFFFF",0,4)</f>
        <v>3</v>
      </c>
    </row>
    <row r="1701" spans="1:7" ht="56.25">
      <c r="A1701" t="s">
        <v>8681</v>
      </c>
      <c r="B1701" s="221" t="s">
        <v>3571</v>
      </c>
      <c r="C1701" s="234" t="s">
        <v>3567</v>
      </c>
      <c r="D1701" s="222" t="s">
        <v>3568</v>
      </c>
      <c r="E1701" s="223" t="s">
        <v>3569</v>
      </c>
      <c r="F1701" s="222" t="s">
        <v>203</v>
      </c>
      <c r="G1701">
        <f>IF(getRGB1($C1701)="FFFFFF",0,1)+IF(getRGB1($D1701)="FFFFFF",0,2)+IF(getRGB1($E1701)="FFFFFF",0,3)+IF(getRGB1($F1701)="FFFFFF",0,4)</f>
        <v>3</v>
      </c>
    </row>
    <row r="1702" spans="1:7" ht="37.5">
      <c r="A1702" t="s">
        <v>8681</v>
      </c>
      <c r="B1702" s="221" t="s">
        <v>3572</v>
      </c>
      <c r="C1702" s="222" t="s">
        <v>3573</v>
      </c>
      <c r="D1702" s="222" t="s">
        <v>3574</v>
      </c>
      <c r="E1702" s="223" t="s">
        <v>3575</v>
      </c>
      <c r="F1702" s="222" t="s">
        <v>3576</v>
      </c>
      <c r="G1702">
        <f>IF(getRGB1($C1702)="FFFFFF",0,1)+IF(getRGB1($D1702)="FFFFFF",0,2)+IF(getRGB1($E1702)="FFFFFF",0,3)+IF(getRGB1($F1702)="FFFFFF",0,4)</f>
        <v>3</v>
      </c>
    </row>
    <row r="1703" spans="1:7" ht="56.25">
      <c r="A1703" t="s">
        <v>8681</v>
      </c>
      <c r="B1703" s="221" t="s">
        <v>3577</v>
      </c>
      <c r="C1703" s="234" t="s">
        <v>3567</v>
      </c>
      <c r="D1703" s="222" t="s">
        <v>3568</v>
      </c>
      <c r="E1703" s="223" t="s">
        <v>3569</v>
      </c>
      <c r="F1703" s="222" t="s">
        <v>203</v>
      </c>
      <c r="G1703">
        <f>IF(getRGB1($C1703)="FFFFFF",0,1)+IF(getRGB1($D1703)="FFFFFF",0,2)+IF(getRGB1($E1703)="FFFFFF",0,3)+IF(getRGB1($F1703)="FFFFFF",0,4)</f>
        <v>3</v>
      </c>
    </row>
    <row r="1704" spans="1:7" ht="36">
      <c r="A1704" t="s">
        <v>8681</v>
      </c>
      <c r="B1704" s="235" t="s">
        <v>8738</v>
      </c>
      <c r="C1704" s="236" t="s">
        <v>3579</v>
      </c>
      <c r="D1704" s="237" t="s">
        <v>3580</v>
      </c>
      <c r="E1704" s="236" t="s">
        <v>3581</v>
      </c>
      <c r="F1704" s="236" t="s">
        <v>3582</v>
      </c>
      <c r="G1704">
        <f>IF(getRGB1($C1704)="FFFFFF",0,1)+IF(getRGB1($D1704)="FFFFFF",0,2)+IF(getRGB1($E1704)="FFFFFF",0,3)+IF(getRGB1($F1704)="FFFFFF",0,4)</f>
        <v>2</v>
      </c>
    </row>
    <row r="1705" spans="1:7" ht="36">
      <c r="A1705" t="s">
        <v>8681</v>
      </c>
      <c r="B1705" s="235" t="s">
        <v>3583</v>
      </c>
      <c r="C1705" s="236" t="s">
        <v>3584</v>
      </c>
      <c r="D1705" s="236" t="s">
        <v>3585</v>
      </c>
      <c r="E1705" s="236" t="s">
        <v>3586</v>
      </c>
      <c r="F1705" s="237" t="s">
        <v>3587</v>
      </c>
      <c r="G1705">
        <f>IF(getRGB1($C1705)="FFFFFF",0,1)+IF(getRGB1($D1705)="FFFFFF",0,2)+IF(getRGB1($E1705)="FFFFFF",0,3)+IF(getRGB1($F1705)="FFFFFF",0,4)</f>
        <v>4</v>
      </c>
    </row>
    <row r="1706" spans="1:7" ht="36">
      <c r="A1706" t="s">
        <v>8681</v>
      </c>
      <c r="B1706" s="235" t="s">
        <v>3588</v>
      </c>
      <c r="C1706" s="236" t="s">
        <v>3589</v>
      </c>
      <c r="D1706" s="236" t="s">
        <v>3590</v>
      </c>
      <c r="E1706" s="236" t="s">
        <v>3591</v>
      </c>
      <c r="F1706" s="237" t="s">
        <v>3592</v>
      </c>
      <c r="G1706">
        <f>IF(getRGB1($C1706)="FFFFFF",0,1)+IF(getRGB1($D1706)="FFFFFF",0,2)+IF(getRGB1($E1706)="FFFFFF",0,3)+IF(getRGB1($F1706)="FFFFFF",0,4)</f>
        <v>4</v>
      </c>
    </row>
    <row r="1707" spans="1:7" ht="36">
      <c r="A1707" t="s">
        <v>8681</v>
      </c>
      <c r="B1707" s="235" t="s">
        <v>3593</v>
      </c>
      <c r="C1707" s="236" t="s">
        <v>3594</v>
      </c>
      <c r="D1707" s="236" t="s">
        <v>3595</v>
      </c>
      <c r="E1707" s="236" t="s">
        <v>3596</v>
      </c>
      <c r="F1707" s="237" t="s">
        <v>3597</v>
      </c>
      <c r="G1707">
        <f>IF(getRGB1($C1707)="FFFFFF",0,1)+IF(getRGB1($D1707)="FFFFFF",0,2)+IF(getRGB1($E1707)="FFFFFF",0,3)+IF(getRGB1($F1707)="FFFFFF",0,4)</f>
        <v>4</v>
      </c>
    </row>
    <row r="1708" spans="1:7" ht="36">
      <c r="A1708" t="s">
        <v>8681</v>
      </c>
      <c r="B1708" s="235" t="s">
        <v>3598</v>
      </c>
      <c r="C1708" s="236" t="s">
        <v>3594</v>
      </c>
      <c r="D1708" s="236" t="s">
        <v>3595</v>
      </c>
      <c r="E1708" s="237" t="s">
        <v>3596</v>
      </c>
      <c r="F1708" s="236" t="s">
        <v>3597</v>
      </c>
      <c r="G1708">
        <f>IF(getRGB1($C1708)="FFFFFF",0,1)+IF(getRGB1($D1708)="FFFFFF",0,2)+IF(getRGB1($E1708)="FFFFFF",0,3)+IF(getRGB1($F1708)="FFFFFF",0,4)</f>
        <v>3</v>
      </c>
    </row>
    <row r="1709" spans="1:7" ht="36">
      <c r="A1709" t="s">
        <v>8681</v>
      </c>
      <c r="B1709" s="235" t="s">
        <v>3599</v>
      </c>
      <c r="C1709" s="236" t="s">
        <v>3416</v>
      </c>
      <c r="D1709" s="237" t="s">
        <v>3415</v>
      </c>
      <c r="E1709" s="236" t="s">
        <v>3600</v>
      </c>
      <c r="F1709" s="236" t="s">
        <v>3601</v>
      </c>
      <c r="G1709">
        <f>IF(getRGB1($C1709)="FFFFFF",0,1)+IF(getRGB1($D1709)="FFFFFF",0,2)+IF(getRGB1($E1709)="FFFFFF",0,3)+IF(getRGB1($F1709)="FFFFFF",0,4)</f>
        <v>2</v>
      </c>
    </row>
    <row r="1710" spans="1:7" ht="36">
      <c r="A1710" t="s">
        <v>8681</v>
      </c>
      <c r="B1710" s="235" t="s">
        <v>3602</v>
      </c>
      <c r="C1710" s="236" t="s">
        <v>3603</v>
      </c>
      <c r="D1710" s="236" t="s">
        <v>3604</v>
      </c>
      <c r="E1710" s="237" t="s">
        <v>3448</v>
      </c>
      <c r="F1710" s="236" t="s">
        <v>3605</v>
      </c>
      <c r="G1710">
        <f>IF(getRGB1($C1710)="FFFFFF",0,1)+IF(getRGB1($D1710)="FFFFFF",0,2)+IF(getRGB1($E1710)="FFFFFF",0,3)+IF(getRGB1($F1710)="FFFFFF",0,4)</f>
        <v>3</v>
      </c>
    </row>
    <row r="1711" spans="1:7" ht="36">
      <c r="A1711" t="s">
        <v>8681</v>
      </c>
      <c r="B1711" s="235" t="s">
        <v>3606</v>
      </c>
      <c r="C1711" s="238">
        <v>0.02</v>
      </c>
      <c r="D1711" s="238">
        <v>0.01</v>
      </c>
      <c r="E1711" s="239">
        <v>0.03</v>
      </c>
      <c r="F1711" s="238">
        <v>0.05</v>
      </c>
      <c r="G1711">
        <f>IF(getRGB1($C1711)="FFFFFF",0,1)+IF(getRGB1($D1711)="FFFFFF",0,2)+IF(getRGB1($E1711)="FFFFFF",0,3)+IF(getRGB1($F1711)="FFFFFF",0,4)</f>
        <v>3</v>
      </c>
    </row>
    <row r="1712" spans="1:7" ht="36">
      <c r="A1712" t="s">
        <v>8681</v>
      </c>
      <c r="B1712" s="235" t="s">
        <v>3607</v>
      </c>
      <c r="C1712" s="239">
        <v>0.02</v>
      </c>
      <c r="D1712" s="238">
        <v>0.01</v>
      </c>
      <c r="E1712" s="238">
        <v>0.03</v>
      </c>
      <c r="F1712" s="238">
        <v>0.05</v>
      </c>
      <c r="G1712">
        <f>IF(getRGB1($C1712)="FFFFFF",0,1)+IF(getRGB1($D1712)="FFFFFF",0,2)+IF(getRGB1($E1712)="FFFFFF",0,3)+IF(getRGB1($F1712)="FFFFFF",0,4)</f>
        <v>1</v>
      </c>
    </row>
    <row r="1713" spans="1:7" ht="36">
      <c r="A1713" t="s">
        <v>8681</v>
      </c>
      <c r="B1713" s="235" t="s">
        <v>3608</v>
      </c>
      <c r="C1713" s="238">
        <v>0.02</v>
      </c>
      <c r="D1713" s="240">
        <v>1.4999999999999999E-2</v>
      </c>
      <c r="E1713" s="238">
        <v>0.03</v>
      </c>
      <c r="F1713" s="238">
        <v>0.05</v>
      </c>
      <c r="G1713">
        <f>IF(getRGB1($C1713)="FFFFFF",0,1)+IF(getRGB1($D1713)="FFFFFF",0,2)+IF(getRGB1($E1713)="FFFFFF",0,3)+IF(getRGB1($F1713)="FFFFFF",0,4)</f>
        <v>2</v>
      </c>
    </row>
    <row r="1714" spans="1:7" ht="36">
      <c r="A1714" t="s">
        <v>8681</v>
      </c>
      <c r="B1714" s="235" t="s">
        <v>3609</v>
      </c>
      <c r="C1714" s="236" t="s">
        <v>3453</v>
      </c>
      <c r="D1714" s="237" t="s">
        <v>3610</v>
      </c>
      <c r="E1714" s="236" t="s">
        <v>3611</v>
      </c>
      <c r="F1714" s="236" t="s">
        <v>3612</v>
      </c>
      <c r="G1714">
        <f>IF(getRGB1($C1714)="FFFFFF",0,1)+IF(getRGB1($D1714)="FFFFFF",0,2)+IF(getRGB1($E1714)="FFFFFF",0,3)+IF(getRGB1($F1714)="FFFFFF",0,4)</f>
        <v>2</v>
      </c>
    </row>
    <row r="1715" spans="1:7" ht="36">
      <c r="A1715" t="s">
        <v>8681</v>
      </c>
      <c r="B1715" s="235" t="s">
        <v>3613</v>
      </c>
      <c r="C1715" s="237" t="s">
        <v>3453</v>
      </c>
      <c r="D1715" s="236" t="s">
        <v>3610</v>
      </c>
      <c r="E1715" s="236" t="s">
        <v>3611</v>
      </c>
      <c r="F1715" s="236" t="s">
        <v>3612</v>
      </c>
      <c r="G1715">
        <f>IF(getRGB1($C1715)="FFFFFF",0,1)+IF(getRGB1($D1715)="FFFFFF",0,2)+IF(getRGB1($E1715)="FFFFFF",0,3)+IF(getRGB1($F1715)="FFFFFF",0,4)</f>
        <v>1</v>
      </c>
    </row>
    <row r="1716" spans="1:7" ht="36">
      <c r="A1716" t="s">
        <v>8681</v>
      </c>
      <c r="B1716" s="235" t="s">
        <v>3614</v>
      </c>
      <c r="C1716" s="241">
        <v>1.4999999999999999E-2</v>
      </c>
      <c r="D1716" s="241">
        <v>0.02</v>
      </c>
      <c r="E1716" s="241">
        <v>2.5000000000000001E-2</v>
      </c>
      <c r="F1716" s="242">
        <v>0.05</v>
      </c>
      <c r="G1716">
        <f>IF(getRGB1($C1716)="FFFFFF",0,1)+IF(getRGB1($D1716)="FFFFFF",0,2)+IF(getRGB1($E1716)="FFFFFF",0,3)+IF(getRGB1($F1716)="FFFFFF",0,4)</f>
        <v>4</v>
      </c>
    </row>
    <row r="1717" spans="1:7" ht="36">
      <c r="A1717" t="s">
        <v>8681</v>
      </c>
      <c r="B1717" s="235" t="s">
        <v>3615</v>
      </c>
      <c r="C1717" s="241">
        <v>1.4999999999999999E-2</v>
      </c>
      <c r="D1717" s="241">
        <v>0.02</v>
      </c>
      <c r="E1717" s="242">
        <v>2.5000000000000001E-2</v>
      </c>
      <c r="F1717" s="241">
        <v>0.05</v>
      </c>
      <c r="G1717">
        <f>IF(getRGB1($C1717)="FFFFFF",0,1)+IF(getRGB1($D1717)="FFFFFF",0,2)+IF(getRGB1($E1717)="FFFFFF",0,3)+IF(getRGB1($F1717)="FFFFFF",0,4)</f>
        <v>3</v>
      </c>
    </row>
    <row r="1718" spans="1:7" ht="36">
      <c r="A1718" t="s">
        <v>8681</v>
      </c>
      <c r="B1718" s="235" t="s">
        <v>3616</v>
      </c>
      <c r="C1718" s="241">
        <v>1.4999999999999999E-2</v>
      </c>
      <c r="D1718" s="242">
        <v>0.02</v>
      </c>
      <c r="E1718" s="241">
        <v>2.5000000000000001E-2</v>
      </c>
      <c r="F1718" s="241">
        <v>0.05</v>
      </c>
      <c r="G1718">
        <f>IF(getRGB1($C1718)="FFFFFF",0,1)+IF(getRGB1($D1718)="FFFFFF",0,2)+IF(getRGB1($E1718)="FFFFFF",0,3)+IF(getRGB1($F1718)="FFFFFF",0,4)</f>
        <v>2</v>
      </c>
    </row>
    <row r="1719" spans="1:7" ht="36">
      <c r="A1719" t="s">
        <v>8681</v>
      </c>
      <c r="B1719" s="235" t="s">
        <v>3617</v>
      </c>
      <c r="C1719" s="242">
        <v>1.4999999999999999E-2</v>
      </c>
      <c r="D1719" s="241">
        <v>0.02</v>
      </c>
      <c r="E1719" s="241">
        <v>2.5000000000000001E-2</v>
      </c>
      <c r="F1719" s="241">
        <v>0.05</v>
      </c>
      <c r="G1719">
        <f>IF(getRGB1($C1719)="FFFFFF",0,1)+IF(getRGB1($D1719)="FFFFFF",0,2)+IF(getRGB1($E1719)="FFFFFF",0,3)+IF(getRGB1($F1719)="FFFFFF",0,4)</f>
        <v>1</v>
      </c>
    </row>
    <row r="1720" spans="1:7" ht="54">
      <c r="A1720" t="s">
        <v>8681</v>
      </c>
      <c r="B1720" s="235" t="s">
        <v>3618</v>
      </c>
      <c r="C1720" s="236" t="s">
        <v>179</v>
      </c>
      <c r="D1720" s="236" t="s">
        <v>557</v>
      </c>
      <c r="E1720" s="236" t="s">
        <v>74</v>
      </c>
      <c r="F1720" s="237" t="s">
        <v>137</v>
      </c>
      <c r="G1720">
        <f>IF(getRGB1($C1720)="FFFFFF",0,1)+IF(getRGB1($D1720)="FFFFFF",0,2)+IF(getRGB1($E1720)="FFFFFF",0,3)+IF(getRGB1($F1720)="FFFFFF",0,4)</f>
        <v>4</v>
      </c>
    </row>
    <row r="1721" spans="1:7" ht="36">
      <c r="A1721" t="s">
        <v>8681</v>
      </c>
      <c r="B1721" s="235" t="s">
        <v>3619</v>
      </c>
      <c r="C1721" s="243" t="s">
        <v>179</v>
      </c>
      <c r="D1721" s="236" t="s">
        <v>557</v>
      </c>
      <c r="E1721" s="236" t="s">
        <v>74</v>
      </c>
      <c r="F1721" s="237" t="s">
        <v>137</v>
      </c>
      <c r="G1721">
        <f>IF(getRGB1($C1721)="FFFFFF",0,1)+IF(getRGB1($D1721)="FFFFFF",0,2)+IF(getRGB1($E1721)="FFFFFF",0,3)+IF(getRGB1($F1721)="FFFFFF",0,4)</f>
        <v>4</v>
      </c>
    </row>
    <row r="1722" spans="1:7" ht="36">
      <c r="A1722" t="s">
        <v>8681</v>
      </c>
      <c r="B1722" s="235" t="s">
        <v>3620</v>
      </c>
      <c r="C1722" s="236" t="s">
        <v>179</v>
      </c>
      <c r="D1722" s="237" t="s">
        <v>557</v>
      </c>
      <c r="E1722" s="236" t="s">
        <v>74</v>
      </c>
      <c r="F1722" s="236" t="s">
        <v>137</v>
      </c>
      <c r="G1722">
        <f>IF(getRGB1($C1722)="FFFFFF",0,1)+IF(getRGB1($D1722)="FFFFFF",0,2)+IF(getRGB1($E1722)="FFFFFF",0,3)+IF(getRGB1($F1722)="FFFFFF",0,4)</f>
        <v>2</v>
      </c>
    </row>
    <row r="1723" spans="1:7" ht="36">
      <c r="A1723" t="s">
        <v>8681</v>
      </c>
      <c r="B1723" s="235" t="s">
        <v>3621</v>
      </c>
      <c r="C1723" s="236">
        <v>3</v>
      </c>
      <c r="D1723" s="237">
        <v>6</v>
      </c>
      <c r="E1723" s="236">
        <v>12</v>
      </c>
      <c r="F1723" s="236">
        <v>24</v>
      </c>
      <c r="G1723">
        <f>IF(getRGB1($C1723)="FFFFFF",0,1)+IF(getRGB1($D1723)="FFFFFF",0,2)+IF(getRGB1($E1723)="FFFFFF",0,3)+IF(getRGB1($F1723)="FFFFFF",0,4)</f>
        <v>2</v>
      </c>
    </row>
    <row r="1724" spans="1:7" ht="36">
      <c r="A1724" t="s">
        <v>8681</v>
      </c>
      <c r="B1724" s="235" t="s">
        <v>3622</v>
      </c>
      <c r="C1724" s="236" t="s">
        <v>3472</v>
      </c>
      <c r="D1724" s="237" t="s">
        <v>3539</v>
      </c>
      <c r="E1724" s="236" t="s">
        <v>3466</v>
      </c>
      <c r="F1724" s="236" t="s">
        <v>3540</v>
      </c>
      <c r="G1724">
        <f>IF(getRGB1($C1724)="FFFFFF",0,1)+IF(getRGB1($D1724)="FFFFFF",0,2)+IF(getRGB1($E1724)="FFFFFF",0,3)+IF(getRGB1($F1724)="FFFFFF",0,4)</f>
        <v>2</v>
      </c>
    </row>
    <row r="1725" spans="1:7" ht="36">
      <c r="A1725" t="s">
        <v>8681</v>
      </c>
      <c r="B1725" s="235" t="s">
        <v>3623</v>
      </c>
      <c r="C1725" s="236" t="s">
        <v>3472</v>
      </c>
      <c r="D1725" s="236" t="s">
        <v>3539</v>
      </c>
      <c r="E1725" s="237" t="s">
        <v>3466</v>
      </c>
      <c r="F1725" s="236" t="s">
        <v>3540</v>
      </c>
      <c r="G1725">
        <f>IF(getRGB1($C1725)="FFFFFF",0,1)+IF(getRGB1($D1725)="FFFFFF",0,2)+IF(getRGB1($E1725)="FFFFFF",0,3)+IF(getRGB1($F1725)="FFFFFF",0,4)</f>
        <v>3</v>
      </c>
    </row>
    <row r="1726" spans="1:7" ht="54">
      <c r="A1726" t="s">
        <v>8681</v>
      </c>
      <c r="B1726" s="235" t="s">
        <v>3542</v>
      </c>
      <c r="C1726" s="239" t="s">
        <v>3624</v>
      </c>
      <c r="D1726" s="238" t="s">
        <v>3625</v>
      </c>
      <c r="E1726" s="238" t="s">
        <v>3626</v>
      </c>
      <c r="F1726" s="238" t="s">
        <v>3627</v>
      </c>
      <c r="G1726">
        <f>IF(getRGB1($C1726)="FFFFFF",0,1)+IF(getRGB1($D1726)="FFFFFF",0,2)+IF(getRGB1($E1726)="FFFFFF",0,3)+IF(getRGB1($F1726)="FFFFFF",0,4)</f>
        <v>1</v>
      </c>
    </row>
    <row r="1727" spans="1:7" ht="54">
      <c r="A1727" t="s">
        <v>8681</v>
      </c>
      <c r="B1727" s="235" t="s">
        <v>3547</v>
      </c>
      <c r="C1727" s="238" t="s">
        <v>3624</v>
      </c>
      <c r="D1727" s="239" t="s">
        <v>3625</v>
      </c>
      <c r="E1727" s="238" t="s">
        <v>3626</v>
      </c>
      <c r="F1727" s="238" t="s">
        <v>3627</v>
      </c>
      <c r="G1727">
        <f>IF(getRGB1($C1727)="FFFFFF",0,1)+IF(getRGB1($D1727)="FFFFFF",0,2)+IF(getRGB1($E1727)="FFFFFF",0,3)+IF(getRGB1($F1727)="FFFFFF",0,4)</f>
        <v>2</v>
      </c>
    </row>
    <row r="1728" spans="1:7" ht="54">
      <c r="A1728" t="s">
        <v>8681</v>
      </c>
      <c r="B1728" s="235" t="s">
        <v>3548</v>
      </c>
      <c r="C1728" s="238" t="s">
        <v>3624</v>
      </c>
      <c r="D1728" s="238" t="s">
        <v>3625</v>
      </c>
      <c r="E1728" s="239" t="s">
        <v>3626</v>
      </c>
      <c r="F1728" s="238" t="s">
        <v>3627</v>
      </c>
      <c r="G1728">
        <f>IF(getRGB1($C1728)="FFFFFF",0,1)+IF(getRGB1($D1728)="FFFFFF",0,2)+IF(getRGB1($E1728)="FFFFFF",0,3)+IF(getRGB1($F1728)="FFFFFF",0,4)</f>
        <v>3</v>
      </c>
    </row>
    <row r="1729" spans="1:7" ht="54">
      <c r="A1729" t="s">
        <v>8681</v>
      </c>
      <c r="B1729" s="235" t="s">
        <v>3549</v>
      </c>
      <c r="C1729" s="238" t="s">
        <v>3624</v>
      </c>
      <c r="D1729" s="238" t="s">
        <v>3625</v>
      </c>
      <c r="E1729" s="238" t="s">
        <v>3626</v>
      </c>
      <c r="F1729" s="239" t="s">
        <v>3627</v>
      </c>
      <c r="G1729">
        <f>IF(getRGB1($C1729)="FFFFFF",0,1)+IF(getRGB1($D1729)="FFFFFF",0,2)+IF(getRGB1($E1729)="FFFFFF",0,3)+IF(getRGB1($F1729)="FFFFFF",0,4)</f>
        <v>4</v>
      </c>
    </row>
    <row r="1730" spans="1:7" ht="54">
      <c r="A1730" t="s">
        <v>8681</v>
      </c>
      <c r="B1730" s="235" t="s">
        <v>3628</v>
      </c>
      <c r="C1730" s="236" t="s">
        <v>137</v>
      </c>
      <c r="D1730" s="236" t="s">
        <v>76</v>
      </c>
      <c r="E1730" s="237" t="s">
        <v>179</v>
      </c>
      <c r="F1730" s="236" t="s">
        <v>557</v>
      </c>
      <c r="G1730">
        <f>IF(getRGB1($C1730)="FFFFFF",0,1)+IF(getRGB1($D1730)="FFFFFF",0,2)+IF(getRGB1($E1730)="FFFFFF",0,3)+IF(getRGB1($F1730)="FFFFFF",0,4)</f>
        <v>3</v>
      </c>
    </row>
    <row r="1731" spans="1:7" ht="36">
      <c r="A1731" t="s">
        <v>8681</v>
      </c>
      <c r="B1731" s="235" t="s">
        <v>3570</v>
      </c>
      <c r="C1731" s="237" t="s">
        <v>137</v>
      </c>
      <c r="D1731" s="236" t="s">
        <v>179</v>
      </c>
      <c r="E1731" s="236" t="s">
        <v>557</v>
      </c>
      <c r="F1731" s="236" t="s">
        <v>76</v>
      </c>
      <c r="G1731">
        <f>IF(getRGB1($C1731)="FFFFFF",0,1)+IF(getRGB1($D1731)="FFFFFF",0,2)+IF(getRGB1($E1731)="FFFFFF",0,3)+IF(getRGB1($F1731)="FFFFFF",0,4)</f>
        <v>1</v>
      </c>
    </row>
    <row r="1732" spans="1:7" ht="38.25">
      <c r="A1732" t="s">
        <v>3633</v>
      </c>
      <c r="B1732" s="586" t="s">
        <v>3629</v>
      </c>
      <c r="C1732" s="606" t="s">
        <v>3630</v>
      </c>
      <c r="D1732" s="607" t="s">
        <v>3631</v>
      </c>
      <c r="E1732" s="607" t="s">
        <v>3632</v>
      </c>
      <c r="F1732" s="608" t="s">
        <v>3633</v>
      </c>
      <c r="G1732">
        <f>IF(getRGB1($C1732)="FFFFFF",0,1)+IF(getRGB1($D1732)="FFFFFF",0,2)+IF(getRGB1($E1732)="FFFFFF",0,3)+IF(getRGB1($F1732)="FFFFFF",0,4)</f>
        <v>4</v>
      </c>
    </row>
    <row r="1733" spans="1:7" ht="38.25">
      <c r="A1733" t="s">
        <v>3633</v>
      </c>
      <c r="B1733" s="586" t="s">
        <v>3634</v>
      </c>
      <c r="C1733" s="607" t="s">
        <v>3635</v>
      </c>
      <c r="D1733" s="608" t="s">
        <v>3636</v>
      </c>
      <c r="E1733" s="607" t="s">
        <v>3637</v>
      </c>
      <c r="F1733" s="606" t="s">
        <v>3638</v>
      </c>
      <c r="G1733">
        <f>IF(getRGB1($C1733)="FFFFFF",0,1)+IF(getRGB1($D1733)="FFFFFF",0,2)+IF(getRGB1($E1733)="FFFFFF",0,3)+IF(getRGB1($F1733)="FFFFFF",0,4)</f>
        <v>2</v>
      </c>
    </row>
    <row r="1734" spans="1:7" ht="38.25">
      <c r="A1734" t="s">
        <v>3633</v>
      </c>
      <c r="B1734" s="586" t="s">
        <v>3639</v>
      </c>
      <c r="C1734" s="608" t="s">
        <v>3635</v>
      </c>
      <c r="D1734" s="607" t="s">
        <v>3636</v>
      </c>
      <c r="E1734" s="607" t="s">
        <v>3637</v>
      </c>
      <c r="F1734" s="606" t="s">
        <v>3638</v>
      </c>
      <c r="G1734">
        <f>IF(getRGB1($C1734)="FFFFFF",0,1)+IF(getRGB1($D1734)="FFFFFF",0,2)+IF(getRGB1($E1734)="FFFFFF",0,3)+IF(getRGB1($F1734)="FFFFFF",0,4)</f>
        <v>1</v>
      </c>
    </row>
    <row r="1735" spans="1:7" ht="25.5">
      <c r="A1735" t="s">
        <v>3633</v>
      </c>
      <c r="B1735" s="586" t="s">
        <v>3640</v>
      </c>
      <c r="C1735" s="607" t="s">
        <v>3641</v>
      </c>
      <c r="D1735" s="607" t="s">
        <v>3642</v>
      </c>
      <c r="E1735" s="608" t="s">
        <v>3643</v>
      </c>
      <c r="F1735" s="606" t="s">
        <v>3638</v>
      </c>
      <c r="G1735">
        <f>IF(getRGB1($C1735)="FFFFFF",0,1)+IF(getRGB1($D1735)="FFFFFF",0,2)+IF(getRGB1($E1735)="FFFFFF",0,3)+IF(getRGB1($F1735)="FFFFFF",0,4)</f>
        <v>3</v>
      </c>
    </row>
    <row r="1736" spans="1:7" ht="38.25">
      <c r="A1736" t="s">
        <v>3633</v>
      </c>
      <c r="B1736" s="586" t="s">
        <v>3644</v>
      </c>
      <c r="C1736" s="607" t="s">
        <v>3645</v>
      </c>
      <c r="D1736" s="607" t="s">
        <v>3646</v>
      </c>
      <c r="E1736" s="607" t="s">
        <v>3647</v>
      </c>
      <c r="F1736" s="608" t="s">
        <v>3648</v>
      </c>
      <c r="G1736">
        <f>IF(getRGB1($C1736)="FFFFFF",0,1)+IF(getRGB1($D1736)="FFFFFF",0,2)+IF(getRGB1($E1736)="FFFFFF",0,3)+IF(getRGB1($F1736)="FFFFFF",0,4)</f>
        <v>4</v>
      </c>
    </row>
    <row r="1737" spans="1:7" ht="25.5">
      <c r="A1737" t="s">
        <v>3633</v>
      </c>
      <c r="B1737" s="609" t="s">
        <v>3649</v>
      </c>
      <c r="C1737" s="607" t="s">
        <v>3650</v>
      </c>
      <c r="D1737" s="607" t="s">
        <v>3651</v>
      </c>
      <c r="E1737" s="607" t="s">
        <v>3652</v>
      </c>
      <c r="F1737" s="608" t="s">
        <v>3313</v>
      </c>
      <c r="G1737">
        <f>IF(getRGB1($C1737)="FFFFFF",0,1)+IF(getRGB1($D1737)="FFFFFF",0,2)+IF(getRGB1($E1737)="FFFFFF",0,3)+IF(getRGB1($F1737)="FFFFFF",0,4)</f>
        <v>4</v>
      </c>
    </row>
    <row r="1738" spans="1:7" ht="25.5">
      <c r="A1738" t="s">
        <v>3633</v>
      </c>
      <c r="B1738" s="586" t="s">
        <v>3653</v>
      </c>
      <c r="C1738" s="608" t="s">
        <v>3654</v>
      </c>
      <c r="D1738" s="607" t="s">
        <v>3655</v>
      </c>
      <c r="E1738" s="607" t="s">
        <v>3656</v>
      </c>
      <c r="F1738" s="607" t="s">
        <v>61</v>
      </c>
      <c r="G1738">
        <f>IF(getRGB1($C1738)="FFFFFF",0,1)+IF(getRGB1($D1738)="FFFFFF",0,2)+IF(getRGB1($E1738)="FFFFFF",0,3)+IF(getRGB1($F1738)="FFFFFF",0,4)</f>
        <v>1</v>
      </c>
    </row>
    <row r="1739" spans="1:7" ht="30">
      <c r="A1739" t="s">
        <v>3633</v>
      </c>
      <c r="B1739" s="609" t="s">
        <v>3657</v>
      </c>
      <c r="C1739" s="608" t="s">
        <v>3658</v>
      </c>
      <c r="D1739" s="610" t="s">
        <v>3659</v>
      </c>
      <c r="E1739" s="607" t="s">
        <v>3660</v>
      </c>
      <c r="F1739" s="607" t="s">
        <v>3313</v>
      </c>
      <c r="G1739">
        <f>IF(getRGB1($C1739)="FFFFFF",0,1)+IF(getRGB1($D1739)="FFFFFF",0,2)+IF(getRGB1($E1739)="FFFFFF",0,3)+IF(getRGB1($F1739)="FFFFFF",0,4)</f>
        <v>1</v>
      </c>
    </row>
    <row r="1740" spans="1:7" ht="38.25">
      <c r="A1740" t="s">
        <v>3633</v>
      </c>
      <c r="B1740" s="586" t="s">
        <v>3661</v>
      </c>
      <c r="C1740" s="607" t="s">
        <v>1000</v>
      </c>
      <c r="D1740" s="610" t="s">
        <v>3662</v>
      </c>
      <c r="E1740" s="610" t="s">
        <v>3663</v>
      </c>
      <c r="F1740" s="608" t="s">
        <v>3664</v>
      </c>
      <c r="G1740">
        <f>IF(getRGB1($C1740)="FFFFFF",0,1)+IF(getRGB1($D1740)="FFFFFF",0,2)+IF(getRGB1($E1740)="FFFFFF",0,3)+IF(getRGB1($F1740)="FFFFFF",0,4)</f>
        <v>4</v>
      </c>
    </row>
    <row r="1741" spans="1:7" ht="38.25">
      <c r="A1741" t="s">
        <v>3633</v>
      </c>
      <c r="B1741" s="586" t="s">
        <v>3665</v>
      </c>
      <c r="C1741" s="607" t="s">
        <v>3666</v>
      </c>
      <c r="D1741" s="607" t="s">
        <v>3667</v>
      </c>
      <c r="E1741" s="608" t="s">
        <v>370</v>
      </c>
      <c r="F1741" s="607" t="s">
        <v>66</v>
      </c>
      <c r="G1741">
        <f>IF(getRGB1($C1741)="FFFFFF",0,1)+IF(getRGB1($D1741)="FFFFFF",0,2)+IF(getRGB1($E1741)="FFFFFF",0,3)+IF(getRGB1($F1741)="FFFFFF",0,4)</f>
        <v>3</v>
      </c>
    </row>
    <row r="1742" spans="1:7" ht="60">
      <c r="A1742" t="s">
        <v>3633</v>
      </c>
      <c r="B1742" s="586" t="s">
        <v>3668</v>
      </c>
      <c r="C1742" s="607" t="s">
        <v>3669</v>
      </c>
      <c r="D1742" s="610" t="s">
        <v>3670</v>
      </c>
      <c r="E1742" s="607" t="s">
        <v>3671</v>
      </c>
      <c r="F1742" s="608" t="s">
        <v>3672</v>
      </c>
      <c r="G1742">
        <f>IF(getRGB1($C1742)="FFFFFF",0,1)+IF(getRGB1($D1742)="FFFFFF",0,2)+IF(getRGB1($E1742)="FFFFFF",0,3)+IF(getRGB1($F1742)="FFFFFF",0,4)</f>
        <v>4</v>
      </c>
    </row>
    <row r="1743" spans="1:7" ht="25.5">
      <c r="A1743" t="s">
        <v>3633</v>
      </c>
      <c r="B1743" s="586" t="s">
        <v>3673</v>
      </c>
      <c r="C1743" s="607" t="s">
        <v>3674</v>
      </c>
      <c r="D1743" s="607" t="s">
        <v>3675</v>
      </c>
      <c r="E1743" s="607" t="s">
        <v>3676</v>
      </c>
      <c r="F1743" s="608" t="s">
        <v>3677</v>
      </c>
      <c r="G1743">
        <f>IF(getRGB1($C1743)="FFFFFF",0,1)+IF(getRGB1($D1743)="FFFFFF",0,2)+IF(getRGB1($E1743)="FFFFFF",0,3)+IF(getRGB1($F1743)="FFFFFF",0,4)</f>
        <v>4</v>
      </c>
    </row>
    <row r="1744" spans="1:7" ht="25.5">
      <c r="A1744" t="s">
        <v>3633</v>
      </c>
      <c r="B1744" s="586" t="s">
        <v>3678</v>
      </c>
      <c r="C1744" s="606" t="s">
        <v>3679</v>
      </c>
      <c r="D1744" s="608" t="s">
        <v>3680</v>
      </c>
      <c r="E1744" s="606" t="s">
        <v>3681</v>
      </c>
      <c r="F1744" s="606" t="s">
        <v>3682</v>
      </c>
      <c r="G1744">
        <f>IF(getRGB1($C1744)="FFFFFF",0,1)+IF(getRGB1($D1744)="FFFFFF",0,2)+IF(getRGB1($E1744)="FFFFFF",0,3)+IF(getRGB1($F1744)="FFFFFF",0,4)</f>
        <v>2</v>
      </c>
    </row>
    <row r="1745" spans="1:7" ht="25.5">
      <c r="A1745" t="s">
        <v>3633</v>
      </c>
      <c r="B1745" s="586" t="s">
        <v>3683</v>
      </c>
      <c r="C1745" s="608" t="s">
        <v>3684</v>
      </c>
      <c r="D1745" s="607" t="s">
        <v>3685</v>
      </c>
      <c r="E1745" s="607" t="s">
        <v>3686</v>
      </c>
      <c r="F1745" s="607" t="s">
        <v>3687</v>
      </c>
      <c r="G1745">
        <f>IF(getRGB1($C1745)="FFFFFF",0,1)+IF(getRGB1($D1745)="FFFFFF",0,2)+IF(getRGB1($E1745)="FFFFFF",0,3)+IF(getRGB1($F1745)="FFFFFF",0,4)</f>
        <v>1</v>
      </c>
    </row>
    <row r="1746" spans="1:7">
      <c r="A1746" t="s">
        <v>3633</v>
      </c>
      <c r="B1746" s="586" t="s">
        <v>3688</v>
      </c>
      <c r="C1746" s="607" t="s">
        <v>3689</v>
      </c>
      <c r="D1746" s="607" t="s">
        <v>3690</v>
      </c>
      <c r="E1746" s="607" t="s">
        <v>3691</v>
      </c>
      <c r="F1746" s="608" t="s">
        <v>3692</v>
      </c>
      <c r="G1746">
        <f>IF(getRGB1($C1746)="FFFFFF",0,1)+IF(getRGB1($D1746)="FFFFFF",0,2)+IF(getRGB1($E1746)="FFFFFF",0,3)+IF(getRGB1($F1746)="FFFFFF",0,4)</f>
        <v>4</v>
      </c>
    </row>
    <row r="1747" spans="1:7">
      <c r="A1747" t="s">
        <v>3633</v>
      </c>
      <c r="B1747" s="611" t="s">
        <v>3693</v>
      </c>
      <c r="C1747" s="612" t="s">
        <v>3694</v>
      </c>
      <c r="D1747" s="612" t="s">
        <v>3695</v>
      </c>
      <c r="E1747" s="613" t="s">
        <v>3696</v>
      </c>
      <c r="F1747" s="612" t="s">
        <v>3697</v>
      </c>
      <c r="G1747">
        <f>IF(getRGB1($C1747)="FFFFFF",0,1)+IF(getRGB1($D1747)="FFFFFF",0,2)+IF(getRGB1($E1747)="FFFFFF",0,3)+IF(getRGB1($F1747)="FFFFFF",0,4)</f>
        <v>3</v>
      </c>
    </row>
    <row r="1748" spans="1:7" ht="25.5">
      <c r="A1748" t="s">
        <v>3633</v>
      </c>
      <c r="B1748" s="586" t="s">
        <v>3698</v>
      </c>
      <c r="C1748" s="608" t="s">
        <v>3699</v>
      </c>
      <c r="D1748" s="607" t="s">
        <v>3700</v>
      </c>
      <c r="E1748" s="607" t="s">
        <v>3701</v>
      </c>
      <c r="F1748" s="607" t="s">
        <v>66</v>
      </c>
      <c r="G1748">
        <f>IF(getRGB1($C1748)="FFFFFF",0,1)+IF(getRGB1($D1748)="FFFFFF",0,2)+IF(getRGB1($E1748)="FFFFFF",0,3)+IF(getRGB1($F1748)="FFFFFF",0,4)</f>
        <v>1</v>
      </c>
    </row>
    <row r="1749" spans="1:7" ht="57">
      <c r="A1749" t="s">
        <v>3633</v>
      </c>
      <c r="B1749" s="248" t="s">
        <v>3702</v>
      </c>
      <c r="C1749" s="607" t="s">
        <v>3703</v>
      </c>
      <c r="D1749" s="607" t="s">
        <v>3704</v>
      </c>
      <c r="E1749" s="608" t="s">
        <v>3705</v>
      </c>
      <c r="F1749" s="607" t="s">
        <v>3706</v>
      </c>
      <c r="G1749">
        <f>IF(getRGB1($C1749)="FFFFFF",0,1)+IF(getRGB1($D1749)="FFFFFF",0,2)+IF(getRGB1($E1749)="FFFFFF",0,3)+IF(getRGB1($F1749)="FFFFFF",0,4)</f>
        <v>3</v>
      </c>
    </row>
    <row r="1750" spans="1:7" ht="51">
      <c r="A1750" t="s">
        <v>3633</v>
      </c>
      <c r="B1750" s="586" t="s">
        <v>3707</v>
      </c>
      <c r="C1750" s="607" t="s">
        <v>76</v>
      </c>
      <c r="D1750" s="607" t="s">
        <v>137</v>
      </c>
      <c r="E1750" s="608" t="s">
        <v>179</v>
      </c>
      <c r="F1750" s="607" t="s">
        <v>3708</v>
      </c>
      <c r="G1750">
        <f>IF(getRGB1($C1750)="FFFFFF",0,1)+IF(getRGB1($D1750)="FFFFFF",0,2)+IF(getRGB1($E1750)="FFFFFF",0,3)+IF(getRGB1($F1750)="FFFFFF",0,4)</f>
        <v>3</v>
      </c>
    </row>
    <row r="1751" spans="1:7" ht="38.25">
      <c r="A1751" t="s">
        <v>3633</v>
      </c>
      <c r="B1751" s="586" t="s">
        <v>3709</v>
      </c>
      <c r="C1751" s="607" t="s">
        <v>3710</v>
      </c>
      <c r="D1751" s="608" t="s">
        <v>8</v>
      </c>
      <c r="E1751" s="607" t="s">
        <v>1599</v>
      </c>
      <c r="F1751" s="607" t="s">
        <v>1289</v>
      </c>
      <c r="G1751">
        <f>IF(getRGB1($C1751)="FFFFFF",0,1)+IF(getRGB1($D1751)="FFFFFF",0,2)+IF(getRGB1($E1751)="FFFFFF",0,3)+IF(getRGB1($F1751)="FFFFFF",0,4)</f>
        <v>2</v>
      </c>
    </row>
    <row r="1752" spans="1:7" ht="75">
      <c r="A1752" t="s">
        <v>3633</v>
      </c>
      <c r="B1752" s="609" t="s">
        <v>3711</v>
      </c>
      <c r="C1752" s="607" t="s">
        <v>3712</v>
      </c>
      <c r="D1752" s="608" t="s">
        <v>3713</v>
      </c>
      <c r="E1752" s="607" t="s">
        <v>3714</v>
      </c>
      <c r="F1752" s="607" t="s">
        <v>3715</v>
      </c>
      <c r="G1752">
        <f>IF(getRGB1($C1752)="FFFFFF",0,1)+IF(getRGB1($D1752)="FFFFFF",0,2)+IF(getRGB1($E1752)="FFFFFF",0,3)+IF(getRGB1($F1752)="FFFFFF",0,4)</f>
        <v>2</v>
      </c>
    </row>
    <row r="1753" spans="1:7" ht="38.25">
      <c r="A1753" t="s">
        <v>3633</v>
      </c>
      <c r="B1753" s="586" t="s">
        <v>3716</v>
      </c>
      <c r="C1753" s="614" t="s">
        <v>3717</v>
      </c>
      <c r="D1753" s="614" t="s">
        <v>3718</v>
      </c>
      <c r="E1753" s="614" t="s">
        <v>3719</v>
      </c>
      <c r="F1753" s="608" t="s">
        <v>3720</v>
      </c>
      <c r="G1753">
        <f>IF(getRGB1($C1753)="FFFFFF",0,1)+IF(getRGB1($D1753)="FFFFFF",0,2)+IF(getRGB1($E1753)="FFFFFF",0,3)+IF(getRGB1($F1753)="FFFFFF",0,4)</f>
        <v>4</v>
      </c>
    </row>
    <row r="1754" spans="1:7" ht="76.5">
      <c r="A1754" t="s">
        <v>3633</v>
      </c>
      <c r="B1754" s="586" t="s">
        <v>3721</v>
      </c>
      <c r="C1754" s="614" t="s">
        <v>3722</v>
      </c>
      <c r="D1754" s="614" t="s">
        <v>3723</v>
      </c>
      <c r="E1754" s="614" t="s">
        <v>3724</v>
      </c>
      <c r="F1754" s="608" t="s">
        <v>3725</v>
      </c>
      <c r="G1754">
        <f>IF(getRGB1($C1754)="FFFFFF",0,1)+IF(getRGB1($D1754)="FFFFFF",0,2)+IF(getRGB1($E1754)="FFFFFF",0,3)+IF(getRGB1($F1754)="FFFFFF",0,4)</f>
        <v>4</v>
      </c>
    </row>
    <row r="1755" spans="1:7" ht="60">
      <c r="A1755" t="s">
        <v>3633</v>
      </c>
      <c r="B1755" s="586" t="s">
        <v>3726</v>
      </c>
      <c r="C1755" s="615" t="s">
        <v>3727</v>
      </c>
      <c r="D1755" s="616" t="s">
        <v>3728</v>
      </c>
      <c r="E1755" s="617" t="s">
        <v>3729</v>
      </c>
      <c r="F1755" s="618" t="s">
        <v>3730</v>
      </c>
      <c r="G1755">
        <f>IF(getRGB1($C1755)="FFFFFF",0,1)+IF(getRGB1($D1755)="FFFFFF",0,2)+IF(getRGB1($E1755)="FFFFFF",0,3)+IF(getRGB1($F1755)="FFFFFF",0,4)</f>
        <v>4</v>
      </c>
    </row>
    <row r="1756" spans="1:7" ht="38.25">
      <c r="A1756" t="s">
        <v>3633</v>
      </c>
      <c r="B1756" s="586" t="s">
        <v>3731</v>
      </c>
      <c r="C1756" s="614" t="s">
        <v>8464</v>
      </c>
      <c r="D1756" s="614" t="s">
        <v>752</v>
      </c>
      <c r="E1756" s="614" t="s">
        <v>3719</v>
      </c>
      <c r="F1756" s="608" t="s">
        <v>1895</v>
      </c>
      <c r="G1756">
        <f>IF(getRGB1($C1756)="FFFFFF",0,1)+IF(getRGB1($D1756)="FFFFFF",0,2)+IF(getRGB1($E1756)="FFFFFF",0,3)+IF(getRGB1($F1756)="FFFFFF",0,4)</f>
        <v>4</v>
      </c>
    </row>
    <row r="1757" spans="1:7" ht="63.75">
      <c r="A1757" t="s">
        <v>3633</v>
      </c>
      <c r="B1757" s="609" t="s">
        <v>3733</v>
      </c>
      <c r="C1757" s="608" t="s">
        <v>3734</v>
      </c>
      <c r="D1757" s="614" t="s">
        <v>3719</v>
      </c>
      <c r="E1757" s="614" t="s">
        <v>1895</v>
      </c>
      <c r="F1757" s="614" t="s">
        <v>1555</v>
      </c>
      <c r="G1757">
        <f>IF(getRGB1($C1757)="FFFFFF",0,1)+IF(getRGB1($D1757)="FFFFFF",0,2)+IF(getRGB1($E1757)="FFFFFF",0,3)+IF(getRGB1($F1757)="FFFFFF",0,4)</f>
        <v>1</v>
      </c>
    </row>
    <row r="1758" spans="1:7" ht="38.25">
      <c r="A1758" t="s">
        <v>3633</v>
      </c>
      <c r="B1758" s="586" t="s">
        <v>3735</v>
      </c>
      <c r="C1758" s="614" t="s">
        <v>3736</v>
      </c>
      <c r="D1758" s="616" t="s">
        <v>3737</v>
      </c>
      <c r="E1758" s="616" t="s">
        <v>3738</v>
      </c>
      <c r="F1758" s="619" t="s">
        <v>154</v>
      </c>
      <c r="G1758">
        <f>IF(getRGB1($C1758)="FFFFFF",0,1)+IF(getRGB1($D1758)="FFFFFF",0,2)+IF(getRGB1($E1758)="FFFFFF",0,3)+IF(getRGB1($F1758)="FFFFFF",0,4)</f>
        <v>4</v>
      </c>
    </row>
    <row r="1759" spans="1:7" ht="60">
      <c r="A1759" t="s">
        <v>3633</v>
      </c>
      <c r="B1759" s="586" t="s">
        <v>3739</v>
      </c>
      <c r="C1759" s="615" t="s">
        <v>3740</v>
      </c>
      <c r="D1759" s="614" t="s">
        <v>3741</v>
      </c>
      <c r="E1759" s="614" t="s">
        <v>3742</v>
      </c>
      <c r="F1759" s="608" t="s">
        <v>3743</v>
      </c>
      <c r="G1759">
        <f>IF(getRGB1($C1759)="FFFFFF",0,1)+IF(getRGB1($D1759)="FFFFFF",0,2)+IF(getRGB1($E1759)="FFFFFF",0,3)+IF(getRGB1($F1759)="FFFFFF",0,4)</f>
        <v>4</v>
      </c>
    </row>
    <row r="1760" spans="1:7" ht="51">
      <c r="A1760" t="s">
        <v>3633</v>
      </c>
      <c r="B1760" s="586" t="s">
        <v>3744</v>
      </c>
      <c r="C1760" s="614" t="s">
        <v>3745</v>
      </c>
      <c r="D1760" s="608" t="s">
        <v>3746</v>
      </c>
      <c r="E1760" s="614" t="s">
        <v>3747</v>
      </c>
      <c r="F1760" s="614" t="s">
        <v>3748</v>
      </c>
      <c r="G1760">
        <f>IF(getRGB1($C1760)="FFFFFF",0,1)+IF(getRGB1($D1760)="FFFFFF",0,2)+IF(getRGB1($E1760)="FFFFFF",0,3)+IF(getRGB1($F1760)="FFFFFF",0,4)</f>
        <v>2</v>
      </c>
    </row>
    <row r="1761" spans="1:7" ht="38.25">
      <c r="A1761" t="s">
        <v>3633</v>
      </c>
      <c r="B1761" s="586" t="s">
        <v>3749</v>
      </c>
      <c r="C1761" s="608" t="s">
        <v>3718</v>
      </c>
      <c r="D1761" s="614" t="s">
        <v>3750</v>
      </c>
      <c r="E1761" s="614" t="s">
        <v>1895</v>
      </c>
      <c r="F1761" s="614" t="s">
        <v>3751</v>
      </c>
      <c r="G1761">
        <f>IF(getRGB1($C1761)="FFFFFF",0,1)+IF(getRGB1($D1761)="FFFFFF",0,2)+IF(getRGB1($E1761)="FFFFFF",0,3)+IF(getRGB1($F1761)="FFFFFF",0,4)</f>
        <v>1</v>
      </c>
    </row>
    <row r="1762" spans="1:7" ht="25.5">
      <c r="A1762" t="s">
        <v>3633</v>
      </c>
      <c r="B1762" s="586" t="s">
        <v>3752</v>
      </c>
      <c r="C1762" s="614" t="s">
        <v>3753</v>
      </c>
      <c r="D1762" s="608" t="s">
        <v>3754</v>
      </c>
      <c r="E1762" s="614" t="s">
        <v>3755</v>
      </c>
      <c r="F1762" s="614" t="s">
        <v>3756</v>
      </c>
      <c r="G1762">
        <f>IF(getRGB1($C1762)="FFFFFF",0,1)+IF(getRGB1($D1762)="FFFFFF",0,2)+IF(getRGB1($E1762)="FFFFFF",0,3)+IF(getRGB1($F1762)="FFFFFF",0,4)</f>
        <v>2</v>
      </c>
    </row>
    <row r="1763" spans="1:7" ht="38.25">
      <c r="A1763" t="s">
        <v>3633</v>
      </c>
      <c r="B1763" s="586" t="s">
        <v>3757</v>
      </c>
      <c r="C1763" s="614" t="s">
        <v>3758</v>
      </c>
      <c r="D1763" s="614" t="s">
        <v>3759</v>
      </c>
      <c r="E1763" s="614" t="s">
        <v>3760</v>
      </c>
      <c r="F1763" s="608" t="s">
        <v>3761</v>
      </c>
      <c r="G1763">
        <f>IF(getRGB1($C1763)="FFFFFF",0,1)+IF(getRGB1($D1763)="FFFFFF",0,2)+IF(getRGB1($E1763)="FFFFFF",0,3)+IF(getRGB1($F1763)="FFFFFF",0,4)</f>
        <v>4</v>
      </c>
    </row>
    <row r="1764" spans="1:7" ht="38.25">
      <c r="A1764" t="s">
        <v>3633</v>
      </c>
      <c r="B1764" s="586" t="s">
        <v>3762</v>
      </c>
      <c r="C1764" s="614" t="s">
        <v>3763</v>
      </c>
      <c r="D1764" s="614" t="s">
        <v>3764</v>
      </c>
      <c r="E1764" s="614" t="s">
        <v>3765</v>
      </c>
      <c r="F1764" s="608" t="s">
        <v>3766</v>
      </c>
      <c r="G1764">
        <f>IF(getRGB1($C1764)="FFFFFF",0,1)+IF(getRGB1($D1764)="FFFFFF",0,2)+IF(getRGB1($E1764)="FFFFFF",0,3)+IF(getRGB1($F1764)="FFFFFF",0,4)</f>
        <v>4</v>
      </c>
    </row>
    <row r="1765" spans="1:7" ht="38.25">
      <c r="A1765" t="s">
        <v>3633</v>
      </c>
      <c r="B1765" s="586" t="s">
        <v>3767</v>
      </c>
      <c r="C1765" s="608" t="s">
        <v>3768</v>
      </c>
      <c r="D1765" s="614" t="s">
        <v>3769</v>
      </c>
      <c r="E1765" s="614" t="s">
        <v>3770</v>
      </c>
      <c r="F1765" s="607" t="s">
        <v>3761</v>
      </c>
      <c r="G1765">
        <f>IF(getRGB1($C1765)="FFFFFF",0,1)+IF(getRGB1($D1765)="FFFFFF",0,2)+IF(getRGB1($E1765)="FFFFFF",0,3)+IF(getRGB1($F1765)="FFFFFF",0,4)</f>
        <v>1</v>
      </c>
    </row>
    <row r="1766" spans="1:7" ht="51">
      <c r="A1766" t="s">
        <v>3633</v>
      </c>
      <c r="B1766" s="586" t="s">
        <v>3771</v>
      </c>
      <c r="C1766" s="608" t="s">
        <v>1895</v>
      </c>
      <c r="D1766" s="614" t="s">
        <v>3772</v>
      </c>
      <c r="E1766" s="614" t="s">
        <v>3773</v>
      </c>
      <c r="F1766" s="614" t="s">
        <v>3774</v>
      </c>
      <c r="G1766">
        <f>IF(getRGB1($C1766)="FFFFFF",0,1)+IF(getRGB1($D1766)="FFFFFF",0,2)+IF(getRGB1($E1766)="FFFFFF",0,3)+IF(getRGB1($F1766)="FFFFFF",0,4)</f>
        <v>1</v>
      </c>
    </row>
    <row r="1767" spans="1:7" ht="153">
      <c r="A1767" t="s">
        <v>3633</v>
      </c>
      <c r="B1767" s="620" t="s">
        <v>3775</v>
      </c>
      <c r="C1767" s="621" t="s">
        <v>3776</v>
      </c>
      <c r="D1767" s="622" t="s">
        <v>3777</v>
      </c>
      <c r="E1767" s="623" t="s">
        <v>3778</v>
      </c>
      <c r="F1767" s="622" t="s">
        <v>3779</v>
      </c>
      <c r="G1767">
        <f>IF(getRGB1($C1767)="FFFFFF",0,1)+IF(getRGB1($D1767)="FFFFFF",0,2)+IF(getRGB1($E1767)="FFFFFF",0,3)+IF(getRGB1($F1767)="FFFFFF",0,4)</f>
        <v>1</v>
      </c>
    </row>
    <row r="1768" spans="1:7" ht="51">
      <c r="A1768" t="s">
        <v>3633</v>
      </c>
      <c r="B1768" s="586" t="s">
        <v>3780</v>
      </c>
      <c r="C1768" s="608" t="s">
        <v>3718</v>
      </c>
      <c r="D1768" s="614" t="s">
        <v>3719</v>
      </c>
      <c r="E1768" s="614" t="s">
        <v>1895</v>
      </c>
      <c r="F1768" s="614" t="s">
        <v>1555</v>
      </c>
      <c r="G1768">
        <f>IF(getRGB1($C1768)="FFFFFF",0,1)+IF(getRGB1($D1768)="FFFFFF",0,2)+IF(getRGB1($E1768)="FFFFFF",0,3)+IF(getRGB1($F1768)="FFFFFF",0,4)</f>
        <v>1</v>
      </c>
    </row>
    <row r="1769" spans="1:7" ht="38.25">
      <c r="A1769" t="s">
        <v>3633</v>
      </c>
      <c r="B1769" s="586" t="s">
        <v>3781</v>
      </c>
      <c r="C1769" s="614" t="s">
        <v>3782</v>
      </c>
      <c r="D1769" s="614" t="s">
        <v>3783</v>
      </c>
      <c r="E1769" s="614" t="s">
        <v>3784</v>
      </c>
      <c r="F1769" s="608" t="s">
        <v>3785</v>
      </c>
      <c r="G1769">
        <f>IF(getRGB1($C1769)="FFFFFF",0,1)+IF(getRGB1($D1769)="FFFFFF",0,2)+IF(getRGB1($E1769)="FFFFFF",0,3)+IF(getRGB1($F1769)="FFFFFF",0,4)</f>
        <v>4</v>
      </c>
    </row>
    <row r="1770" spans="1:7" ht="60">
      <c r="A1770" t="s">
        <v>3633</v>
      </c>
      <c r="B1770" s="609" t="s">
        <v>3786</v>
      </c>
      <c r="C1770" s="608" t="s">
        <v>3787</v>
      </c>
      <c r="D1770" s="614" t="s">
        <v>3788</v>
      </c>
      <c r="E1770" s="614" t="s">
        <v>3789</v>
      </c>
      <c r="F1770" s="614" t="s">
        <v>1363</v>
      </c>
      <c r="G1770">
        <f>IF(getRGB1($C1770)="FFFFFF",0,1)+IF(getRGB1($D1770)="FFFFFF",0,2)+IF(getRGB1($E1770)="FFFFFF",0,3)+IF(getRGB1($F1770)="FFFFFF",0,4)</f>
        <v>1</v>
      </c>
    </row>
    <row r="1771" spans="1:7" ht="38.25">
      <c r="A1771" t="s">
        <v>3633</v>
      </c>
      <c r="B1771" s="620" t="s">
        <v>3790</v>
      </c>
      <c r="C1771" s="621" t="s">
        <v>3791</v>
      </c>
      <c r="D1771" s="624" t="s">
        <v>3792</v>
      </c>
      <c r="E1771" s="624" t="s">
        <v>3793</v>
      </c>
      <c r="F1771" s="624" t="s">
        <v>3794</v>
      </c>
      <c r="G1771">
        <f>IF(getRGB1($C1771)="FFFFFF",0,1)+IF(getRGB1($D1771)="FFFFFF",0,2)+IF(getRGB1($E1771)="FFFFFF",0,3)+IF(getRGB1($F1771)="FFFFFF",0,4)</f>
        <v>1</v>
      </c>
    </row>
    <row r="1772" spans="1:7" ht="51">
      <c r="A1772" t="s">
        <v>3633</v>
      </c>
      <c r="B1772" s="586" t="s">
        <v>3795</v>
      </c>
      <c r="C1772" s="608" t="s">
        <v>3796</v>
      </c>
      <c r="D1772" s="607" t="s">
        <v>3797</v>
      </c>
      <c r="E1772" s="614" t="s">
        <v>3798</v>
      </c>
      <c r="F1772" s="607" t="s">
        <v>3799</v>
      </c>
      <c r="G1772">
        <f>IF(getRGB1($C1772)="FFFFFF",0,1)+IF(getRGB1($D1772)="FFFFFF",0,2)+IF(getRGB1($E1772)="FFFFFF",0,3)+IF(getRGB1($F1772)="FFFFFF",0,4)</f>
        <v>1</v>
      </c>
    </row>
    <row r="1773" spans="1:7" ht="38.25">
      <c r="A1773" t="s">
        <v>3633</v>
      </c>
      <c r="B1773" s="586" t="s">
        <v>3800</v>
      </c>
      <c r="C1773" s="625" t="s">
        <v>8465</v>
      </c>
      <c r="D1773" s="614" t="s">
        <v>3802</v>
      </c>
      <c r="E1773" s="626" t="s">
        <v>8466</v>
      </c>
      <c r="F1773" s="614" t="s">
        <v>3804</v>
      </c>
      <c r="G1773">
        <f>IF(getRGB1($C1773)="FFFFFF",0,1)+IF(getRGB1($D1773)="FFFFFF",0,2)+IF(getRGB1($E1773)="FFFFFF",0,3)+IF(getRGB1($F1773)="FFFFFF",0,4)</f>
        <v>1</v>
      </c>
    </row>
    <row r="1774" spans="1:7" ht="38.25">
      <c r="A1774" t="s">
        <v>3633</v>
      </c>
      <c r="B1774" s="586" t="s">
        <v>3805</v>
      </c>
      <c r="C1774" s="608" t="s">
        <v>3806</v>
      </c>
      <c r="D1774" s="614" t="s">
        <v>3807</v>
      </c>
      <c r="E1774" s="614" t="s">
        <v>3808</v>
      </c>
      <c r="F1774" s="614" t="s">
        <v>73</v>
      </c>
      <c r="G1774">
        <f>IF(getRGB1($C1774)="FFFFFF",0,1)+IF(getRGB1($D1774)="FFFFFF",0,2)+IF(getRGB1($E1774)="FFFFFF",0,3)+IF(getRGB1($F1774)="FFFFFF",0,4)</f>
        <v>1</v>
      </c>
    </row>
    <row r="1775" spans="1:7" ht="63.75">
      <c r="A1775" t="s">
        <v>3633</v>
      </c>
      <c r="B1775" s="586" t="s">
        <v>3809</v>
      </c>
      <c r="C1775" s="614" t="s">
        <v>3810</v>
      </c>
      <c r="D1775" s="614" t="s">
        <v>3811</v>
      </c>
      <c r="E1775" s="614" t="s">
        <v>3812</v>
      </c>
      <c r="F1775" s="608" t="s">
        <v>1000</v>
      </c>
      <c r="G1775">
        <f>IF(getRGB1($C1775)="FFFFFF",0,1)+IF(getRGB1($D1775)="FFFFFF",0,2)+IF(getRGB1($E1775)="FFFFFF",0,3)+IF(getRGB1($F1775)="FFFFFF",0,4)</f>
        <v>4</v>
      </c>
    </row>
    <row r="1776" spans="1:7" ht="76.5">
      <c r="A1776" t="s">
        <v>3633</v>
      </c>
      <c r="B1776" s="586" t="s">
        <v>3813</v>
      </c>
      <c r="C1776" s="614" t="s">
        <v>3814</v>
      </c>
      <c r="D1776" s="608" t="s">
        <v>3815</v>
      </c>
      <c r="E1776" s="614" t="s">
        <v>3816</v>
      </c>
      <c r="F1776" s="614" t="s">
        <v>3817</v>
      </c>
      <c r="G1776">
        <f>IF(getRGB1($C1776)="FFFFFF",0,1)+IF(getRGB1($D1776)="FFFFFF",0,2)+IF(getRGB1($E1776)="FFFFFF",0,3)+IF(getRGB1($F1776)="FFFFFF",0,4)</f>
        <v>2</v>
      </c>
    </row>
    <row r="1777" spans="1:7" ht="38.25">
      <c r="A1777" t="s">
        <v>3633</v>
      </c>
      <c r="B1777" s="586" t="s">
        <v>3818</v>
      </c>
      <c r="C1777" s="614" t="s">
        <v>3819</v>
      </c>
      <c r="D1777" s="614" t="s">
        <v>3820</v>
      </c>
      <c r="E1777" s="608" t="s">
        <v>3821</v>
      </c>
      <c r="F1777" s="614" t="s">
        <v>61</v>
      </c>
      <c r="G1777">
        <f>IF(getRGB1($C1777)="FFFFFF",0,1)+IF(getRGB1($D1777)="FFFFFF",0,2)+IF(getRGB1($E1777)="FFFFFF",0,3)+IF(getRGB1($F1777)="FFFFFF",0,4)</f>
        <v>3</v>
      </c>
    </row>
    <row r="1778" spans="1:7" ht="127.5">
      <c r="A1778" t="s">
        <v>3633</v>
      </c>
      <c r="B1778" s="586" t="s">
        <v>3822</v>
      </c>
      <c r="C1778" s="614" t="s">
        <v>3823</v>
      </c>
      <c r="D1778" s="614" t="s">
        <v>3824</v>
      </c>
      <c r="E1778" s="614" t="s">
        <v>3825</v>
      </c>
      <c r="F1778" s="608" t="s">
        <v>3826</v>
      </c>
      <c r="G1778">
        <f>IF(getRGB1($C1778)="FFFFFF",0,1)+IF(getRGB1($D1778)="FFFFFF",0,2)+IF(getRGB1($E1778)="FFFFFF",0,3)+IF(getRGB1($F1778)="FFFFFF",0,4)</f>
        <v>4</v>
      </c>
    </row>
    <row r="1779" spans="1:7" ht="25.5">
      <c r="A1779" t="s">
        <v>3633</v>
      </c>
      <c r="B1779" s="586" t="s">
        <v>3827</v>
      </c>
      <c r="C1779" s="614" t="s">
        <v>3828</v>
      </c>
      <c r="D1779" s="608" t="s">
        <v>3829</v>
      </c>
      <c r="E1779" s="614" t="s">
        <v>804</v>
      </c>
      <c r="F1779" s="614" t="s">
        <v>805</v>
      </c>
      <c r="G1779">
        <f>IF(getRGB1($C1779)="FFFFFF",0,1)+IF(getRGB1($D1779)="FFFFFF",0,2)+IF(getRGB1($E1779)="FFFFFF",0,3)+IF(getRGB1($F1779)="FFFFFF",0,4)</f>
        <v>2</v>
      </c>
    </row>
    <row r="1780" spans="1:7" ht="25.5">
      <c r="A1780" t="s">
        <v>3633</v>
      </c>
      <c r="B1780" s="586" t="s">
        <v>3830</v>
      </c>
      <c r="C1780" s="614" t="s">
        <v>74</v>
      </c>
      <c r="D1780" s="614" t="s">
        <v>137</v>
      </c>
      <c r="E1780" s="608" t="s">
        <v>2473</v>
      </c>
      <c r="F1780" s="614" t="s">
        <v>76</v>
      </c>
      <c r="G1780">
        <f>IF(getRGB1($C1780)="FFFFFF",0,1)+IF(getRGB1($D1780)="FFFFFF",0,2)+IF(getRGB1($E1780)="FFFFFF",0,3)+IF(getRGB1($F1780)="FFFFFF",0,4)</f>
        <v>3</v>
      </c>
    </row>
    <row r="1781" spans="1:7" ht="63.75">
      <c r="A1781" t="s">
        <v>3633</v>
      </c>
      <c r="B1781" s="586" t="s">
        <v>3831</v>
      </c>
      <c r="C1781" s="608" t="s">
        <v>3832</v>
      </c>
      <c r="D1781" s="614" t="s">
        <v>3833</v>
      </c>
      <c r="E1781" s="614" t="s">
        <v>3834</v>
      </c>
      <c r="F1781" s="614" t="s">
        <v>3835</v>
      </c>
      <c r="G1781">
        <f>IF(getRGB1($C1781)="FFFFFF",0,1)+IF(getRGB1($D1781)="FFFFFF",0,2)+IF(getRGB1($E1781)="FFFFFF",0,3)+IF(getRGB1($F1781)="FFFFFF",0,4)</f>
        <v>1</v>
      </c>
    </row>
    <row r="1782" spans="1:7" ht="51">
      <c r="A1782" t="s">
        <v>3633</v>
      </c>
      <c r="B1782" s="586" t="s">
        <v>3836</v>
      </c>
      <c r="C1782" s="614" t="s">
        <v>74</v>
      </c>
      <c r="D1782" s="608" t="s">
        <v>73</v>
      </c>
      <c r="E1782" s="614" t="s">
        <v>177</v>
      </c>
      <c r="F1782" s="614" t="s">
        <v>3476</v>
      </c>
      <c r="G1782">
        <f>IF(getRGB1($C1782)="FFFFFF",0,1)+IF(getRGB1($D1782)="FFFFFF",0,2)+IF(getRGB1($E1782)="FFFFFF",0,3)+IF(getRGB1($F1782)="FFFFFF",0,4)</f>
        <v>2</v>
      </c>
    </row>
    <row r="1783" spans="1:7" ht="38.25">
      <c r="A1783" t="s">
        <v>3633</v>
      </c>
      <c r="B1783" s="620" t="s">
        <v>3837</v>
      </c>
      <c r="C1783" s="621" t="s">
        <v>3838</v>
      </c>
      <c r="D1783" s="624" t="s">
        <v>3839</v>
      </c>
      <c r="E1783" s="624" t="s">
        <v>3840</v>
      </c>
      <c r="F1783" s="627" t="s">
        <v>8467</v>
      </c>
      <c r="G1783">
        <f>IF(getRGB1($C1783)="FFFFFF",0,1)+IF(getRGB1($D1783)="FFFFFF",0,2)+IF(getRGB1($E1783)="FFFFFF",0,3)+IF(getRGB1($F1783)="FFFFFF",0,4)</f>
        <v>1</v>
      </c>
    </row>
    <row r="1784" spans="1:7" ht="38.25">
      <c r="A1784" t="s">
        <v>3633</v>
      </c>
      <c r="B1784" s="586" t="s">
        <v>3842</v>
      </c>
      <c r="C1784" s="626" t="s">
        <v>8468</v>
      </c>
      <c r="D1784" s="614" t="s">
        <v>3844</v>
      </c>
      <c r="E1784" s="625" t="s">
        <v>8469</v>
      </c>
      <c r="F1784" s="626" t="s">
        <v>8470</v>
      </c>
      <c r="G1784">
        <f>IF(getRGB1($C1784)="FFFFFF",0,1)+IF(getRGB1($D1784)="FFFFFF",0,2)+IF(getRGB1($E1784)="FFFFFF",0,3)+IF(getRGB1($F1784)="FFFFFF",0,4)</f>
        <v>3</v>
      </c>
    </row>
    <row r="1785" spans="1:7" ht="38.25">
      <c r="A1785" t="s">
        <v>3633</v>
      </c>
      <c r="B1785" s="586" t="s">
        <v>3847</v>
      </c>
      <c r="C1785" s="608" t="s">
        <v>3848</v>
      </c>
      <c r="D1785" s="614" t="s">
        <v>3849</v>
      </c>
      <c r="E1785" s="614" t="s">
        <v>3850</v>
      </c>
      <c r="F1785" s="614" t="s">
        <v>3851</v>
      </c>
      <c r="G1785">
        <f>IF(getRGB1($C1785)="FFFFFF",0,1)+IF(getRGB1($D1785)="FFFFFF",0,2)+IF(getRGB1($E1785)="FFFFFF",0,3)+IF(getRGB1($F1785)="FFFFFF",0,4)</f>
        <v>1</v>
      </c>
    </row>
    <row r="1786" spans="1:7" ht="51">
      <c r="A1786" t="s">
        <v>3633</v>
      </c>
      <c r="B1786" s="586" t="s">
        <v>8471</v>
      </c>
      <c r="C1786" s="626" t="s">
        <v>8472</v>
      </c>
      <c r="D1786" s="614" t="s">
        <v>3854</v>
      </c>
      <c r="E1786" s="608" t="s">
        <v>3855</v>
      </c>
      <c r="F1786" s="614" t="s">
        <v>3856</v>
      </c>
      <c r="G1786">
        <f>IF(getRGB1($C1786)="FFFFFF",0,1)+IF(getRGB1($D1786)="FFFFFF",0,2)+IF(getRGB1($E1786)="FFFFFF",0,3)+IF(getRGB1($F1786)="FFFFFF",0,4)</f>
        <v>3</v>
      </c>
    </row>
    <row r="1787" spans="1:7" ht="38.25">
      <c r="A1787" t="s">
        <v>3633</v>
      </c>
      <c r="B1787" s="586" t="s">
        <v>3857</v>
      </c>
      <c r="C1787" s="608" t="s">
        <v>3858</v>
      </c>
      <c r="D1787" s="614" t="s">
        <v>3859</v>
      </c>
      <c r="E1787" s="614" t="s">
        <v>3860</v>
      </c>
      <c r="F1787" s="614" t="s">
        <v>3861</v>
      </c>
      <c r="G1787">
        <f>IF(getRGB1($C1787)="FFFFFF",0,1)+IF(getRGB1($D1787)="FFFFFF",0,2)+IF(getRGB1($E1787)="FFFFFF",0,3)+IF(getRGB1($F1787)="FFFFFF",0,4)</f>
        <v>1</v>
      </c>
    </row>
    <row r="1788" spans="1:7" ht="38.25">
      <c r="A1788" t="s">
        <v>3633</v>
      </c>
      <c r="B1788" s="586" t="s">
        <v>3862</v>
      </c>
      <c r="C1788" s="614" t="s">
        <v>3718</v>
      </c>
      <c r="D1788" s="614" t="s">
        <v>3863</v>
      </c>
      <c r="E1788" s="614" t="s">
        <v>3864</v>
      </c>
      <c r="F1788" s="625" t="s">
        <v>8473</v>
      </c>
      <c r="G1788">
        <f>IF(getRGB1($C1788)="FFFFFF",0,1)+IF(getRGB1($D1788)="FFFFFF",0,2)+IF(getRGB1($E1788)="FFFFFF",0,3)+IF(getRGB1($F1788)="FFFFFF",0,4)</f>
        <v>4</v>
      </c>
    </row>
    <row r="1789" spans="1:7" ht="38.25">
      <c r="A1789" t="s">
        <v>3633</v>
      </c>
      <c r="B1789" s="586" t="s">
        <v>3866</v>
      </c>
      <c r="C1789" s="614" t="s">
        <v>3751</v>
      </c>
      <c r="D1789" s="608" t="s">
        <v>3718</v>
      </c>
      <c r="E1789" s="614" t="s">
        <v>1895</v>
      </c>
      <c r="F1789" s="614" t="s">
        <v>3719</v>
      </c>
      <c r="G1789">
        <f>IF(getRGB1($C1789)="FFFFFF",0,1)+IF(getRGB1($D1789)="FFFFFF",0,2)+IF(getRGB1($E1789)="FFFFFF",0,3)+IF(getRGB1($F1789)="FFFFFF",0,4)</f>
        <v>2</v>
      </c>
    </row>
    <row r="1790" spans="1:7" ht="38.25">
      <c r="A1790" t="s">
        <v>3633</v>
      </c>
      <c r="B1790" s="586" t="s">
        <v>3867</v>
      </c>
      <c r="C1790" s="614" t="s">
        <v>3751</v>
      </c>
      <c r="D1790" s="626" t="s">
        <v>8464</v>
      </c>
      <c r="E1790" s="608" t="s">
        <v>1895</v>
      </c>
      <c r="F1790" s="626" t="s">
        <v>8474</v>
      </c>
      <c r="G1790">
        <f>IF(getRGB1($C1790)="FFFFFF",0,1)+IF(getRGB1($D1790)="FFFFFF",0,2)+IF(getRGB1($E1790)="FFFFFF",0,3)+IF(getRGB1($F1790)="FFFFFF",0,4)</f>
        <v>3</v>
      </c>
    </row>
    <row r="1791" spans="1:7" ht="25.5">
      <c r="A1791" t="s">
        <v>3633</v>
      </c>
      <c r="B1791" s="586" t="s">
        <v>3870</v>
      </c>
      <c r="C1791" s="614" t="s">
        <v>3751</v>
      </c>
      <c r="D1791" s="614" t="s">
        <v>3871</v>
      </c>
      <c r="E1791" s="614" t="s">
        <v>1895</v>
      </c>
      <c r="F1791" s="608" t="s">
        <v>3719</v>
      </c>
      <c r="G1791">
        <f>IF(getRGB1($C1791)="FFFFFF",0,1)+IF(getRGB1($D1791)="FFFFFF",0,2)+IF(getRGB1($E1791)="FFFFFF",0,3)+IF(getRGB1($F1791)="FFFFFF",0,4)</f>
        <v>4</v>
      </c>
    </row>
    <row r="1792" spans="1:7" ht="25.5">
      <c r="A1792" t="s">
        <v>3633</v>
      </c>
      <c r="B1792" s="586" t="s">
        <v>3872</v>
      </c>
      <c r="C1792" s="614" t="s">
        <v>3873</v>
      </c>
      <c r="D1792" s="608" t="s">
        <v>3874</v>
      </c>
      <c r="E1792" s="614" t="s">
        <v>3875</v>
      </c>
      <c r="F1792" s="614" t="s">
        <v>3876</v>
      </c>
      <c r="G1792">
        <f>IF(getRGB1($C1792)="FFFFFF",0,1)+IF(getRGB1($D1792)="FFFFFF",0,2)+IF(getRGB1($E1792)="FFFFFF",0,3)+IF(getRGB1($F1792)="FFFFFF",0,4)</f>
        <v>2</v>
      </c>
    </row>
    <row r="1793" spans="1:7" ht="102">
      <c r="A1793" t="s">
        <v>3633</v>
      </c>
      <c r="B1793" s="586" t="s">
        <v>3877</v>
      </c>
      <c r="C1793" s="608" t="s">
        <v>3878</v>
      </c>
      <c r="D1793" s="626" t="s">
        <v>8475</v>
      </c>
      <c r="E1793" s="626" t="s">
        <v>8476</v>
      </c>
      <c r="F1793" s="626" t="s">
        <v>8477</v>
      </c>
      <c r="G1793">
        <f>IF(getRGB1($C1793)="FFFFFF",0,1)+IF(getRGB1($D1793)="FFFFFF",0,2)+IF(getRGB1($E1793)="FFFFFF",0,3)+IF(getRGB1($F1793)="FFFFFF",0,4)</f>
        <v>1</v>
      </c>
    </row>
    <row r="1794" spans="1:7" ht="76.5">
      <c r="A1794" t="s">
        <v>3633</v>
      </c>
      <c r="B1794" s="620" t="s">
        <v>3882</v>
      </c>
      <c r="C1794" s="624" t="s">
        <v>3883</v>
      </c>
      <c r="D1794" s="624" t="s">
        <v>3884</v>
      </c>
      <c r="E1794" s="621" t="s">
        <v>3885</v>
      </c>
      <c r="F1794" s="624" t="s">
        <v>3886</v>
      </c>
      <c r="G1794">
        <f>IF(getRGB1($C1794)="FFFFFF",0,1)+IF(getRGB1($D1794)="FFFFFF",0,2)+IF(getRGB1($E1794)="FFFFFF",0,3)+IF(getRGB1($F1794)="FFFFFF",0,4)</f>
        <v>3</v>
      </c>
    </row>
    <row r="1795" spans="1:7" ht="51">
      <c r="A1795" t="s">
        <v>3633</v>
      </c>
      <c r="B1795" s="586" t="s">
        <v>3887</v>
      </c>
      <c r="C1795" s="608" t="s">
        <v>3888</v>
      </c>
      <c r="D1795" s="614" t="s">
        <v>3889</v>
      </c>
      <c r="E1795" s="614" t="s">
        <v>3890</v>
      </c>
      <c r="F1795" s="614" t="s">
        <v>3891</v>
      </c>
      <c r="G1795">
        <f>IF(getRGB1($C1795)="FFFFFF",0,1)+IF(getRGB1($D1795)="FFFFFF",0,2)+IF(getRGB1($E1795)="FFFFFF",0,3)+IF(getRGB1($F1795)="FFFFFF",0,4)</f>
        <v>1</v>
      </c>
    </row>
    <row r="1796" spans="1:7" ht="51">
      <c r="A1796" t="s">
        <v>3633</v>
      </c>
      <c r="B1796" s="586" t="s">
        <v>3892</v>
      </c>
      <c r="C1796" s="614" t="s">
        <v>417</v>
      </c>
      <c r="D1796" s="614" t="s">
        <v>179</v>
      </c>
      <c r="E1796" s="614" t="s">
        <v>3807</v>
      </c>
      <c r="F1796" s="608" t="s">
        <v>3893</v>
      </c>
      <c r="G1796">
        <f>IF(getRGB1($C1796)="FFFFFF",0,1)+IF(getRGB1($D1796)="FFFFFF",0,2)+IF(getRGB1($E1796)="FFFFFF",0,3)+IF(getRGB1($F1796)="FFFFFF",0,4)</f>
        <v>4</v>
      </c>
    </row>
    <row r="1797" spans="1:7" ht="38.25">
      <c r="A1797" t="s">
        <v>3633</v>
      </c>
      <c r="B1797" s="586" t="s">
        <v>3894</v>
      </c>
      <c r="C1797" s="608" t="s">
        <v>3895</v>
      </c>
      <c r="D1797" s="614" t="s">
        <v>3896</v>
      </c>
      <c r="E1797" s="614" t="s">
        <v>3897</v>
      </c>
      <c r="F1797" s="614" t="s">
        <v>3898</v>
      </c>
      <c r="G1797">
        <f>IF(getRGB1($C1797)="FFFFFF",0,1)+IF(getRGB1($D1797)="FFFFFF",0,2)+IF(getRGB1($E1797)="FFFFFF",0,3)+IF(getRGB1($F1797)="FFFFFF",0,4)</f>
        <v>1</v>
      </c>
    </row>
    <row r="1798" spans="1:7" ht="63.75">
      <c r="A1798" t="s">
        <v>3633</v>
      </c>
      <c r="B1798" s="586" t="s">
        <v>3899</v>
      </c>
      <c r="C1798" s="608" t="s">
        <v>3900</v>
      </c>
      <c r="D1798" s="626" t="s">
        <v>8478</v>
      </c>
      <c r="E1798" s="614" t="s">
        <v>3902</v>
      </c>
      <c r="F1798" s="626" t="s">
        <v>8479</v>
      </c>
      <c r="G1798">
        <f>IF(getRGB1($C1798)="FFFFFF",0,1)+IF(getRGB1($D1798)="FFFFFF",0,2)+IF(getRGB1($E1798)="FFFFFF",0,3)+IF(getRGB1($F1798)="FFFFFF",0,4)</f>
        <v>1</v>
      </c>
    </row>
    <row r="1799" spans="1:7" ht="51">
      <c r="A1799" t="s">
        <v>3633</v>
      </c>
      <c r="B1799" s="586" t="s">
        <v>3904</v>
      </c>
      <c r="C1799" s="608" t="s">
        <v>3905</v>
      </c>
      <c r="D1799" s="607" t="s">
        <v>3906</v>
      </c>
      <c r="E1799" s="614" t="s">
        <v>3907</v>
      </c>
      <c r="F1799" s="614" t="s">
        <v>3908</v>
      </c>
      <c r="G1799">
        <f>IF(getRGB1($C1799)="FFFFFF",0,1)+IF(getRGB1($D1799)="FFFFFF",0,2)+IF(getRGB1($E1799)="FFFFFF",0,3)+IF(getRGB1($F1799)="FFFFFF",0,4)</f>
        <v>1</v>
      </c>
    </row>
    <row r="1800" spans="1:7" ht="38.25">
      <c r="A1800" t="s">
        <v>3633</v>
      </c>
      <c r="B1800" s="39" t="s">
        <v>3909</v>
      </c>
      <c r="C1800" s="61" t="s">
        <v>3910</v>
      </c>
      <c r="D1800" s="61" t="s">
        <v>3911</v>
      </c>
      <c r="E1800" s="43" t="s">
        <v>3912</v>
      </c>
      <c r="F1800" s="61" t="s">
        <v>3913</v>
      </c>
      <c r="G1800">
        <f>IF(getRGB1($C1800)="FFFFFF",0,1)+IF(getRGB1($D1800)="FFFFFF",0,2)+IF(getRGB1($E1800)="FFFFFF",0,3)+IF(getRGB1($F1800)="FFFFFF",0,4)</f>
        <v>3</v>
      </c>
    </row>
    <row r="1801" spans="1:7" ht="38.25">
      <c r="A1801" t="s">
        <v>3633</v>
      </c>
      <c r="B1801" s="586" t="s">
        <v>3914</v>
      </c>
      <c r="C1801" s="608" t="s">
        <v>3915</v>
      </c>
      <c r="D1801" s="614" t="s">
        <v>3916</v>
      </c>
      <c r="E1801" s="614" t="s">
        <v>3917</v>
      </c>
      <c r="F1801" s="614" t="s">
        <v>3918</v>
      </c>
      <c r="G1801">
        <f>IF(getRGB1($C1801)="FFFFFF",0,1)+IF(getRGB1($D1801)="FFFFFF",0,2)+IF(getRGB1($E1801)="FFFFFF",0,3)+IF(getRGB1($F1801)="FFFFFF",0,4)</f>
        <v>1</v>
      </c>
    </row>
    <row r="1802" spans="1:7" ht="76.5">
      <c r="A1802" t="s">
        <v>3633</v>
      </c>
      <c r="B1802" s="586" t="s">
        <v>8480</v>
      </c>
      <c r="C1802" s="614" t="s">
        <v>3920</v>
      </c>
      <c r="D1802" s="614" t="s">
        <v>3921</v>
      </c>
      <c r="E1802" s="614" t="s">
        <v>3922</v>
      </c>
      <c r="F1802" s="608" t="s">
        <v>3923</v>
      </c>
      <c r="G1802">
        <f>IF(getRGB1($C1802)="FFFFFF",0,1)+IF(getRGB1($D1802)="FFFFFF",0,2)+IF(getRGB1($E1802)="FFFFFF",0,3)+IF(getRGB1($F1802)="FFFFFF",0,4)</f>
        <v>4</v>
      </c>
    </row>
    <row r="1803" spans="1:7" ht="38.25">
      <c r="A1803" t="s">
        <v>3633</v>
      </c>
      <c r="B1803" s="586" t="s">
        <v>3924</v>
      </c>
      <c r="C1803" s="614" t="s">
        <v>3925</v>
      </c>
      <c r="D1803" s="614" t="s">
        <v>3926</v>
      </c>
      <c r="E1803" s="614" t="s">
        <v>3927</v>
      </c>
      <c r="F1803" s="608" t="s">
        <v>1869</v>
      </c>
      <c r="G1803">
        <f>IF(getRGB1($C1803)="FFFFFF",0,1)+IF(getRGB1($D1803)="FFFFFF",0,2)+IF(getRGB1($E1803)="FFFFFF",0,3)+IF(getRGB1($F1803)="FFFFFF",0,4)</f>
        <v>4</v>
      </c>
    </row>
    <row r="1804" spans="1:7" ht="165">
      <c r="A1804" t="s">
        <v>3633</v>
      </c>
      <c r="B1804" s="586" t="s">
        <v>3928</v>
      </c>
      <c r="C1804" s="608" t="s">
        <v>3929</v>
      </c>
      <c r="D1804" s="615" t="s">
        <v>3930</v>
      </c>
      <c r="E1804" s="614" t="s">
        <v>3931</v>
      </c>
      <c r="F1804" s="614" t="s">
        <v>3932</v>
      </c>
      <c r="G1804">
        <f>IF(getRGB1($C1804)="FFFFFF",0,1)+IF(getRGB1($D1804)="FFFFFF",0,2)+IF(getRGB1($E1804)="FFFFFF",0,3)+IF(getRGB1($F1804)="FFFFFF",0,4)</f>
        <v>1</v>
      </c>
    </row>
    <row r="1805" spans="1:7" ht="45">
      <c r="A1805" t="s">
        <v>3633</v>
      </c>
      <c r="B1805" s="609" t="s">
        <v>3933</v>
      </c>
      <c r="C1805" s="608" t="s">
        <v>179</v>
      </c>
      <c r="D1805" s="614" t="s">
        <v>76</v>
      </c>
      <c r="E1805" s="614" t="s">
        <v>137</v>
      </c>
      <c r="F1805" s="614" t="s">
        <v>74</v>
      </c>
      <c r="G1805">
        <f>IF(getRGB1($C1805)="FFFFFF",0,1)+IF(getRGB1($D1805)="FFFFFF",0,2)+IF(getRGB1($E1805)="FFFFFF",0,3)+IF(getRGB1($F1805)="FFFFFF",0,4)</f>
        <v>1</v>
      </c>
    </row>
    <row r="1806" spans="1:7" ht="51">
      <c r="A1806" t="s">
        <v>3633</v>
      </c>
      <c r="B1806" s="586" t="s">
        <v>3934</v>
      </c>
      <c r="C1806" s="607" t="s">
        <v>3935</v>
      </c>
      <c r="D1806" s="607" t="s">
        <v>3936</v>
      </c>
      <c r="E1806" s="608" t="s">
        <v>3937</v>
      </c>
      <c r="F1806" s="607" t="s">
        <v>3938</v>
      </c>
      <c r="G1806">
        <f>IF(getRGB1($C1806)="FFFFFF",0,1)+IF(getRGB1($D1806)="FFFFFF",0,2)+IF(getRGB1($E1806)="FFFFFF",0,3)+IF(getRGB1($F1806)="FFFFFF",0,4)</f>
        <v>3</v>
      </c>
    </row>
    <row r="1807" spans="1:7" ht="38.25">
      <c r="A1807" t="s">
        <v>3633</v>
      </c>
      <c r="B1807" s="586" t="s">
        <v>3939</v>
      </c>
      <c r="C1807" s="608" t="s">
        <v>3940</v>
      </c>
      <c r="D1807" s="614" t="s">
        <v>3941</v>
      </c>
      <c r="E1807" s="614" t="s">
        <v>3942</v>
      </c>
      <c r="F1807" s="614" t="s">
        <v>3943</v>
      </c>
      <c r="G1807">
        <f>IF(getRGB1($C1807)="FFFFFF",0,1)+IF(getRGB1($D1807)="FFFFFF",0,2)+IF(getRGB1($E1807)="FFFFFF",0,3)+IF(getRGB1($F1807)="FFFFFF",0,4)</f>
        <v>1</v>
      </c>
    </row>
    <row r="1808" spans="1:7" ht="51">
      <c r="A1808" t="s">
        <v>3633</v>
      </c>
      <c r="B1808" s="586" t="s">
        <v>8481</v>
      </c>
      <c r="C1808" s="608" t="s">
        <v>3945</v>
      </c>
      <c r="D1808" s="614" t="s">
        <v>3946</v>
      </c>
      <c r="E1808" s="614" t="s">
        <v>3947</v>
      </c>
      <c r="F1808" s="614" t="s">
        <v>3948</v>
      </c>
      <c r="G1808">
        <f>IF(getRGB1($C1808)="FFFFFF",0,1)+IF(getRGB1($D1808)="FFFFFF",0,2)+IF(getRGB1($E1808)="FFFFFF",0,3)+IF(getRGB1($F1808)="FFFFFF",0,4)</f>
        <v>1</v>
      </c>
    </row>
    <row r="1809" spans="1:7" ht="38.25">
      <c r="A1809" t="s">
        <v>3633</v>
      </c>
      <c r="B1809" s="586" t="s">
        <v>3949</v>
      </c>
      <c r="C1809" s="608" t="s">
        <v>557</v>
      </c>
      <c r="D1809" s="614" t="s">
        <v>3773</v>
      </c>
      <c r="E1809" s="614" t="s">
        <v>3950</v>
      </c>
      <c r="F1809" s="614" t="s">
        <v>3951</v>
      </c>
      <c r="G1809">
        <f>IF(getRGB1($C1809)="FFFFFF",0,1)+IF(getRGB1($D1809)="FFFFFF",0,2)+IF(getRGB1($E1809)="FFFFFF",0,3)+IF(getRGB1($F1809)="FFFFFF",0,4)</f>
        <v>1</v>
      </c>
    </row>
    <row r="1810" spans="1:7" ht="51">
      <c r="A1810" t="s">
        <v>3633</v>
      </c>
      <c r="B1810" s="586" t="s">
        <v>3952</v>
      </c>
      <c r="C1810" s="608" t="s">
        <v>3953</v>
      </c>
      <c r="D1810" s="614" t="s">
        <v>3954</v>
      </c>
      <c r="E1810" s="614" t="s">
        <v>3955</v>
      </c>
      <c r="F1810" s="614" t="s">
        <v>3956</v>
      </c>
      <c r="G1810">
        <f>IF(getRGB1($C1810)="FFFFFF",0,1)+IF(getRGB1($D1810)="FFFFFF",0,2)+IF(getRGB1($E1810)="FFFFFF",0,3)+IF(getRGB1($F1810)="FFFFFF",0,4)</f>
        <v>1</v>
      </c>
    </row>
    <row r="1811" spans="1:7" ht="63.75">
      <c r="A1811" t="s">
        <v>3633</v>
      </c>
      <c r="B1811" s="586" t="s">
        <v>3957</v>
      </c>
      <c r="C1811" s="614" t="s">
        <v>74</v>
      </c>
      <c r="D1811" s="614" t="s">
        <v>179</v>
      </c>
      <c r="E1811" s="608" t="s">
        <v>3958</v>
      </c>
      <c r="F1811" s="614" t="s">
        <v>76</v>
      </c>
      <c r="G1811">
        <f>IF(getRGB1($C1811)="FFFFFF",0,1)+IF(getRGB1($D1811)="FFFFFF",0,2)+IF(getRGB1($E1811)="FFFFFF",0,3)+IF(getRGB1($F1811)="FFFFFF",0,4)</f>
        <v>3</v>
      </c>
    </row>
    <row r="1812" spans="1:7" ht="25.5">
      <c r="A1812" t="s">
        <v>3633</v>
      </c>
      <c r="B1812" s="586" t="s">
        <v>3959</v>
      </c>
      <c r="C1812" s="606" t="s">
        <v>3960</v>
      </c>
      <c r="D1812" s="607" t="s">
        <v>3961</v>
      </c>
      <c r="E1812" s="608" t="s">
        <v>179</v>
      </c>
      <c r="F1812" s="607" t="s">
        <v>557</v>
      </c>
      <c r="G1812">
        <f>IF(getRGB1($C1812)="FFFFFF",0,1)+IF(getRGB1($D1812)="FFFFFF",0,2)+IF(getRGB1($E1812)="FFFFFF",0,3)+IF(getRGB1($F1812)="FFFFFF",0,4)</f>
        <v>3</v>
      </c>
    </row>
    <row r="1813" spans="1:7" ht="52.5">
      <c r="A1813" t="s">
        <v>3633</v>
      </c>
      <c r="B1813" s="586" t="s">
        <v>3962</v>
      </c>
      <c r="C1813" s="608" t="s">
        <v>8482</v>
      </c>
      <c r="D1813" s="614" t="s">
        <v>8483</v>
      </c>
      <c r="E1813" s="614" t="s">
        <v>8484</v>
      </c>
      <c r="F1813" s="614" t="s">
        <v>3966</v>
      </c>
      <c r="G1813">
        <f>IF(getRGB1($C1813)="FFFFFF",0,1)+IF(getRGB1($D1813)="FFFFFF",0,2)+IF(getRGB1($E1813)="FFFFFF",0,3)+IF(getRGB1($F1813)="FFFFFF",0,4)</f>
        <v>1</v>
      </c>
    </row>
    <row r="1814" spans="1:7" ht="38.25">
      <c r="A1814" t="s">
        <v>3633</v>
      </c>
      <c r="B1814" s="586" t="s">
        <v>3967</v>
      </c>
      <c r="C1814" s="628" t="s">
        <v>3968</v>
      </c>
      <c r="D1814" s="628" t="s">
        <v>3969</v>
      </c>
      <c r="E1814" s="629" t="s">
        <v>3970</v>
      </c>
      <c r="F1814" s="628" t="s">
        <v>3971</v>
      </c>
      <c r="G1814">
        <f>IF(getRGB1($C1814)="FFFFFF",0,1)+IF(getRGB1($D1814)="FFFFFF",0,2)+IF(getRGB1($E1814)="FFFFFF",0,3)+IF(getRGB1($F1814)="FFFFFF",0,4)</f>
        <v>3</v>
      </c>
    </row>
    <row r="1815" spans="1:7" ht="25.5">
      <c r="A1815" t="s">
        <v>3633</v>
      </c>
      <c r="B1815" s="586" t="s">
        <v>3972</v>
      </c>
      <c r="C1815" s="629" t="s">
        <v>557</v>
      </c>
      <c r="D1815" s="628" t="s">
        <v>179</v>
      </c>
      <c r="E1815" s="628" t="s">
        <v>3973</v>
      </c>
      <c r="F1815" s="628" t="s">
        <v>3974</v>
      </c>
      <c r="G1815">
        <f>IF(getRGB1($C1815)="FFFFFF",0,1)+IF(getRGB1($D1815)="FFFFFF",0,2)+IF(getRGB1($E1815)="FFFFFF",0,3)+IF(getRGB1($F1815)="FFFFFF",0,4)</f>
        <v>1</v>
      </c>
    </row>
    <row r="1816" spans="1:7" ht="25.5">
      <c r="A1816" t="s">
        <v>3633</v>
      </c>
      <c r="B1816" s="586" t="s">
        <v>3975</v>
      </c>
      <c r="C1816" s="628" t="s">
        <v>451</v>
      </c>
      <c r="D1816" s="629" t="s">
        <v>3976</v>
      </c>
      <c r="E1816" s="628" t="s">
        <v>1490</v>
      </c>
      <c r="F1816" s="628" t="s">
        <v>1494</v>
      </c>
      <c r="G1816">
        <f>IF(getRGB1($C1816)="FFFFFF",0,1)+IF(getRGB1($D1816)="FFFFFF",0,2)+IF(getRGB1($E1816)="FFFFFF",0,3)+IF(getRGB1($F1816)="FFFFFF",0,4)</f>
        <v>2</v>
      </c>
    </row>
    <row r="1817" spans="1:7" ht="25.5">
      <c r="A1817" t="s">
        <v>3633</v>
      </c>
      <c r="B1817" s="586" t="s">
        <v>3977</v>
      </c>
      <c r="C1817" s="629" t="s">
        <v>3221</v>
      </c>
      <c r="D1817" s="628" t="s">
        <v>3220</v>
      </c>
      <c r="E1817" s="628" t="s">
        <v>3978</v>
      </c>
      <c r="F1817" s="628" t="s">
        <v>3979</v>
      </c>
      <c r="G1817">
        <f>IF(getRGB1($C1817)="FFFFFF",0,1)+IF(getRGB1($D1817)="FFFFFF",0,2)+IF(getRGB1($E1817)="FFFFFF",0,3)+IF(getRGB1($F1817)="FFFFFF",0,4)</f>
        <v>1</v>
      </c>
    </row>
    <row r="1818" spans="1:7" ht="25.5">
      <c r="A1818" t="s">
        <v>3633</v>
      </c>
      <c r="B1818" s="586" t="s">
        <v>3980</v>
      </c>
      <c r="C1818" s="628">
        <v>4</v>
      </c>
      <c r="D1818" s="628">
        <v>5</v>
      </c>
      <c r="E1818" s="629">
        <v>6</v>
      </c>
      <c r="F1818" s="628">
        <v>3</v>
      </c>
      <c r="G1818">
        <f>IF(getRGB1($C1818)="FFFFFF",0,1)+IF(getRGB1($D1818)="FFFFFF",0,2)+IF(getRGB1($E1818)="FFFFFF",0,3)+IF(getRGB1($F1818)="FFFFFF",0,4)</f>
        <v>3</v>
      </c>
    </row>
    <row r="1819" spans="1:7" ht="51">
      <c r="A1819" t="s">
        <v>3633</v>
      </c>
      <c r="B1819" s="586" t="s">
        <v>3981</v>
      </c>
      <c r="C1819" s="628" t="s">
        <v>557</v>
      </c>
      <c r="D1819" s="629" t="s">
        <v>179</v>
      </c>
      <c r="E1819" s="628" t="s">
        <v>76</v>
      </c>
      <c r="F1819" s="628" t="s">
        <v>3982</v>
      </c>
      <c r="G1819">
        <f>IF(getRGB1($C1819)="FFFFFF",0,1)+IF(getRGB1($D1819)="FFFFFF",0,2)+IF(getRGB1($E1819)="FFFFFF",0,3)+IF(getRGB1($F1819)="FFFFFF",0,4)</f>
        <v>2</v>
      </c>
    </row>
    <row r="1820" spans="1:7" ht="51">
      <c r="A1820" t="s">
        <v>3633</v>
      </c>
      <c r="B1820" s="630" t="s">
        <v>3983</v>
      </c>
      <c r="C1820" s="628" t="s">
        <v>557</v>
      </c>
      <c r="D1820" s="629" t="s">
        <v>76</v>
      </c>
      <c r="E1820" s="628" t="s">
        <v>179</v>
      </c>
      <c r="F1820" s="628" t="s">
        <v>137</v>
      </c>
      <c r="G1820">
        <f>IF(getRGB1($C1820)="FFFFFF",0,1)+IF(getRGB1($D1820)="FFFFFF",0,2)+IF(getRGB1($E1820)="FFFFFF",0,3)+IF(getRGB1($F1820)="FFFFFF",0,4)</f>
        <v>2</v>
      </c>
    </row>
    <row r="1821" spans="1:7" ht="51">
      <c r="A1821" t="s">
        <v>3633</v>
      </c>
      <c r="B1821" s="630" t="s">
        <v>3984</v>
      </c>
      <c r="C1821" s="628" t="s">
        <v>3985</v>
      </c>
      <c r="D1821" s="629" t="s">
        <v>3986</v>
      </c>
      <c r="E1821" s="628" t="s">
        <v>3987</v>
      </c>
      <c r="F1821" s="628" t="s">
        <v>3988</v>
      </c>
      <c r="G1821">
        <f>IF(getRGB1($C1821)="FFFFFF",0,1)+IF(getRGB1($D1821)="FFFFFF",0,2)+IF(getRGB1($E1821)="FFFFFF",0,3)+IF(getRGB1($F1821)="FFFFFF",0,4)</f>
        <v>2</v>
      </c>
    </row>
    <row r="1822" spans="1:7" ht="25.5">
      <c r="A1822" t="s">
        <v>3633</v>
      </c>
      <c r="B1822" s="630" t="s">
        <v>3989</v>
      </c>
      <c r="C1822" s="629" t="s">
        <v>76</v>
      </c>
      <c r="D1822" s="628" t="s">
        <v>270</v>
      </c>
      <c r="E1822" s="628" t="s">
        <v>3990</v>
      </c>
      <c r="F1822" s="628" t="s">
        <v>137</v>
      </c>
      <c r="G1822">
        <f>IF(getRGB1($C1822)="FFFFFF",0,1)+IF(getRGB1($D1822)="FFFFFF",0,2)+IF(getRGB1($E1822)="FFFFFF",0,3)+IF(getRGB1($F1822)="FFFFFF",0,4)</f>
        <v>1</v>
      </c>
    </row>
    <row r="1823" spans="1:7" ht="38.25">
      <c r="A1823" t="s">
        <v>3633</v>
      </c>
      <c r="B1823" s="630" t="s">
        <v>3991</v>
      </c>
      <c r="C1823" s="628" t="s">
        <v>557</v>
      </c>
      <c r="D1823" s="629" t="s">
        <v>179</v>
      </c>
      <c r="E1823" s="628" t="s">
        <v>3973</v>
      </c>
      <c r="F1823" s="628" t="s">
        <v>3974</v>
      </c>
      <c r="G1823">
        <f>IF(getRGB1($C1823)="FFFFFF",0,1)+IF(getRGB1($D1823)="FFFFFF",0,2)+IF(getRGB1($E1823)="FFFFFF",0,3)+IF(getRGB1($F1823)="FFFFFF",0,4)</f>
        <v>2</v>
      </c>
    </row>
    <row r="1824" spans="1:7" ht="25.5">
      <c r="A1824" t="s">
        <v>3633</v>
      </c>
      <c r="B1824" s="630" t="s">
        <v>3992</v>
      </c>
      <c r="C1824" s="628" t="s">
        <v>179</v>
      </c>
      <c r="D1824" s="629" t="s">
        <v>2070</v>
      </c>
      <c r="E1824" s="628" t="s">
        <v>1230</v>
      </c>
      <c r="F1824" s="628" t="s">
        <v>137</v>
      </c>
      <c r="G1824">
        <f>IF(getRGB1($C1824)="FFFFFF",0,1)+IF(getRGB1($D1824)="FFFFFF",0,2)+IF(getRGB1($E1824)="FFFFFF",0,3)+IF(getRGB1($F1824)="FFFFFF",0,4)</f>
        <v>2</v>
      </c>
    </row>
    <row r="1825" spans="1:7" ht="25.5">
      <c r="A1825" t="s">
        <v>3633</v>
      </c>
      <c r="B1825" s="630" t="s">
        <v>3993</v>
      </c>
      <c r="C1825" s="628" t="s">
        <v>3994</v>
      </c>
      <c r="D1825" s="628" t="s">
        <v>3995</v>
      </c>
      <c r="E1825" s="629" t="s">
        <v>3996</v>
      </c>
      <c r="F1825" s="628" t="s">
        <v>3997</v>
      </c>
      <c r="G1825">
        <f>IF(getRGB1($C1825)="FFFFFF",0,1)+IF(getRGB1($D1825)="FFFFFF",0,2)+IF(getRGB1($E1825)="FFFFFF",0,3)+IF(getRGB1($F1825)="FFFFFF",0,4)</f>
        <v>3</v>
      </c>
    </row>
    <row r="1826" spans="1:7" ht="63.75">
      <c r="A1826" t="s">
        <v>3633</v>
      </c>
      <c r="B1826" s="630" t="s">
        <v>3998</v>
      </c>
      <c r="C1826" s="629" t="s">
        <v>3999</v>
      </c>
      <c r="D1826" s="628" t="s">
        <v>4000</v>
      </c>
      <c r="E1826" s="628" t="s">
        <v>4001</v>
      </c>
      <c r="F1826" s="628" t="s">
        <v>4002</v>
      </c>
      <c r="G1826">
        <f>IF(getRGB1($C1826)="FFFFFF",0,1)+IF(getRGB1($D1826)="FFFFFF",0,2)+IF(getRGB1($E1826)="FFFFFF",0,3)+IF(getRGB1($F1826)="FFFFFF",0,4)</f>
        <v>1</v>
      </c>
    </row>
    <row r="1827" spans="1:7" ht="25.5">
      <c r="A1827" t="s">
        <v>3633</v>
      </c>
      <c r="B1827" s="620" t="s">
        <v>4003</v>
      </c>
      <c r="C1827" s="622" t="s">
        <v>4004</v>
      </c>
      <c r="D1827" s="622" t="s">
        <v>3961</v>
      </c>
      <c r="E1827" s="621" t="s">
        <v>4005</v>
      </c>
      <c r="F1827" s="622" t="s">
        <v>4006</v>
      </c>
      <c r="G1827">
        <f>IF(getRGB1($C1827)="FFFFFF",0,1)+IF(getRGB1($D1827)="FFFFFF",0,2)+IF(getRGB1($E1827)="FFFFFF",0,3)+IF(getRGB1($F1827)="FFFFFF",0,4)</f>
        <v>3</v>
      </c>
    </row>
    <row r="1828" spans="1:7" ht="25.5">
      <c r="A1828" t="s">
        <v>3633</v>
      </c>
      <c r="B1828" s="630" t="s">
        <v>4007</v>
      </c>
      <c r="C1828" s="628" t="s">
        <v>179</v>
      </c>
      <c r="D1828" s="628" t="s">
        <v>76</v>
      </c>
      <c r="E1828" s="628" t="s">
        <v>557</v>
      </c>
      <c r="F1828" s="629" t="s">
        <v>137</v>
      </c>
      <c r="G1828">
        <f>IF(getRGB1($C1828)="FFFFFF",0,1)+IF(getRGB1($D1828)="FFFFFF",0,2)+IF(getRGB1($E1828)="FFFFFF",0,3)+IF(getRGB1($F1828)="FFFFFF",0,4)</f>
        <v>4</v>
      </c>
    </row>
    <row r="1829" spans="1:7" ht="38.25">
      <c r="A1829" t="s">
        <v>3633</v>
      </c>
      <c r="B1829" s="620" t="s">
        <v>4008</v>
      </c>
      <c r="C1829" s="622" t="s">
        <v>4009</v>
      </c>
      <c r="D1829" s="622" t="s">
        <v>4010</v>
      </c>
      <c r="E1829" s="622" t="s">
        <v>4011</v>
      </c>
      <c r="F1829" s="621" t="s">
        <v>4012</v>
      </c>
      <c r="G1829">
        <f>IF(getRGB1($C1829)="FFFFFF",0,1)+IF(getRGB1($D1829)="FFFFFF",0,2)+IF(getRGB1($E1829)="FFFFFF",0,3)+IF(getRGB1($F1829)="FFFFFF",0,4)</f>
        <v>4</v>
      </c>
    </row>
    <row r="1830" spans="1:7" ht="71.25">
      <c r="A1830" t="s">
        <v>3633</v>
      </c>
      <c r="B1830" s="631" t="s">
        <v>4013</v>
      </c>
      <c r="C1830" s="608" t="s">
        <v>4014</v>
      </c>
      <c r="D1830" s="607" t="s">
        <v>4015</v>
      </c>
      <c r="E1830" s="607" t="s">
        <v>4016</v>
      </c>
      <c r="F1830" s="607" t="s">
        <v>4017</v>
      </c>
      <c r="G1830">
        <f>IF(getRGB1($C1830)="FFFFFF",0,1)+IF(getRGB1($D1830)="FFFFFF",0,2)+IF(getRGB1($E1830)="FFFFFF",0,3)+IF(getRGB1($F1830)="FFFFFF",0,4)</f>
        <v>1</v>
      </c>
    </row>
    <row r="1831" spans="1:7" ht="63.75">
      <c r="A1831" t="s">
        <v>3633</v>
      </c>
      <c r="B1831" s="630" t="s">
        <v>4018</v>
      </c>
      <c r="C1831" s="628" t="s">
        <v>4019</v>
      </c>
      <c r="D1831" s="632" t="s">
        <v>2990</v>
      </c>
      <c r="E1831" s="632" t="s">
        <v>4020</v>
      </c>
      <c r="F1831" s="629" t="s">
        <v>4021</v>
      </c>
      <c r="G1831">
        <f>IF(getRGB1($C1831)="FFFFFF",0,1)+IF(getRGB1($D1831)="FFFFFF",0,2)+IF(getRGB1($E1831)="FFFFFF",0,3)+IF(getRGB1($F1831)="FFFFFF",0,4)</f>
        <v>4</v>
      </c>
    </row>
    <row r="1832" spans="1:7" ht="42.75">
      <c r="A1832" t="s">
        <v>3633</v>
      </c>
      <c r="B1832" s="253" t="s">
        <v>4022</v>
      </c>
      <c r="C1832" s="628" t="s">
        <v>4023</v>
      </c>
      <c r="D1832" s="629" t="s">
        <v>4024</v>
      </c>
      <c r="E1832" s="632" t="s">
        <v>4025</v>
      </c>
      <c r="F1832" s="632" t="s">
        <v>4026</v>
      </c>
      <c r="G1832">
        <f>IF(getRGB1($C1832)="FFFFFF",0,1)+IF(getRGB1($D1832)="FFFFFF",0,2)+IF(getRGB1($E1832)="FFFFFF",0,3)+IF(getRGB1($F1832)="FFFFFF",0,4)</f>
        <v>2</v>
      </c>
    </row>
    <row r="1833" spans="1:7" ht="85.5">
      <c r="A1833" t="s">
        <v>3633</v>
      </c>
      <c r="B1833" s="248" t="s">
        <v>4027</v>
      </c>
      <c r="C1833" s="633">
        <v>42460</v>
      </c>
      <c r="D1833" s="633">
        <v>42735</v>
      </c>
      <c r="E1833" s="608" t="s">
        <v>4028</v>
      </c>
      <c r="F1833" s="607" t="s">
        <v>66</v>
      </c>
      <c r="G1833">
        <f>IF(getRGB1($C1833)="FFFFFF",0,1)+IF(getRGB1($D1833)="FFFFFF",0,2)+IF(getRGB1($E1833)="FFFFFF",0,3)+IF(getRGB1($F1833)="FFFFFF",0,4)</f>
        <v>3</v>
      </c>
    </row>
    <row r="1834" spans="1:7" ht="42.75">
      <c r="A1834" t="s">
        <v>3633</v>
      </c>
      <c r="B1834" s="248" t="s">
        <v>4029</v>
      </c>
      <c r="C1834" s="634" t="s">
        <v>179</v>
      </c>
      <c r="D1834" s="633" t="s">
        <v>76</v>
      </c>
      <c r="E1834" s="607" t="s">
        <v>137</v>
      </c>
      <c r="F1834" s="607" t="s">
        <v>557</v>
      </c>
      <c r="G1834">
        <f>IF(getRGB1($C1834)="FFFFFF",0,1)+IF(getRGB1($D1834)="FFFFFF",0,2)+IF(getRGB1($E1834)="FFFFFF",0,3)+IF(getRGB1($F1834)="FFFFFF",0,4)</f>
        <v>1</v>
      </c>
    </row>
    <row r="1835" spans="1:7" ht="42.75">
      <c r="A1835" t="s">
        <v>3633</v>
      </c>
      <c r="B1835" s="248" t="s">
        <v>4030</v>
      </c>
      <c r="C1835" s="633" t="s">
        <v>179</v>
      </c>
      <c r="D1835" s="633" t="s">
        <v>76</v>
      </c>
      <c r="E1835" s="607" t="s">
        <v>137</v>
      </c>
      <c r="F1835" s="608" t="s">
        <v>557</v>
      </c>
      <c r="G1835">
        <f>IF(getRGB1($C1835)="FFFFFF",0,1)+IF(getRGB1($D1835)="FFFFFF",0,2)+IF(getRGB1($E1835)="FFFFFF",0,3)+IF(getRGB1($F1835)="FFFFFF",0,4)</f>
        <v>4</v>
      </c>
    </row>
    <row r="1836" spans="1:7" ht="51">
      <c r="A1836" t="s">
        <v>3633</v>
      </c>
      <c r="B1836" s="248" t="s">
        <v>4031</v>
      </c>
      <c r="C1836" s="634" t="s">
        <v>4032</v>
      </c>
      <c r="D1836" s="614" t="s">
        <v>3854</v>
      </c>
      <c r="E1836" s="614" t="s">
        <v>4033</v>
      </c>
      <c r="F1836" s="614" t="s">
        <v>61</v>
      </c>
      <c r="G1836">
        <f>IF(getRGB1($C1836)="FFFFFF",0,1)+IF(getRGB1($D1836)="FFFFFF",0,2)+IF(getRGB1($E1836)="FFFFFF",0,3)+IF(getRGB1($F1836)="FFFFFF",0,4)</f>
        <v>1</v>
      </c>
    </row>
    <row r="1837" spans="1:7" ht="42.75">
      <c r="A1837" t="s">
        <v>3633</v>
      </c>
      <c r="B1837" s="635" t="s">
        <v>4034</v>
      </c>
      <c r="C1837" s="636">
        <v>50.1</v>
      </c>
      <c r="D1837" s="622">
        <v>50.05</v>
      </c>
      <c r="E1837" s="621">
        <v>50</v>
      </c>
      <c r="F1837" s="624">
        <v>49.99</v>
      </c>
      <c r="G1837">
        <f>IF(getRGB1($C1837)="FFFFFF",0,1)+IF(getRGB1($D1837)="FFFFFF",0,2)+IF(getRGB1($E1837)="FFFFFF",0,3)+IF(getRGB1($F1837)="FFFFFF",0,4)</f>
        <v>3</v>
      </c>
    </row>
    <row r="1838" spans="1:7" ht="42.75">
      <c r="A1838" t="s">
        <v>3633</v>
      </c>
      <c r="B1838" s="248" t="s">
        <v>4035</v>
      </c>
      <c r="C1838" s="637" t="s">
        <v>4036</v>
      </c>
      <c r="D1838" s="638" t="s">
        <v>4037</v>
      </c>
      <c r="E1838" s="614" t="s">
        <v>4038</v>
      </c>
      <c r="F1838" s="614" t="s">
        <v>3706</v>
      </c>
      <c r="G1838">
        <f>IF(getRGB1($C1838)="FFFFFF",0,1)+IF(getRGB1($D1838)="FFFFFF",0,2)+IF(getRGB1($E1838)="FFFFFF",0,3)+IF(getRGB1($F1838)="FFFFFF",0,4)</f>
        <v>1</v>
      </c>
    </row>
    <row r="1839" spans="1:7" ht="57">
      <c r="A1839" t="s">
        <v>3633</v>
      </c>
      <c r="B1839" s="248" t="s">
        <v>4039</v>
      </c>
      <c r="C1839" s="638" t="s">
        <v>4040</v>
      </c>
      <c r="D1839" s="637" t="s">
        <v>4041</v>
      </c>
      <c r="E1839" s="614" t="s">
        <v>4042</v>
      </c>
      <c r="F1839" s="614" t="s">
        <v>4043</v>
      </c>
      <c r="G1839">
        <f>IF(getRGB1($C1839)="FFFFFF",0,1)+IF(getRGB1($D1839)="FFFFFF",0,2)+IF(getRGB1($E1839)="FFFFFF",0,3)+IF(getRGB1($F1839)="FFFFFF",0,4)</f>
        <v>2</v>
      </c>
    </row>
    <row r="1840" spans="1:7" ht="51">
      <c r="A1840" t="s">
        <v>3633</v>
      </c>
      <c r="B1840" s="248" t="s">
        <v>4044</v>
      </c>
      <c r="C1840" s="638" t="s">
        <v>4045</v>
      </c>
      <c r="D1840" s="637" t="s">
        <v>4046</v>
      </c>
      <c r="E1840" s="614" t="s">
        <v>2753</v>
      </c>
      <c r="F1840" s="614" t="s">
        <v>4043</v>
      </c>
      <c r="G1840">
        <f>IF(getRGB1($C1840)="FFFFFF",0,1)+IF(getRGB1($D1840)="FFFFFF",0,2)+IF(getRGB1($E1840)="FFFFFF",0,3)+IF(getRGB1($F1840)="FFFFFF",0,4)</f>
        <v>2</v>
      </c>
    </row>
    <row r="1841" spans="1:7" ht="38.25">
      <c r="A1841" t="s">
        <v>3633</v>
      </c>
      <c r="B1841" s="258" t="s">
        <v>4047</v>
      </c>
      <c r="C1841" s="638" t="s">
        <v>2473</v>
      </c>
      <c r="D1841" s="637" t="s">
        <v>137</v>
      </c>
      <c r="E1841" s="607" t="s">
        <v>76</v>
      </c>
      <c r="F1841" s="607" t="s">
        <v>557</v>
      </c>
      <c r="G1841">
        <f>IF(getRGB1($C1841)="FFFFFF",0,1)+IF(getRGB1($D1841)="FFFFFF",0,2)+IF(getRGB1($E1841)="FFFFFF",0,3)+IF(getRGB1($F1841)="FFFFFF",0,4)</f>
        <v>2</v>
      </c>
    </row>
    <row r="1842" spans="1:7" ht="25.5">
      <c r="A1842" t="s">
        <v>3633</v>
      </c>
      <c r="B1842" s="258" t="s">
        <v>4048</v>
      </c>
      <c r="C1842" s="259" t="s">
        <v>4049</v>
      </c>
      <c r="D1842" s="638" t="s">
        <v>4050</v>
      </c>
      <c r="E1842" s="608" t="s">
        <v>370</v>
      </c>
      <c r="F1842" s="607" t="s">
        <v>66</v>
      </c>
      <c r="G1842">
        <f>IF(getRGB1($C1842)="FFFFFF",0,1)+IF(getRGB1($D1842)="FFFFFF",0,2)+IF(getRGB1($E1842)="FFFFFF",0,3)+IF(getRGB1($F1842)="FFFFFF",0,4)</f>
        <v>3</v>
      </c>
    </row>
    <row r="1843" spans="1:7" ht="38.25">
      <c r="A1843" t="s">
        <v>3633</v>
      </c>
      <c r="B1843" s="258" t="s">
        <v>4051</v>
      </c>
      <c r="C1843" s="260" t="s">
        <v>4052</v>
      </c>
      <c r="D1843" s="638" t="s">
        <v>4053</v>
      </c>
      <c r="E1843" s="607" t="s">
        <v>4054</v>
      </c>
      <c r="F1843" s="607" t="s">
        <v>66</v>
      </c>
      <c r="G1843">
        <f>IF(getRGB1($C1843)="FFFFFF",0,1)+IF(getRGB1($D1843)="FFFFFF",0,2)+IF(getRGB1($E1843)="FFFFFF",0,3)+IF(getRGB1($F1843)="FFFFFF",0,4)</f>
        <v>1</v>
      </c>
    </row>
    <row r="1844" spans="1:7" ht="51">
      <c r="A1844" t="s">
        <v>3633</v>
      </c>
      <c r="B1844" s="258" t="s">
        <v>4055</v>
      </c>
      <c r="C1844" s="638" t="s">
        <v>4056</v>
      </c>
      <c r="D1844" s="637" t="s">
        <v>4057</v>
      </c>
      <c r="E1844" s="607" t="s">
        <v>4058</v>
      </c>
      <c r="F1844" s="607" t="s">
        <v>4043</v>
      </c>
      <c r="G1844">
        <f>IF(getRGB1($C1844)="FFFFFF",0,1)+IF(getRGB1($D1844)="FFFFFF",0,2)+IF(getRGB1($E1844)="FFFFFF",0,3)+IF(getRGB1($F1844)="FFFFFF",0,4)</f>
        <v>2</v>
      </c>
    </row>
    <row r="1845" spans="1:7" ht="38.25">
      <c r="A1845" t="s">
        <v>3633</v>
      </c>
      <c r="B1845" s="639" t="s">
        <v>4059</v>
      </c>
      <c r="C1845" s="637" t="s">
        <v>4060</v>
      </c>
      <c r="D1845" s="638" t="s">
        <v>4061</v>
      </c>
      <c r="E1845" s="607" t="s">
        <v>4062</v>
      </c>
      <c r="F1845" s="607" t="s">
        <v>4063</v>
      </c>
      <c r="G1845">
        <f>IF(getRGB1($C1845)="FFFFFF",0,1)+IF(getRGB1($D1845)="FFFFFF",0,2)+IF(getRGB1($E1845)="FFFFFF",0,3)+IF(getRGB1($F1845)="FFFFFF",0,4)</f>
        <v>1</v>
      </c>
    </row>
    <row r="1846" spans="1:7" ht="38.25">
      <c r="A1846" t="s">
        <v>3633</v>
      </c>
      <c r="B1846" s="639" t="s">
        <v>4064</v>
      </c>
      <c r="C1846" s="638" t="s">
        <v>4065</v>
      </c>
      <c r="D1846" s="637" t="s">
        <v>4066</v>
      </c>
      <c r="E1846" s="607" t="s">
        <v>2250</v>
      </c>
      <c r="F1846" s="607" t="s">
        <v>66</v>
      </c>
      <c r="G1846">
        <f>IF(getRGB1($C1846)="FFFFFF",0,1)+IF(getRGB1($D1846)="FFFFFF",0,2)+IF(getRGB1($E1846)="FFFFFF",0,3)+IF(getRGB1($F1846)="FFFFFF",0,4)</f>
        <v>2</v>
      </c>
    </row>
    <row r="1847" spans="1:7" ht="38.25">
      <c r="A1847" t="s">
        <v>3633</v>
      </c>
      <c r="B1847" s="639" t="s">
        <v>4067</v>
      </c>
      <c r="C1847" s="607" t="s">
        <v>4068</v>
      </c>
      <c r="D1847" s="608" t="s">
        <v>4069</v>
      </c>
      <c r="E1847" s="607" t="s">
        <v>4070</v>
      </c>
      <c r="F1847" s="607" t="s">
        <v>4071</v>
      </c>
      <c r="G1847">
        <f>IF(getRGB1($C1847)="FFFFFF",0,1)+IF(getRGB1($D1847)="FFFFFF",0,2)+IF(getRGB1($E1847)="FFFFFF",0,3)+IF(getRGB1($F1847)="FFFFFF",0,4)</f>
        <v>2</v>
      </c>
    </row>
    <row r="1848" spans="1:7" ht="25.5">
      <c r="A1848" t="s">
        <v>3633</v>
      </c>
      <c r="B1848" s="639" t="s">
        <v>4072</v>
      </c>
      <c r="C1848" s="607" t="s">
        <v>179</v>
      </c>
      <c r="D1848" s="607" t="s">
        <v>76</v>
      </c>
      <c r="E1848" s="608" t="s">
        <v>4073</v>
      </c>
      <c r="F1848" s="607" t="s">
        <v>557</v>
      </c>
      <c r="G1848">
        <f>IF(getRGB1($C1848)="FFFFFF",0,1)+IF(getRGB1($D1848)="FFFFFF",0,2)+IF(getRGB1($E1848)="FFFFFF",0,3)+IF(getRGB1($F1848)="FFFFFF",0,4)</f>
        <v>3</v>
      </c>
    </row>
    <row r="1849" spans="1:7" ht="51">
      <c r="A1849" t="s">
        <v>3633</v>
      </c>
      <c r="B1849" s="639" t="s">
        <v>4074</v>
      </c>
      <c r="C1849" s="607" t="s">
        <v>4075</v>
      </c>
      <c r="D1849" s="606" t="s">
        <v>4076</v>
      </c>
      <c r="E1849" s="606" t="s">
        <v>4077</v>
      </c>
      <c r="F1849" s="608" t="s">
        <v>1000</v>
      </c>
      <c r="G1849">
        <f>IF(getRGB1($C1849)="FFFFFF",0,1)+IF(getRGB1($D1849)="FFFFFF",0,2)+IF(getRGB1($E1849)="FFFFFF",0,3)+IF(getRGB1($F1849)="FFFFFF",0,4)</f>
        <v>4</v>
      </c>
    </row>
    <row r="1850" spans="1:7" ht="38.25">
      <c r="A1850" t="s">
        <v>3633</v>
      </c>
      <c r="B1850" s="639" t="s">
        <v>4078</v>
      </c>
      <c r="C1850" s="607" t="s">
        <v>4079</v>
      </c>
      <c r="D1850" s="607" t="s">
        <v>4080</v>
      </c>
      <c r="E1850" s="607" t="s">
        <v>4081</v>
      </c>
      <c r="F1850" s="608" t="s">
        <v>4082</v>
      </c>
      <c r="G1850">
        <f>IF(getRGB1($C1850)="FFFFFF",0,1)+IF(getRGB1($D1850)="FFFFFF",0,2)+IF(getRGB1($E1850)="FFFFFF",0,3)+IF(getRGB1($F1850)="FFFFFF",0,4)</f>
        <v>4</v>
      </c>
    </row>
    <row r="1851" spans="1:7" ht="38.25">
      <c r="A1851" t="s">
        <v>3633</v>
      </c>
      <c r="B1851" s="639" t="s">
        <v>4083</v>
      </c>
      <c r="C1851" s="607" t="s">
        <v>4084</v>
      </c>
      <c r="D1851" s="608" t="s">
        <v>4085</v>
      </c>
      <c r="E1851" s="606" t="s">
        <v>4086</v>
      </c>
      <c r="F1851" s="607" t="s">
        <v>4087</v>
      </c>
      <c r="G1851">
        <f>IF(getRGB1($C1851)="FFFFFF",0,1)+IF(getRGB1($D1851)="FFFFFF",0,2)+IF(getRGB1($E1851)="FFFFFF",0,3)+IF(getRGB1($F1851)="FFFFFF",0,4)</f>
        <v>2</v>
      </c>
    </row>
    <row r="1852" spans="1:7" ht="51">
      <c r="A1852" t="s">
        <v>3633</v>
      </c>
      <c r="B1852" s="639" t="s">
        <v>4088</v>
      </c>
      <c r="C1852" s="608" t="s">
        <v>4089</v>
      </c>
      <c r="D1852" s="607" t="s">
        <v>4090</v>
      </c>
      <c r="E1852" s="606" t="s">
        <v>4091</v>
      </c>
      <c r="F1852" s="607" t="s">
        <v>4043</v>
      </c>
      <c r="G1852">
        <f>IF(getRGB1($C1852)="FFFFFF",0,1)+IF(getRGB1($D1852)="FFFFFF",0,2)+IF(getRGB1($E1852)="FFFFFF",0,3)+IF(getRGB1($F1852)="FFFFFF",0,4)</f>
        <v>1</v>
      </c>
    </row>
    <row r="1853" spans="1:7" ht="51">
      <c r="A1853" t="s">
        <v>3633</v>
      </c>
      <c r="B1853" s="639" t="s">
        <v>4092</v>
      </c>
      <c r="C1853" s="607">
        <v>6</v>
      </c>
      <c r="D1853" s="607">
        <v>10</v>
      </c>
      <c r="E1853" s="607">
        <v>12</v>
      </c>
      <c r="F1853" s="608">
        <v>5</v>
      </c>
      <c r="G1853">
        <f>IF(getRGB1($C1853)="FFFFFF",0,1)+IF(getRGB1($D1853)="FFFFFF",0,2)+IF(getRGB1($E1853)="FFFFFF",0,3)+IF(getRGB1($F1853)="FFFFFF",0,4)</f>
        <v>4</v>
      </c>
    </row>
    <row r="1854" spans="1:7" ht="51">
      <c r="A1854" t="s">
        <v>3633</v>
      </c>
      <c r="B1854" s="639" t="s">
        <v>4093</v>
      </c>
      <c r="C1854" s="607" t="s">
        <v>4094</v>
      </c>
      <c r="D1854" s="608" t="s">
        <v>4095</v>
      </c>
      <c r="E1854" s="607" t="s">
        <v>4096</v>
      </c>
      <c r="F1854" s="607" t="s">
        <v>4097</v>
      </c>
      <c r="G1854">
        <f>IF(getRGB1($C1854)="FFFFFF",0,1)+IF(getRGB1($D1854)="FFFFFF",0,2)+IF(getRGB1($E1854)="FFFFFF",0,3)+IF(getRGB1($F1854)="FFFFFF",0,4)</f>
        <v>2</v>
      </c>
    </row>
    <row r="1855" spans="1:7" ht="25.5">
      <c r="A1855" t="s">
        <v>3633</v>
      </c>
      <c r="B1855" s="639" t="s">
        <v>4098</v>
      </c>
      <c r="C1855" s="608" t="s">
        <v>4099</v>
      </c>
      <c r="D1855" s="607" t="s">
        <v>4100</v>
      </c>
      <c r="E1855" s="607" t="s">
        <v>4101</v>
      </c>
      <c r="F1855" s="607" t="s">
        <v>4102</v>
      </c>
      <c r="G1855">
        <f>IF(getRGB1($C1855)="FFFFFF",0,1)+IF(getRGB1($D1855)="FFFFFF",0,2)+IF(getRGB1($E1855)="FFFFFF",0,3)+IF(getRGB1($F1855)="FFFFFF",0,4)</f>
        <v>1</v>
      </c>
    </row>
    <row r="1856" spans="1:7" ht="38.25">
      <c r="A1856" t="s">
        <v>3633</v>
      </c>
      <c r="B1856" s="639" t="s">
        <v>4103</v>
      </c>
      <c r="C1856" s="607" t="s">
        <v>4104</v>
      </c>
      <c r="D1856" s="608" t="s">
        <v>4105</v>
      </c>
      <c r="E1856" s="607" t="s">
        <v>4106</v>
      </c>
      <c r="F1856" s="607" t="s">
        <v>4107</v>
      </c>
      <c r="G1856">
        <f>IF(getRGB1($C1856)="FFFFFF",0,1)+IF(getRGB1($D1856)="FFFFFF",0,2)+IF(getRGB1($E1856)="FFFFFF",0,3)+IF(getRGB1($F1856)="FFFFFF",0,4)</f>
        <v>2</v>
      </c>
    </row>
    <row r="1857" spans="1:7" ht="38.25">
      <c r="A1857" t="s">
        <v>3633</v>
      </c>
      <c r="B1857" s="639" t="s">
        <v>4108</v>
      </c>
      <c r="C1857" s="607" t="s">
        <v>4109</v>
      </c>
      <c r="D1857" s="607" t="s">
        <v>4110</v>
      </c>
      <c r="E1857" s="608" t="s">
        <v>4111</v>
      </c>
      <c r="F1857" s="607" t="s">
        <v>4043</v>
      </c>
      <c r="G1857">
        <f>IF(getRGB1($C1857)="FFFFFF",0,1)+IF(getRGB1($D1857)="FFFFFF",0,2)+IF(getRGB1($E1857)="FFFFFF",0,3)+IF(getRGB1($F1857)="FFFFFF",0,4)</f>
        <v>3</v>
      </c>
    </row>
    <row r="1858" spans="1:7">
      <c r="A1858" t="s">
        <v>3633</v>
      </c>
      <c r="B1858" s="640" t="s">
        <v>4112</v>
      </c>
      <c r="C1858" s="641">
        <v>40269</v>
      </c>
      <c r="D1858" s="641">
        <v>40271</v>
      </c>
      <c r="E1858" s="642">
        <v>40301</v>
      </c>
      <c r="F1858" s="643">
        <v>40330</v>
      </c>
      <c r="G1858">
        <f>IF(getRGB1($C1858)="FFFFFF",0,1)+IF(getRGB1($D1858)="FFFFFF",0,2)+IF(getRGB1($E1858)="FFFFFF",0,3)+IF(getRGB1($F1858)="FFFFFF",0,4)</f>
        <v>3</v>
      </c>
    </row>
    <row r="1859" spans="1:7" ht="38.25">
      <c r="A1859" t="s">
        <v>3633</v>
      </c>
      <c r="B1859" s="640" t="s">
        <v>3634</v>
      </c>
      <c r="C1859" s="606" t="s">
        <v>3635</v>
      </c>
      <c r="D1859" s="608" t="s">
        <v>3636</v>
      </c>
      <c r="E1859" s="607" t="s">
        <v>3637</v>
      </c>
      <c r="F1859" s="606" t="s">
        <v>4113</v>
      </c>
      <c r="G1859">
        <f>IF(getRGB1($C1859)="FFFFFF",0,1)+IF(getRGB1($D1859)="FFFFFF",0,2)+IF(getRGB1($E1859)="FFFFFF",0,3)+IF(getRGB1($F1859)="FFFFFF",0,4)</f>
        <v>2</v>
      </c>
    </row>
    <row r="1860" spans="1:7" ht="25.5">
      <c r="A1860" t="s">
        <v>3633</v>
      </c>
      <c r="B1860" s="586" t="s">
        <v>4114</v>
      </c>
      <c r="C1860" s="607" t="s">
        <v>3679</v>
      </c>
      <c r="D1860" s="608" t="s">
        <v>3680</v>
      </c>
      <c r="E1860" s="607" t="s">
        <v>3681</v>
      </c>
      <c r="F1860" s="607" t="s">
        <v>3682</v>
      </c>
      <c r="G1860">
        <f>IF(getRGB1($C1860)="FFFFFF",0,1)+IF(getRGB1($D1860)="FFFFFF",0,2)+IF(getRGB1($E1860)="FFFFFF",0,3)+IF(getRGB1($F1860)="FFFFFF",0,4)</f>
        <v>2</v>
      </c>
    </row>
    <row r="1861" spans="1:7" ht="25.5">
      <c r="A1861" t="s">
        <v>3633</v>
      </c>
      <c r="B1861" s="586" t="s">
        <v>4115</v>
      </c>
      <c r="C1861" s="644" t="s">
        <v>3684</v>
      </c>
      <c r="D1861" s="645" t="s">
        <v>3685</v>
      </c>
      <c r="E1861" s="645" t="s">
        <v>4116</v>
      </c>
      <c r="F1861" s="645" t="s">
        <v>4113</v>
      </c>
      <c r="G1861">
        <f>IF(getRGB1($C1861)="FFFFFF",0,1)+IF(getRGB1($D1861)="FFFFFF",0,2)+IF(getRGB1($E1861)="FFFFFF",0,3)+IF(getRGB1($F1861)="FFFFFF",0,4)</f>
        <v>1</v>
      </c>
    </row>
    <row r="1862" spans="1:7" ht="25.5">
      <c r="A1862" t="s">
        <v>3633</v>
      </c>
      <c r="B1862" s="640" t="s">
        <v>4117</v>
      </c>
      <c r="C1862" s="645" t="s">
        <v>4118</v>
      </c>
      <c r="D1862" s="646" t="s">
        <v>4119</v>
      </c>
      <c r="E1862" s="645" t="s">
        <v>4120</v>
      </c>
      <c r="F1862" s="730" t="s">
        <v>4121</v>
      </c>
      <c r="G1862">
        <f>IF(getRGB1($C1862)="FFFFFF",0,1)+IF(getRGB1($D1862)="FFFFFF",0,2)+IF(getRGB1($E1862)="FFFFFF",0,3)+IF(getRGB1($F1862)="FFFFFF",0,4)</f>
        <v>2</v>
      </c>
    </row>
    <row r="1863" spans="1:7">
      <c r="A1863" t="s">
        <v>3633</v>
      </c>
      <c r="B1863" s="640" t="s">
        <v>3688</v>
      </c>
      <c r="C1863" s="645" t="s">
        <v>3689</v>
      </c>
      <c r="D1863" s="645" t="s">
        <v>4122</v>
      </c>
      <c r="E1863" s="645" t="s">
        <v>3691</v>
      </c>
      <c r="F1863" s="644" t="s">
        <v>3692</v>
      </c>
      <c r="G1863">
        <f>IF(getRGB1($C1863)="FFFFFF",0,1)+IF(getRGB1($D1863)="FFFFFF",0,2)+IF(getRGB1($E1863)="FFFFFF",0,3)+IF(getRGB1($F1863)="FFFFFF",0,4)</f>
        <v>4</v>
      </c>
    </row>
    <row r="1864" spans="1:7">
      <c r="A1864" t="s">
        <v>3633</v>
      </c>
      <c r="B1864" s="586" t="s">
        <v>4123</v>
      </c>
      <c r="C1864" s="645" t="s">
        <v>3694</v>
      </c>
      <c r="D1864" s="645" t="s">
        <v>3695</v>
      </c>
      <c r="E1864" s="644" t="s">
        <v>4124</v>
      </c>
      <c r="F1864" s="645" t="s">
        <v>3697</v>
      </c>
      <c r="G1864">
        <f>IF(getRGB1($C1864)="FFFFFF",0,1)+IF(getRGB1($D1864)="FFFFFF",0,2)+IF(getRGB1($E1864)="FFFFFF",0,3)+IF(getRGB1($F1864)="FFFFFF",0,4)</f>
        <v>3</v>
      </c>
    </row>
    <row r="1865" spans="1:7" ht="25.5">
      <c r="A1865" t="s">
        <v>3633</v>
      </c>
      <c r="B1865" s="586" t="s">
        <v>4125</v>
      </c>
      <c r="C1865" s="607" t="s">
        <v>4126</v>
      </c>
      <c r="D1865" s="608" t="s">
        <v>4127</v>
      </c>
      <c r="E1865" s="607" t="s">
        <v>4128</v>
      </c>
      <c r="F1865" s="645" t="s">
        <v>468</v>
      </c>
      <c r="G1865">
        <f>IF(getRGB1($C1865)="FFFFFF",0,1)+IF(getRGB1($D1865)="FFFFFF",0,2)+IF(getRGB1($E1865)="FFFFFF",0,3)+IF(getRGB1($F1865)="FFFFFF",0,4)</f>
        <v>2</v>
      </c>
    </row>
    <row r="1866" spans="1:7" ht="25.5">
      <c r="A1866" t="s">
        <v>3633</v>
      </c>
      <c r="B1866" s="620" t="s">
        <v>4129</v>
      </c>
      <c r="C1866" s="622" t="s">
        <v>4130</v>
      </c>
      <c r="D1866" s="622" t="s">
        <v>4131</v>
      </c>
      <c r="E1866" s="621" t="s">
        <v>4132</v>
      </c>
      <c r="F1866" s="647" t="s">
        <v>4133</v>
      </c>
      <c r="G1866">
        <f>IF(getRGB1($C1866)="FFFFFF",0,1)+IF(getRGB1($D1866)="FFFFFF",0,2)+IF(getRGB1($E1866)="FFFFFF",0,3)+IF(getRGB1($F1866)="FFFFFF",0,4)</f>
        <v>3</v>
      </c>
    </row>
    <row r="1867" spans="1:7" ht="51">
      <c r="A1867" t="s">
        <v>3633</v>
      </c>
      <c r="B1867" s="620" t="s">
        <v>4134</v>
      </c>
      <c r="C1867" s="621" t="s">
        <v>4135</v>
      </c>
      <c r="D1867" s="622" t="s">
        <v>4136</v>
      </c>
      <c r="E1867" s="624" t="s">
        <v>4137</v>
      </c>
      <c r="F1867" s="648" t="s">
        <v>4138</v>
      </c>
      <c r="G1867">
        <f>IF(getRGB1($C1867)="FFFFFF",0,1)+IF(getRGB1($D1867)="FFFFFF",0,2)+IF(getRGB1($E1867)="FFFFFF",0,3)+IF(getRGB1($F1867)="FFFFFF",0,4)</f>
        <v>1</v>
      </c>
    </row>
    <row r="1868" spans="1:7" ht="63.75">
      <c r="A1868" t="s">
        <v>3633</v>
      </c>
      <c r="B1868" s="586" t="s">
        <v>4139</v>
      </c>
      <c r="C1868" s="607" t="s">
        <v>4140</v>
      </c>
      <c r="D1868" s="608" t="s">
        <v>4141</v>
      </c>
      <c r="E1868" s="607" t="s">
        <v>4142</v>
      </c>
      <c r="F1868" s="645" t="s">
        <v>4143</v>
      </c>
      <c r="G1868">
        <f>IF(getRGB1($C1868)="FFFFFF",0,1)+IF(getRGB1($D1868)="FFFFFF",0,2)+IF(getRGB1($E1868)="FFFFFF",0,3)+IF(getRGB1($F1868)="FFFFFF",0,4)</f>
        <v>2</v>
      </c>
    </row>
    <row r="1869" spans="1:7" ht="25.5">
      <c r="A1869" t="s">
        <v>3633</v>
      </c>
      <c r="B1869" s="586" t="s">
        <v>4144</v>
      </c>
      <c r="C1869" s="607" t="s">
        <v>4140</v>
      </c>
      <c r="D1869" s="608" t="s">
        <v>4141</v>
      </c>
      <c r="E1869" s="607" t="s">
        <v>4142</v>
      </c>
      <c r="F1869" s="645" t="s">
        <v>4143</v>
      </c>
      <c r="G1869">
        <f>IF(getRGB1($C1869)="FFFFFF",0,1)+IF(getRGB1($D1869)="FFFFFF",0,2)+IF(getRGB1($E1869)="FFFFFF",0,3)+IF(getRGB1($F1869)="FFFFFF",0,4)</f>
        <v>2</v>
      </c>
    </row>
    <row r="1870" spans="1:7" ht="38.25">
      <c r="A1870" t="s">
        <v>3633</v>
      </c>
      <c r="B1870" s="586" t="s">
        <v>4145</v>
      </c>
      <c r="C1870" s="607" t="s">
        <v>4146</v>
      </c>
      <c r="D1870" s="607" t="s">
        <v>4147</v>
      </c>
      <c r="E1870" s="608" t="s">
        <v>4148</v>
      </c>
      <c r="F1870" s="645" t="s">
        <v>4149</v>
      </c>
      <c r="G1870">
        <f>IF(getRGB1($C1870)="FFFFFF",0,1)+IF(getRGB1($D1870)="FFFFFF",0,2)+IF(getRGB1($E1870)="FFFFFF",0,3)+IF(getRGB1($F1870)="FFFFFF",0,4)</f>
        <v>3</v>
      </c>
    </row>
    <row r="1871" spans="1:7" ht="51">
      <c r="A1871" t="s">
        <v>3633</v>
      </c>
      <c r="B1871" s="586" t="s">
        <v>4150</v>
      </c>
      <c r="C1871" s="607" t="s">
        <v>76</v>
      </c>
      <c r="D1871" s="607" t="s">
        <v>137</v>
      </c>
      <c r="E1871" s="608" t="s">
        <v>179</v>
      </c>
      <c r="F1871" s="645" t="s">
        <v>3708</v>
      </c>
      <c r="G1871">
        <f>IF(getRGB1($C1871)="FFFFFF",0,1)+IF(getRGB1($D1871)="FFFFFF",0,2)+IF(getRGB1($E1871)="FFFFFF",0,3)+IF(getRGB1($F1871)="FFFFFF",0,4)</f>
        <v>3</v>
      </c>
    </row>
    <row r="1872" spans="1:7" ht="51">
      <c r="A1872" t="s">
        <v>3633</v>
      </c>
      <c r="B1872" s="586" t="s">
        <v>4151</v>
      </c>
      <c r="C1872" s="607" t="s">
        <v>4152</v>
      </c>
      <c r="D1872" s="608" t="s">
        <v>4153</v>
      </c>
      <c r="E1872" s="607" t="s">
        <v>4154</v>
      </c>
      <c r="F1872" s="645" t="s">
        <v>4155</v>
      </c>
      <c r="G1872">
        <f>IF(getRGB1($C1872)="FFFFFF",0,1)+IF(getRGB1($D1872)="FFFFFF",0,2)+IF(getRGB1($E1872)="FFFFFF",0,3)+IF(getRGB1($F1872)="FFFFFF",0,4)</f>
        <v>2</v>
      </c>
    </row>
    <row r="1873" spans="1:7" ht="38.25">
      <c r="A1873" t="s">
        <v>3633</v>
      </c>
      <c r="B1873" s="586" t="s">
        <v>4156</v>
      </c>
      <c r="C1873" s="607" t="s">
        <v>3710</v>
      </c>
      <c r="D1873" s="608" t="s">
        <v>8</v>
      </c>
      <c r="E1873" s="607" t="s">
        <v>1599</v>
      </c>
      <c r="F1873" s="645" t="s">
        <v>1289</v>
      </c>
      <c r="G1873">
        <f>IF(getRGB1($C1873)="FFFFFF",0,1)+IF(getRGB1($D1873)="FFFFFF",0,2)+IF(getRGB1($E1873)="FFFFFF",0,3)+IF(getRGB1($F1873)="FFFFFF",0,4)</f>
        <v>2</v>
      </c>
    </row>
    <row r="1874" spans="1:7" ht="63.75">
      <c r="A1874" t="s">
        <v>3633</v>
      </c>
      <c r="B1874" s="586" t="s">
        <v>4157</v>
      </c>
      <c r="C1874" s="607" t="s">
        <v>3712</v>
      </c>
      <c r="D1874" s="608" t="s">
        <v>3713</v>
      </c>
      <c r="E1874" s="607" t="s">
        <v>3714</v>
      </c>
      <c r="F1874" s="607" t="s">
        <v>3715</v>
      </c>
      <c r="G1874">
        <f>IF(getRGB1($C1874)="FFFFFF",0,1)+IF(getRGB1($D1874)="FFFFFF",0,2)+IF(getRGB1($E1874)="FFFFFF",0,3)+IF(getRGB1($F1874)="FFFFFF",0,4)</f>
        <v>2</v>
      </c>
    </row>
    <row r="1875" spans="1:7" ht="38.25">
      <c r="A1875" t="s">
        <v>3633</v>
      </c>
      <c r="B1875" s="586" t="s">
        <v>4158</v>
      </c>
      <c r="C1875" s="608" t="s">
        <v>4159</v>
      </c>
      <c r="D1875" s="607" t="s">
        <v>4160</v>
      </c>
      <c r="E1875" s="607" t="s">
        <v>4161</v>
      </c>
      <c r="F1875" s="645" t="s">
        <v>4162</v>
      </c>
      <c r="G1875">
        <f>IF(getRGB1($C1875)="FFFFFF",0,1)+IF(getRGB1($D1875)="FFFFFF",0,2)+IF(getRGB1($E1875)="FFFFFF",0,3)+IF(getRGB1($F1875)="FFFFFF",0,4)</f>
        <v>1</v>
      </c>
    </row>
    <row r="1876" spans="1:7" ht="51">
      <c r="A1876" t="s">
        <v>3633</v>
      </c>
      <c r="B1876" s="586" t="s">
        <v>4163</v>
      </c>
      <c r="C1876" s="607" t="s">
        <v>4164</v>
      </c>
      <c r="D1876" s="607" t="s">
        <v>4165</v>
      </c>
      <c r="E1876" s="614" t="s">
        <v>4166</v>
      </c>
      <c r="F1876" s="644" t="s">
        <v>4167</v>
      </c>
      <c r="G1876">
        <f>IF(getRGB1($C1876)="FFFFFF",0,1)+IF(getRGB1($D1876)="FFFFFF",0,2)+IF(getRGB1($E1876)="FFFFFF",0,3)+IF(getRGB1($F1876)="FFFFFF",0,4)</f>
        <v>4</v>
      </c>
    </row>
    <row r="1877" spans="1:7" ht="38.25">
      <c r="A1877" t="s">
        <v>3633</v>
      </c>
      <c r="B1877" s="586" t="s">
        <v>4168</v>
      </c>
      <c r="C1877" s="608" t="s">
        <v>4169</v>
      </c>
      <c r="D1877" s="607" t="s">
        <v>4170</v>
      </c>
      <c r="E1877" s="607" t="s">
        <v>4171</v>
      </c>
      <c r="F1877" s="645" t="s">
        <v>6729</v>
      </c>
      <c r="G1877">
        <f>IF(getRGB1($C1877)="FFFFFF",0,1)+IF(getRGB1($D1877)="FFFFFF",0,2)+IF(getRGB1($E1877)="FFFFFF",0,3)+IF(getRGB1($F1877)="FFFFFF",0,4)</f>
        <v>1</v>
      </c>
    </row>
    <row r="1878" spans="1:7" ht="76.5">
      <c r="A1878" t="s">
        <v>3633</v>
      </c>
      <c r="B1878" s="614" t="s">
        <v>4173</v>
      </c>
      <c r="C1878" s="607" t="s">
        <v>4174</v>
      </c>
      <c r="D1878" s="607" t="s">
        <v>4175</v>
      </c>
      <c r="E1878" s="607" t="s">
        <v>4176</v>
      </c>
      <c r="F1878" s="608" t="s">
        <v>4177</v>
      </c>
      <c r="G1878">
        <f>IF(getRGB1($C1878)="FFFFFF",0,1)+IF(getRGB1($D1878)="FFFFFF",0,2)+IF(getRGB1($E1878)="FFFFFF",0,3)+IF(getRGB1($F1878)="FFFFFF",0,4)</f>
        <v>4</v>
      </c>
    </row>
    <row r="1879" spans="1:7" ht="76.5">
      <c r="A1879" t="s">
        <v>3633</v>
      </c>
      <c r="B1879" s="586" t="s">
        <v>4178</v>
      </c>
      <c r="C1879" s="607" t="s">
        <v>4179</v>
      </c>
      <c r="D1879" s="608" t="s">
        <v>4180</v>
      </c>
      <c r="E1879" s="607" t="s">
        <v>4181</v>
      </c>
      <c r="F1879" s="645" t="s">
        <v>4182</v>
      </c>
      <c r="G1879">
        <f>IF(getRGB1($C1879)="FFFFFF",0,1)+IF(getRGB1($D1879)="FFFFFF",0,2)+IF(getRGB1($E1879)="FFFFFF",0,3)+IF(getRGB1($F1879)="FFFFFF",0,4)</f>
        <v>2</v>
      </c>
    </row>
    <row r="1880" spans="1:7" ht="25.5">
      <c r="A1880" t="s">
        <v>3633</v>
      </c>
      <c r="B1880" s="586" t="s">
        <v>6730</v>
      </c>
      <c r="C1880" s="607" t="s">
        <v>6731</v>
      </c>
      <c r="D1880" s="608" t="s">
        <v>8485</v>
      </c>
      <c r="E1880" s="607" t="s">
        <v>6733</v>
      </c>
      <c r="F1880" s="607" t="s">
        <v>6734</v>
      </c>
      <c r="G1880">
        <f>IF(getRGB1($C1880)="FFFFFF",0,1)+IF(getRGB1($D1880)="FFFFFF",0,2)+IF(getRGB1($E1880)="FFFFFF",0,3)+IF(getRGB1($F1880)="FFFFFF",0,4)</f>
        <v>2</v>
      </c>
    </row>
    <row r="1881" spans="1:7" ht="25.5">
      <c r="A1881" t="s">
        <v>3633</v>
      </c>
      <c r="B1881" s="586" t="s">
        <v>6735</v>
      </c>
      <c r="C1881" s="607" t="s">
        <v>6736</v>
      </c>
      <c r="D1881" s="607" t="s">
        <v>6737</v>
      </c>
      <c r="E1881" s="608" t="s">
        <v>6738</v>
      </c>
      <c r="F1881" s="645" t="s">
        <v>6739</v>
      </c>
      <c r="G1881">
        <f>IF(getRGB1($C1881)="FFFFFF",0,1)+IF(getRGB1($D1881)="FFFFFF",0,2)+IF(getRGB1($E1881)="FFFFFF",0,3)+IF(getRGB1($F1881)="FFFFFF",0,4)</f>
        <v>3</v>
      </c>
    </row>
    <row r="1882" spans="1:7" ht="25.5">
      <c r="A1882" t="s">
        <v>3633</v>
      </c>
      <c r="B1882" s="586" t="s">
        <v>6740</v>
      </c>
      <c r="C1882" s="607" t="s">
        <v>6741</v>
      </c>
      <c r="D1882" s="607" t="s">
        <v>6742</v>
      </c>
      <c r="E1882" s="608" t="s">
        <v>8486</v>
      </c>
      <c r="F1882" s="645" t="s">
        <v>6744</v>
      </c>
      <c r="G1882">
        <f>IF(getRGB1($C1882)="FFFFFF",0,1)+IF(getRGB1($D1882)="FFFFFF",0,2)+IF(getRGB1($E1882)="FFFFFF",0,3)+IF(getRGB1($F1882)="FFFFFF",0,4)</f>
        <v>3</v>
      </c>
    </row>
    <row r="1883" spans="1:7" ht="25.5">
      <c r="A1883" t="s">
        <v>3633</v>
      </c>
      <c r="B1883" s="586" t="s">
        <v>6745</v>
      </c>
      <c r="C1883" s="607" t="s">
        <v>6746</v>
      </c>
      <c r="D1883" s="607" t="s">
        <v>6747</v>
      </c>
      <c r="E1883" s="608" t="s">
        <v>6748</v>
      </c>
      <c r="F1883" s="645" t="s">
        <v>6749</v>
      </c>
      <c r="G1883">
        <f>IF(getRGB1($C1883)="FFFFFF",0,1)+IF(getRGB1($D1883)="FFFFFF",0,2)+IF(getRGB1($E1883)="FFFFFF",0,3)+IF(getRGB1($F1883)="FFFFFF",0,4)</f>
        <v>3</v>
      </c>
    </row>
    <row r="1884" spans="1:7" ht="25.5">
      <c r="A1884" t="s">
        <v>3633</v>
      </c>
      <c r="B1884" s="586" t="s">
        <v>6750</v>
      </c>
      <c r="C1884" s="607" t="s">
        <v>6751</v>
      </c>
      <c r="D1884" s="607" t="s">
        <v>6752</v>
      </c>
      <c r="E1884" s="608" t="s">
        <v>8487</v>
      </c>
      <c r="F1884" s="645" t="s">
        <v>6754</v>
      </c>
      <c r="G1884">
        <f>IF(getRGB1($C1884)="FFFFFF",0,1)+IF(getRGB1($D1884)="FFFFFF",0,2)+IF(getRGB1($E1884)="FFFFFF",0,3)+IF(getRGB1($F1884)="FFFFFF",0,4)</f>
        <v>3</v>
      </c>
    </row>
    <row r="1885" spans="1:7" ht="25.5">
      <c r="A1885" t="s">
        <v>3633</v>
      </c>
      <c r="B1885" s="586" t="s">
        <v>6755</v>
      </c>
      <c r="C1885" s="607" t="s">
        <v>6756</v>
      </c>
      <c r="D1885" s="607" t="s">
        <v>8488</v>
      </c>
      <c r="E1885" s="607" t="s">
        <v>8489</v>
      </c>
      <c r="F1885" s="644" t="s">
        <v>6759</v>
      </c>
      <c r="G1885">
        <f>IF(getRGB1($C1885)="FFFFFF",0,1)+IF(getRGB1($D1885)="FFFFFF",0,2)+IF(getRGB1($E1885)="FFFFFF",0,3)+IF(getRGB1($F1885)="FFFFFF",0,4)</f>
        <v>4</v>
      </c>
    </row>
    <row r="1886" spans="1:7" ht="38.25">
      <c r="A1886" t="s">
        <v>3633</v>
      </c>
      <c r="B1886" s="586" t="s">
        <v>6760</v>
      </c>
      <c r="C1886" s="607" t="s">
        <v>6761</v>
      </c>
      <c r="D1886" s="608" t="s">
        <v>6762</v>
      </c>
      <c r="E1886" s="607" t="s">
        <v>6763</v>
      </c>
      <c r="F1886" s="645" t="s">
        <v>6764</v>
      </c>
      <c r="G1886">
        <f>IF(getRGB1($C1886)="FFFFFF",0,1)+IF(getRGB1($D1886)="FFFFFF",0,2)+IF(getRGB1($E1886)="FFFFFF",0,3)+IF(getRGB1($F1886)="FFFFFF",0,4)</f>
        <v>2</v>
      </c>
    </row>
    <row r="1887" spans="1:7" ht="38.25">
      <c r="A1887" t="s">
        <v>3633</v>
      </c>
      <c r="B1887" s="586" t="s">
        <v>6765</v>
      </c>
      <c r="C1887" s="607" t="s">
        <v>6766</v>
      </c>
      <c r="D1887" s="607" t="s">
        <v>6767</v>
      </c>
      <c r="E1887" s="608" t="s">
        <v>6768</v>
      </c>
      <c r="F1887" s="645" t="s">
        <v>6764</v>
      </c>
      <c r="G1887">
        <f>IF(getRGB1($C1887)="FFFFFF",0,1)+IF(getRGB1($D1887)="FFFFFF",0,2)+IF(getRGB1($E1887)="FFFFFF",0,3)+IF(getRGB1($F1887)="FFFFFF",0,4)</f>
        <v>3</v>
      </c>
    </row>
    <row r="1888" spans="1:7" ht="38.25">
      <c r="A1888" t="s">
        <v>3633</v>
      </c>
      <c r="B1888" s="586" t="s">
        <v>6769</v>
      </c>
      <c r="C1888" s="608" t="s">
        <v>8490</v>
      </c>
      <c r="D1888" s="607" t="s">
        <v>6771</v>
      </c>
      <c r="E1888" s="607" t="s">
        <v>6772</v>
      </c>
      <c r="F1888" s="645" t="s">
        <v>6764</v>
      </c>
      <c r="G1888">
        <f>IF(getRGB1($C1888)="FFFFFF",0,1)+IF(getRGB1($D1888)="FFFFFF",0,2)+IF(getRGB1($E1888)="FFFFFF",0,3)+IF(getRGB1($F1888)="FFFFFF",0,4)</f>
        <v>1</v>
      </c>
    </row>
    <row r="1889" spans="1:7" ht="38.25">
      <c r="A1889" t="s">
        <v>3633</v>
      </c>
      <c r="B1889" s="586" t="s">
        <v>4183</v>
      </c>
      <c r="C1889" s="608" t="s">
        <v>4184</v>
      </c>
      <c r="D1889" s="607" t="s">
        <v>4185</v>
      </c>
      <c r="E1889" s="607" t="s">
        <v>4186</v>
      </c>
      <c r="F1889" s="645" t="s">
        <v>4187</v>
      </c>
      <c r="G1889">
        <f>IF(getRGB1($C1889)="FFFFFF",0,1)+IF(getRGB1($D1889)="FFFFFF",0,2)+IF(getRGB1($E1889)="FFFFFF",0,3)+IF(getRGB1($F1889)="FFFFFF",0,4)</f>
        <v>1</v>
      </c>
    </row>
    <row r="1890" spans="1:7" ht="51">
      <c r="A1890" t="s">
        <v>3633</v>
      </c>
      <c r="B1890" s="586" t="s">
        <v>6774</v>
      </c>
      <c r="C1890" s="607" t="s">
        <v>6775</v>
      </c>
      <c r="D1890" s="608" t="s">
        <v>6776</v>
      </c>
      <c r="E1890" s="607" t="s">
        <v>6777</v>
      </c>
      <c r="F1890" s="645" t="s">
        <v>6764</v>
      </c>
      <c r="G1890">
        <f>IF(getRGB1($C1890)="FFFFFF",0,1)+IF(getRGB1($D1890)="FFFFFF",0,2)+IF(getRGB1($E1890)="FFFFFF",0,3)+IF(getRGB1($F1890)="FFFFFF",0,4)</f>
        <v>2</v>
      </c>
    </row>
    <row r="1891" spans="1:7" ht="38.25">
      <c r="A1891" t="s">
        <v>3633</v>
      </c>
      <c r="B1891" s="586" t="s">
        <v>6778</v>
      </c>
      <c r="C1891" s="607" t="s">
        <v>8491</v>
      </c>
      <c r="D1891" s="614" t="s">
        <v>8492</v>
      </c>
      <c r="E1891" s="608" t="s">
        <v>8493</v>
      </c>
      <c r="F1891" s="607" t="s">
        <v>6782</v>
      </c>
      <c r="G1891">
        <f>IF(getRGB1($C1891)="FFFFFF",0,1)+IF(getRGB1($D1891)="FFFFFF",0,2)+IF(getRGB1($E1891)="FFFFFF",0,3)+IF(getRGB1($F1891)="FFFFFF",0,4)</f>
        <v>3</v>
      </c>
    </row>
    <row r="1892" spans="1:7" ht="25.5">
      <c r="A1892" t="s">
        <v>3633</v>
      </c>
      <c r="B1892" s="586" t="s">
        <v>6783</v>
      </c>
      <c r="C1892" s="614" t="s">
        <v>6784</v>
      </c>
      <c r="D1892" s="614" t="s">
        <v>6785</v>
      </c>
      <c r="E1892" s="608" t="s">
        <v>8494</v>
      </c>
      <c r="F1892" s="649" t="s">
        <v>6787</v>
      </c>
      <c r="G1892">
        <f>IF(getRGB1($C1892)="FFFFFF",0,1)+IF(getRGB1($D1892)="FFFFFF",0,2)+IF(getRGB1($E1892)="FFFFFF",0,3)+IF(getRGB1($F1892)="FFFFFF",0,4)</f>
        <v>3</v>
      </c>
    </row>
    <row r="1893" spans="1:7" ht="45">
      <c r="A1893" t="s">
        <v>3633</v>
      </c>
      <c r="B1893" s="609" t="s">
        <v>4188</v>
      </c>
      <c r="C1893" s="610" t="s">
        <v>4189</v>
      </c>
      <c r="D1893" s="610" t="s">
        <v>4190</v>
      </c>
      <c r="E1893" s="608" t="s">
        <v>4191</v>
      </c>
      <c r="F1893" s="607" t="s">
        <v>3708</v>
      </c>
      <c r="G1893">
        <f>IF(getRGB1($C1893)="FFFFFF",0,1)+IF(getRGB1($D1893)="FFFFFF",0,2)+IF(getRGB1($E1893)="FFFFFF",0,3)+IF(getRGB1($F1893)="FFFFFF",0,4)</f>
        <v>3</v>
      </c>
    </row>
    <row r="1894" spans="1:7" ht="60">
      <c r="A1894" t="s">
        <v>3633</v>
      </c>
      <c r="B1894" s="609" t="s">
        <v>4192</v>
      </c>
      <c r="C1894" s="607" t="s">
        <v>3710</v>
      </c>
      <c r="D1894" s="608" t="s">
        <v>8</v>
      </c>
      <c r="E1894" s="607" t="s">
        <v>1599</v>
      </c>
      <c r="F1894" s="607" t="s">
        <v>1289</v>
      </c>
      <c r="G1894">
        <f>IF(getRGB1($C1894)="FFFFFF",0,1)+IF(getRGB1($D1894)="FFFFFF",0,2)+IF(getRGB1($E1894)="FFFFFF",0,3)+IF(getRGB1($F1894)="FFFFFF",0,4)</f>
        <v>2</v>
      </c>
    </row>
    <row r="1895" spans="1:7" ht="45">
      <c r="A1895" t="s">
        <v>3633</v>
      </c>
      <c r="B1895" s="586" t="s">
        <v>8495</v>
      </c>
      <c r="C1895" s="607" t="s">
        <v>3708</v>
      </c>
      <c r="D1895" s="608" t="s">
        <v>4191</v>
      </c>
      <c r="E1895" s="610" t="s">
        <v>4189</v>
      </c>
      <c r="F1895" s="610" t="s">
        <v>4190</v>
      </c>
      <c r="G1895">
        <f>IF(getRGB1($C1895)="FFFFFF",0,1)+IF(getRGB1($D1895)="FFFFFF",0,2)+IF(getRGB1($E1895)="FFFFFF",0,3)+IF(getRGB1($F1895)="FFFFFF",0,4)</f>
        <v>2</v>
      </c>
    </row>
    <row r="1896" spans="1:7" ht="127.5">
      <c r="A1896" t="s">
        <v>3633</v>
      </c>
      <c r="B1896" s="586" t="s">
        <v>3775</v>
      </c>
      <c r="C1896" s="608" t="s">
        <v>4194</v>
      </c>
      <c r="D1896" s="614" t="s">
        <v>4195</v>
      </c>
      <c r="E1896" s="606" t="s">
        <v>3778</v>
      </c>
      <c r="F1896" s="615" t="s">
        <v>3779</v>
      </c>
      <c r="G1896">
        <f>IF(getRGB1($C1896)="FFFFFF",0,1)+IF(getRGB1($D1896)="FFFFFF",0,2)+IF(getRGB1($E1896)="FFFFFF",0,3)+IF(getRGB1($F1896)="FFFFFF",0,4)</f>
        <v>1</v>
      </c>
    </row>
    <row r="1897" spans="1:7" ht="51">
      <c r="A1897" t="s">
        <v>3633</v>
      </c>
      <c r="B1897" s="586" t="s">
        <v>4196</v>
      </c>
      <c r="C1897" s="608" t="s">
        <v>4197</v>
      </c>
      <c r="D1897" s="607" t="s">
        <v>4136</v>
      </c>
      <c r="E1897" s="614" t="s">
        <v>4137</v>
      </c>
      <c r="F1897" s="649" t="s">
        <v>4138</v>
      </c>
      <c r="G1897">
        <f>IF(getRGB1($C1897)="FFFFFF",0,1)+IF(getRGB1($D1897)="FFFFFF",0,2)+IF(getRGB1($E1897)="FFFFFF",0,3)+IF(getRGB1($F1897)="FFFFFF",0,4)</f>
        <v>1</v>
      </c>
    </row>
    <row r="1898" spans="1:7" ht="42.75">
      <c r="A1898" t="s">
        <v>3633</v>
      </c>
      <c r="B1898" s="586" t="s">
        <v>8496</v>
      </c>
      <c r="C1898" s="607">
        <v>0.1</v>
      </c>
      <c r="D1898" s="619" t="s">
        <v>4199</v>
      </c>
      <c r="E1898" s="607">
        <v>0.08</v>
      </c>
      <c r="F1898" s="645">
        <v>0.15</v>
      </c>
      <c r="G1898">
        <f>IF(getRGB1($C1898)="FFFFFF",0,1)+IF(getRGB1($D1898)="FFFFFF",0,2)+IF(getRGB1($E1898)="FFFFFF",0,3)+IF(getRGB1($F1898)="FFFFFF",0,4)</f>
        <v>2</v>
      </c>
    </row>
    <row r="1899" spans="1:7">
      <c r="A1899" t="s">
        <v>3633</v>
      </c>
      <c r="B1899" s="630" t="s">
        <v>4200</v>
      </c>
      <c r="C1899" s="628" t="s">
        <v>4201</v>
      </c>
      <c r="D1899" s="629" t="s">
        <v>4202</v>
      </c>
      <c r="E1899" s="628" t="s">
        <v>4203</v>
      </c>
      <c r="F1899" s="628" t="s">
        <v>4204</v>
      </c>
      <c r="G1899">
        <f>IF(getRGB1($C1899)="FFFFFF",0,1)+IF(getRGB1($D1899)="FFFFFF",0,2)+IF(getRGB1($E1899)="FFFFFF",0,3)+IF(getRGB1($F1899)="FFFFFF",0,4)</f>
        <v>2</v>
      </c>
    </row>
    <row r="1900" spans="1:7" ht="38.25">
      <c r="A1900" t="s">
        <v>3633</v>
      </c>
      <c r="B1900" s="630" t="s">
        <v>4205</v>
      </c>
      <c r="C1900" s="628" t="s">
        <v>4201</v>
      </c>
      <c r="D1900" s="606"/>
      <c r="E1900" s="629" t="s">
        <v>4206</v>
      </c>
      <c r="F1900" s="628" t="s">
        <v>4204</v>
      </c>
      <c r="G1900">
        <f>IF(getRGB1($C1900)="FFFFFF",0,1)+IF(getRGB1($D1900)="FFFFFF",0,2)+IF(getRGB1($E1900)="FFFFFF",0,3)+IF(getRGB1($F1900)="FFFFFF",0,4)</f>
        <v>3</v>
      </c>
    </row>
    <row r="1901" spans="1:7" ht="25.5">
      <c r="A1901" t="s">
        <v>3633</v>
      </c>
      <c r="B1901" s="586" t="s">
        <v>4207</v>
      </c>
      <c r="C1901" s="649" t="s">
        <v>1502</v>
      </c>
      <c r="D1901" s="649" t="s">
        <v>4208</v>
      </c>
      <c r="E1901" s="644" t="s">
        <v>4209</v>
      </c>
      <c r="F1901" s="649" t="s">
        <v>4210</v>
      </c>
      <c r="G1901">
        <f>IF(getRGB1($C1901)="FFFFFF",0,1)+IF(getRGB1($D1901)="FFFFFF",0,2)+IF(getRGB1($E1901)="FFFFFF",0,3)+IF(getRGB1($F1901)="FFFFFF",0,4)</f>
        <v>3</v>
      </c>
    </row>
    <row r="1902" spans="1:7" ht="51">
      <c r="A1902" t="s">
        <v>3633</v>
      </c>
      <c r="B1902" s="650" t="s">
        <v>4211</v>
      </c>
      <c r="C1902" s="649" t="s">
        <v>4212</v>
      </c>
      <c r="D1902" s="608" t="s">
        <v>4213</v>
      </c>
      <c r="E1902" s="649" t="s">
        <v>4214</v>
      </c>
      <c r="F1902" s="649" t="s">
        <v>4215</v>
      </c>
      <c r="G1902">
        <f>IF(getRGB1($C1902)="FFFFFF",0,1)+IF(getRGB1($D1902)="FFFFFF",0,2)+IF(getRGB1($E1902)="FFFFFF",0,3)+IF(getRGB1($F1902)="FFFFFF",0,4)</f>
        <v>2</v>
      </c>
    </row>
    <row r="1903" spans="1:7" ht="63.75">
      <c r="A1903" t="s">
        <v>3633</v>
      </c>
      <c r="B1903" s="586" t="s">
        <v>4216</v>
      </c>
      <c r="C1903" s="614" t="s">
        <v>4217</v>
      </c>
      <c r="D1903" s="614" t="s">
        <v>4218</v>
      </c>
      <c r="E1903" s="614" t="s">
        <v>4219</v>
      </c>
      <c r="F1903" s="608" t="s">
        <v>1744</v>
      </c>
      <c r="G1903">
        <f>IF(getRGB1($C1903)="FFFFFF",0,1)+IF(getRGB1($D1903)="FFFFFF",0,2)+IF(getRGB1($E1903)="FFFFFF",0,3)+IF(getRGB1($F1903)="FFFFFF",0,4)</f>
        <v>4</v>
      </c>
    </row>
    <row r="1904" spans="1:7" ht="38.25">
      <c r="A1904" t="s">
        <v>3633</v>
      </c>
      <c r="B1904" s="586" t="s">
        <v>4220</v>
      </c>
      <c r="C1904" s="614" t="s">
        <v>4221</v>
      </c>
      <c r="D1904" s="608" t="s">
        <v>4222</v>
      </c>
      <c r="E1904" s="614" t="s">
        <v>4223</v>
      </c>
      <c r="F1904" s="614" t="s">
        <v>4224</v>
      </c>
      <c r="G1904">
        <f>IF(getRGB1($C1904)="FFFFFF",0,1)+IF(getRGB1($D1904)="FFFFFF",0,2)+IF(getRGB1($E1904)="FFFFFF",0,3)+IF(getRGB1($F1904)="FFFFFF",0,4)</f>
        <v>2</v>
      </c>
    </row>
    <row r="1905" spans="1:7" ht="38.25">
      <c r="A1905" t="s">
        <v>3633</v>
      </c>
      <c r="B1905" s="586" t="s">
        <v>8497</v>
      </c>
      <c r="C1905" s="614" t="s">
        <v>4226</v>
      </c>
      <c r="D1905" s="614" t="s">
        <v>4227</v>
      </c>
      <c r="E1905" s="608" t="s">
        <v>4228</v>
      </c>
      <c r="F1905" s="614" t="s">
        <v>61</v>
      </c>
      <c r="G1905">
        <f>IF(getRGB1($C1905)="FFFFFF",0,1)+IF(getRGB1($D1905)="FFFFFF",0,2)+IF(getRGB1($E1905)="FFFFFF",0,3)+IF(getRGB1($F1905)="FFFFFF",0,4)</f>
        <v>3</v>
      </c>
    </row>
    <row r="1906" spans="1:7">
      <c r="A1906" t="s">
        <v>3633</v>
      </c>
      <c r="B1906" s="586" t="s">
        <v>8498</v>
      </c>
      <c r="C1906" s="614">
        <v>8</v>
      </c>
      <c r="D1906" s="614">
        <v>10</v>
      </c>
      <c r="E1906" s="608">
        <v>16</v>
      </c>
      <c r="F1906" s="614">
        <v>12</v>
      </c>
      <c r="G1906">
        <f>IF(getRGB1($C1906)="FFFFFF",0,1)+IF(getRGB1($D1906)="FFFFFF",0,2)+IF(getRGB1($E1906)="FFFFFF",0,3)+IF(getRGB1($F1906)="FFFFFF",0,4)</f>
        <v>3</v>
      </c>
    </row>
    <row r="1907" spans="1:7" ht="38.25">
      <c r="A1907" t="s">
        <v>3633</v>
      </c>
      <c r="B1907" s="586" t="s">
        <v>8499</v>
      </c>
      <c r="C1907" s="608" t="s">
        <v>4231</v>
      </c>
      <c r="D1907" s="614" t="s">
        <v>4232</v>
      </c>
      <c r="E1907" s="614" t="s">
        <v>4233</v>
      </c>
      <c r="F1907" s="614" t="s">
        <v>61</v>
      </c>
      <c r="G1907">
        <f>IF(getRGB1($C1907)="FFFFFF",0,1)+IF(getRGB1($D1907)="FFFFFF",0,2)+IF(getRGB1($E1907)="FFFFFF",0,3)+IF(getRGB1($F1907)="FFFFFF",0,4)</f>
        <v>1</v>
      </c>
    </row>
    <row r="1908" spans="1:7" ht="38.25">
      <c r="A1908" t="s">
        <v>3633</v>
      </c>
      <c r="B1908" s="586" t="s">
        <v>4234</v>
      </c>
      <c r="C1908" s="614" t="s">
        <v>4235</v>
      </c>
      <c r="D1908" s="608" t="s">
        <v>4236</v>
      </c>
      <c r="E1908" s="614" t="s">
        <v>4143</v>
      </c>
      <c r="F1908" s="614" t="s">
        <v>4237</v>
      </c>
      <c r="G1908">
        <f>IF(getRGB1($C1908)="FFFFFF",0,1)+IF(getRGB1($D1908)="FFFFFF",0,2)+IF(getRGB1($E1908)="FFFFFF",0,3)+IF(getRGB1($F1908)="FFFFFF",0,4)</f>
        <v>2</v>
      </c>
    </row>
    <row r="1909" spans="1:7" ht="51">
      <c r="A1909" t="s">
        <v>3633</v>
      </c>
      <c r="B1909" s="586" t="s">
        <v>4238</v>
      </c>
      <c r="C1909" s="614" t="s">
        <v>4239</v>
      </c>
      <c r="D1909" s="614" t="s">
        <v>4240</v>
      </c>
      <c r="E1909" s="614" t="s">
        <v>4241</v>
      </c>
      <c r="F1909" s="608" t="s">
        <v>3373</v>
      </c>
      <c r="G1909">
        <f>IF(getRGB1($C1909)="FFFFFF",0,1)+IF(getRGB1($D1909)="FFFFFF",0,2)+IF(getRGB1($E1909)="FFFFFF",0,3)+IF(getRGB1($F1909)="FFFFFF",0,4)</f>
        <v>4</v>
      </c>
    </row>
    <row r="1910" spans="1:7">
      <c r="A1910" t="s">
        <v>3633</v>
      </c>
      <c r="B1910" s="586" t="s">
        <v>8758</v>
      </c>
      <c r="C1910" s="614" t="s">
        <v>4243</v>
      </c>
      <c r="D1910" s="614" t="s">
        <v>4244</v>
      </c>
      <c r="E1910" s="614" t="s">
        <v>4245</v>
      </c>
      <c r="F1910" s="608" t="s">
        <v>2812</v>
      </c>
      <c r="G1910">
        <f>IF(getRGB1($C1910)="FFFFFF",0,1)+IF(getRGB1($D1910)="FFFFFF",0,2)+IF(getRGB1($E1910)="FFFFFF",0,3)+IF(getRGB1($F1910)="FFFFFF",0,4)</f>
        <v>4</v>
      </c>
    </row>
    <row r="1911" spans="1:7" ht="38.25">
      <c r="A1911" t="s">
        <v>3633</v>
      </c>
      <c r="B1911" s="586" t="s">
        <v>8500</v>
      </c>
      <c r="C1911" s="608" t="s">
        <v>8501</v>
      </c>
      <c r="D1911" s="614" t="s">
        <v>8502</v>
      </c>
      <c r="E1911" s="614" t="s">
        <v>8503</v>
      </c>
      <c r="F1911" s="614" t="s">
        <v>61</v>
      </c>
      <c r="G1911">
        <f>IF(getRGB1($C1911)="FFFFFF",0,1)+IF(getRGB1($D1911)="FFFFFF",0,2)+IF(getRGB1($E1911)="FFFFFF",0,3)+IF(getRGB1($F1911)="FFFFFF",0,4)</f>
        <v>1</v>
      </c>
    </row>
    <row r="1912" spans="1:7">
      <c r="A1912" t="s">
        <v>3633</v>
      </c>
      <c r="B1912" s="586" t="s">
        <v>8504</v>
      </c>
      <c r="C1912" s="614" t="s">
        <v>179</v>
      </c>
      <c r="D1912" s="608" t="s">
        <v>137</v>
      </c>
      <c r="E1912" s="614" t="s">
        <v>73</v>
      </c>
      <c r="F1912" s="614" t="s">
        <v>177</v>
      </c>
      <c r="G1912">
        <f>IF(getRGB1($C1912)="FFFFFF",0,1)+IF(getRGB1($D1912)="FFFFFF",0,2)+IF(getRGB1($E1912)="FFFFFF",0,3)+IF(getRGB1($F1912)="FFFFFF",0,4)</f>
        <v>2</v>
      </c>
    </row>
    <row r="1913" spans="1:7" ht="25.5">
      <c r="A1913" t="s">
        <v>3633</v>
      </c>
      <c r="B1913" s="586" t="s">
        <v>8505</v>
      </c>
      <c r="C1913" s="614" t="s">
        <v>8506</v>
      </c>
      <c r="D1913" s="608" t="s">
        <v>8507</v>
      </c>
      <c r="E1913" s="614" t="s">
        <v>2812</v>
      </c>
      <c r="F1913" s="614" t="s">
        <v>73</v>
      </c>
      <c r="G1913">
        <f>IF(getRGB1($C1913)="FFFFFF",0,1)+IF(getRGB1($D1913)="FFFFFF",0,2)+IF(getRGB1($E1913)="FFFFFF",0,3)+IF(getRGB1($F1913)="FFFFFF",0,4)</f>
        <v>2</v>
      </c>
    </row>
    <row r="1914" spans="1:7" ht="51">
      <c r="A1914" t="s">
        <v>3633</v>
      </c>
      <c r="B1914" s="586" t="s">
        <v>8508</v>
      </c>
      <c r="C1914" s="614" t="s">
        <v>8509</v>
      </c>
      <c r="D1914" s="614" t="s">
        <v>8510</v>
      </c>
      <c r="E1914" s="614" t="s">
        <v>8511</v>
      </c>
      <c r="F1914" s="608" t="s">
        <v>8512</v>
      </c>
      <c r="G1914">
        <f>IF(getRGB1($C1914)="FFFFFF",0,1)+IF(getRGB1($D1914)="FFFFFF",0,2)+IF(getRGB1($E1914)="FFFFFF",0,3)+IF(getRGB1($F1914)="FFFFFF",0,4)</f>
        <v>4</v>
      </c>
    </row>
    <row r="1915" spans="1:7" ht="76.5">
      <c r="A1915" t="s">
        <v>3633</v>
      </c>
      <c r="B1915" s="586" t="s">
        <v>8513</v>
      </c>
      <c r="C1915" s="614" t="s">
        <v>8514</v>
      </c>
      <c r="D1915" s="614" t="s">
        <v>8515</v>
      </c>
      <c r="E1915" s="614" t="s">
        <v>8516</v>
      </c>
      <c r="F1915" s="608" t="s">
        <v>8517</v>
      </c>
      <c r="G1915">
        <f>IF(getRGB1($C1915)="FFFFFF",0,1)+IF(getRGB1($D1915)="FFFFFF",0,2)+IF(getRGB1($E1915)="FFFFFF",0,3)+IF(getRGB1($F1915)="FFFFFF",0,4)</f>
        <v>4</v>
      </c>
    </row>
    <row r="1916" spans="1:7" ht="51">
      <c r="A1916" t="s">
        <v>3633</v>
      </c>
      <c r="B1916" s="586" t="s">
        <v>4247</v>
      </c>
      <c r="C1916" s="644" t="s">
        <v>4248</v>
      </c>
      <c r="D1916" s="649" t="s">
        <v>4249</v>
      </c>
      <c r="E1916" s="649"/>
      <c r="F1916" s="649"/>
      <c r="G1916">
        <f>IF(getRGB1($C1916)="FFFFFF",0,1)+IF(getRGB1($D1916)="FFFFFF",0,2)+IF(getRGB1($E1916)="FFFFFF",0,3)+IF(getRGB1($F1916)="FFFFFF",0,4)</f>
        <v>1</v>
      </c>
    </row>
    <row r="1917" spans="1:7" ht="38.25">
      <c r="A1917" t="s">
        <v>3633</v>
      </c>
      <c r="B1917" s="586" t="s">
        <v>4250</v>
      </c>
      <c r="C1917" s="614" t="s">
        <v>4251</v>
      </c>
      <c r="D1917" s="614" t="s">
        <v>4252</v>
      </c>
      <c r="E1917" s="608" t="s">
        <v>4253</v>
      </c>
      <c r="F1917" s="649"/>
      <c r="G1917">
        <f>IF(getRGB1($C1917)="FFFFFF",0,1)+IF(getRGB1($D1917)="FFFFFF",0,2)+IF(getRGB1($E1917)="FFFFFF",0,3)+IF(getRGB1($F1917)="FFFFFF",0,4)</f>
        <v>3</v>
      </c>
    </row>
    <row r="1918" spans="1:7" ht="38.25">
      <c r="A1918" t="s">
        <v>3633</v>
      </c>
      <c r="B1918" s="586" t="s">
        <v>8714</v>
      </c>
      <c r="C1918" s="649" t="s">
        <v>4255</v>
      </c>
      <c r="D1918" s="649" t="s">
        <v>4256</v>
      </c>
      <c r="E1918" s="649" t="s">
        <v>4257</v>
      </c>
      <c r="F1918" s="649" t="s">
        <v>66</v>
      </c>
      <c r="G1918">
        <f>IF(getRGB1($C1918)="FFFFFF",0,1)+IF(getRGB1($D1918)="FFFFFF",0,2)+IF(getRGB1($E1918)="FFFFFF",0,3)+IF(getRGB1($F1918)="FFFFFF",0,4)</f>
        <v>0</v>
      </c>
    </row>
    <row r="1919" spans="1:7" ht="51">
      <c r="A1919" t="s">
        <v>3633</v>
      </c>
      <c r="B1919" s="586" t="s">
        <v>4258</v>
      </c>
      <c r="C1919" s="644" t="s">
        <v>4259</v>
      </c>
      <c r="D1919" s="649" t="s">
        <v>4260</v>
      </c>
      <c r="E1919" s="649" t="s">
        <v>4261</v>
      </c>
      <c r="F1919" s="649" t="s">
        <v>66</v>
      </c>
      <c r="G1919">
        <f>IF(getRGB1($C1919)="FFFFFF",0,1)+IF(getRGB1($D1919)="FFFFFF",0,2)+IF(getRGB1($E1919)="FFFFFF",0,3)+IF(getRGB1($F1919)="FFFFFF",0,4)</f>
        <v>1</v>
      </c>
    </row>
    <row r="1920" spans="1:7" ht="102">
      <c r="A1920" t="s">
        <v>3633</v>
      </c>
      <c r="B1920" s="586" t="s">
        <v>8715</v>
      </c>
      <c r="C1920" s="649" t="s">
        <v>4263</v>
      </c>
      <c r="D1920" s="649" t="s">
        <v>4264</v>
      </c>
      <c r="E1920" s="644" t="s">
        <v>4265</v>
      </c>
      <c r="F1920" s="649" t="s">
        <v>66</v>
      </c>
      <c r="G1920">
        <f>IF(getRGB1($C1920)="FFFFFF",0,1)+IF(getRGB1($D1920)="FFFFFF",0,2)+IF(getRGB1($E1920)="FFFFFF",0,3)+IF(getRGB1($F1920)="FFFFFF",0,4)</f>
        <v>3</v>
      </c>
    </row>
    <row r="1921" spans="1:7" ht="51">
      <c r="A1921" t="s">
        <v>3633</v>
      </c>
      <c r="B1921" s="586" t="s">
        <v>8716</v>
      </c>
      <c r="C1921" s="649" t="s">
        <v>4267</v>
      </c>
      <c r="D1921" s="644" t="s">
        <v>4268</v>
      </c>
      <c r="E1921" s="649" t="s">
        <v>446</v>
      </c>
      <c r="F1921" s="649" t="s">
        <v>66</v>
      </c>
      <c r="G1921">
        <f>IF(getRGB1($C1921)="FFFFFF",0,1)+IF(getRGB1($D1921)="FFFFFF",0,2)+IF(getRGB1($E1921)="FFFFFF",0,3)+IF(getRGB1($F1921)="FFFFFF",0,4)</f>
        <v>2</v>
      </c>
    </row>
    <row r="1922" spans="1:7" ht="76.5">
      <c r="A1922" t="s">
        <v>3633</v>
      </c>
      <c r="B1922" s="586" t="s">
        <v>6694</v>
      </c>
      <c r="C1922" s="608" t="s">
        <v>4269</v>
      </c>
      <c r="D1922" s="614" t="s">
        <v>4270</v>
      </c>
      <c r="E1922" s="614" t="s">
        <v>4271</v>
      </c>
      <c r="F1922" s="649" t="s">
        <v>61</v>
      </c>
      <c r="G1922">
        <f>IF(getRGB1($C1922)="FFFFFF",0,1)+IF(getRGB1($D1922)="FFFFFF",0,2)+IF(getRGB1($E1922)="FFFFFF",0,3)+IF(getRGB1($F1922)="FFFFFF",0,4)</f>
        <v>1</v>
      </c>
    </row>
    <row r="1923" spans="1:7" ht="25.5">
      <c r="A1923" t="s">
        <v>3633</v>
      </c>
      <c r="B1923" s="586" t="s">
        <v>4272</v>
      </c>
      <c r="C1923" s="649" t="s">
        <v>4273</v>
      </c>
      <c r="D1923" s="644" t="s">
        <v>4274</v>
      </c>
      <c r="E1923" s="614" t="s">
        <v>4275</v>
      </c>
      <c r="F1923" s="649" t="s">
        <v>61</v>
      </c>
      <c r="G1923">
        <f>IF(getRGB1($C1923)="FFFFFF",0,1)+IF(getRGB1($D1923)="FFFFFF",0,2)+IF(getRGB1($E1923)="FFFFFF",0,3)+IF(getRGB1($F1923)="FFFFFF",0,4)</f>
        <v>2</v>
      </c>
    </row>
    <row r="1924" spans="1:7" ht="63.75">
      <c r="A1924" t="s">
        <v>3633</v>
      </c>
      <c r="B1924" s="586" t="s">
        <v>4276</v>
      </c>
      <c r="C1924" s="649" t="s">
        <v>4277</v>
      </c>
      <c r="D1924" s="649" t="s">
        <v>4278</v>
      </c>
      <c r="E1924" s="644" t="s">
        <v>4279</v>
      </c>
      <c r="F1924" s="649" t="s">
        <v>4280</v>
      </c>
      <c r="G1924">
        <f>IF(getRGB1($C1924)="FFFFFF",0,1)+IF(getRGB1($D1924)="FFFFFF",0,2)+IF(getRGB1($E1924)="FFFFFF",0,3)+IF(getRGB1($F1924)="FFFFFF",0,4)</f>
        <v>3</v>
      </c>
    </row>
    <row r="1925" spans="1:7" ht="63.75">
      <c r="A1925" t="s">
        <v>3633</v>
      </c>
      <c r="B1925" s="586" t="s">
        <v>4281</v>
      </c>
      <c r="C1925" s="651">
        <v>0.95</v>
      </c>
      <c r="D1925" s="652">
        <v>1.05</v>
      </c>
      <c r="E1925" s="651">
        <v>1</v>
      </c>
      <c r="F1925" s="649" t="s">
        <v>61</v>
      </c>
      <c r="G1925">
        <f>IF(getRGB1($C1925)="FFFFFF",0,1)+IF(getRGB1($D1925)="FFFFFF",0,2)+IF(getRGB1($E1925)="FFFFFF",0,3)+IF(getRGB1($F1925)="FFFFFF",0,4)</f>
        <v>2</v>
      </c>
    </row>
    <row r="1926" spans="1:7" ht="51">
      <c r="A1926" t="s">
        <v>3633</v>
      </c>
      <c r="B1926" s="586" t="s">
        <v>4282</v>
      </c>
      <c r="C1926" s="644">
        <v>7</v>
      </c>
      <c r="D1926" s="649">
        <v>3</v>
      </c>
      <c r="E1926" s="649">
        <v>1</v>
      </c>
      <c r="F1926" s="649">
        <v>10</v>
      </c>
      <c r="G1926">
        <f>IF(getRGB1($C1926)="FFFFFF",0,1)+IF(getRGB1($D1926)="FFFFFF",0,2)+IF(getRGB1($E1926)="FFFFFF",0,3)+IF(getRGB1($F1926)="FFFFFF",0,4)</f>
        <v>1</v>
      </c>
    </row>
    <row r="1927" spans="1:7" ht="25.5">
      <c r="A1927" t="s">
        <v>3633</v>
      </c>
      <c r="B1927" s="586" t="s">
        <v>4283</v>
      </c>
      <c r="C1927" s="649" t="s">
        <v>4284</v>
      </c>
      <c r="D1927" s="649"/>
      <c r="E1927" s="649"/>
      <c r="F1927" s="644" t="s">
        <v>4285</v>
      </c>
      <c r="G1927">
        <f>IF(getRGB1($C1927)="FFFFFF",0,1)+IF(getRGB1($D1927)="FFFFFF",0,2)+IF(getRGB1($E1927)="FFFFFF",0,3)+IF(getRGB1($F1927)="FFFFFF",0,4)</f>
        <v>4</v>
      </c>
    </row>
    <row r="1928" spans="1:7" ht="63.75">
      <c r="A1928" t="s">
        <v>3633</v>
      </c>
      <c r="B1928" s="586" t="s">
        <v>4286</v>
      </c>
      <c r="C1928" s="651">
        <v>0.95</v>
      </c>
      <c r="D1928" s="652">
        <v>1.1000000000000001</v>
      </c>
      <c r="E1928" s="651">
        <v>1</v>
      </c>
      <c r="F1928" s="649" t="s">
        <v>61</v>
      </c>
      <c r="G1928">
        <f>IF(getRGB1($C1928)="FFFFFF",0,1)+IF(getRGB1($D1928)="FFFFFF",0,2)+IF(getRGB1($E1928)="FFFFFF",0,3)+IF(getRGB1($F1928)="FFFFFF",0,4)</f>
        <v>2</v>
      </c>
    </row>
    <row r="1929" spans="1:7" ht="102">
      <c r="A1929" t="s">
        <v>3633</v>
      </c>
      <c r="B1929" s="586" t="s">
        <v>8518</v>
      </c>
      <c r="C1929" s="644" t="s">
        <v>4288</v>
      </c>
      <c r="D1929" s="649" t="s">
        <v>4289</v>
      </c>
      <c r="E1929" s="649" t="s">
        <v>4290</v>
      </c>
      <c r="F1929" s="649" t="s">
        <v>4291</v>
      </c>
      <c r="G1929">
        <f>IF(getRGB1($C1929)="FFFFFF",0,1)+IF(getRGB1($D1929)="FFFFFF",0,2)+IF(getRGB1($E1929)="FFFFFF",0,3)+IF(getRGB1($F1929)="FFFFFF",0,4)</f>
        <v>1</v>
      </c>
    </row>
    <row r="1930" spans="1:7" ht="38.25">
      <c r="A1930" t="s">
        <v>3633</v>
      </c>
      <c r="B1930" s="586" t="s">
        <v>4292</v>
      </c>
      <c r="C1930" s="649">
        <v>6</v>
      </c>
      <c r="D1930" s="644">
        <v>4</v>
      </c>
      <c r="E1930" s="649">
        <v>5</v>
      </c>
      <c r="F1930" s="649">
        <v>3</v>
      </c>
      <c r="G1930">
        <f>IF(getRGB1($C1930)="FFFFFF",0,1)+IF(getRGB1($D1930)="FFFFFF",0,2)+IF(getRGB1($E1930)="FFFFFF",0,3)+IF(getRGB1($F1930)="FFFFFF",0,4)</f>
        <v>2</v>
      </c>
    </row>
    <row r="1931" spans="1:7" ht="76.5">
      <c r="A1931" t="s">
        <v>3633</v>
      </c>
      <c r="B1931" s="586" t="s">
        <v>4293</v>
      </c>
      <c r="C1931" s="644">
        <v>24</v>
      </c>
      <c r="D1931" s="649">
        <v>72</v>
      </c>
      <c r="E1931" s="649">
        <v>12</v>
      </c>
      <c r="F1931" s="649">
        <v>48</v>
      </c>
      <c r="G1931">
        <f>IF(getRGB1($C1931)="FFFFFF",0,1)+IF(getRGB1($D1931)="FFFFFF",0,2)+IF(getRGB1($E1931)="FFFFFF",0,3)+IF(getRGB1($F1931)="FFFFFF",0,4)</f>
        <v>1</v>
      </c>
    </row>
    <row r="1932" spans="1:7" ht="89.25">
      <c r="A1932" t="s">
        <v>3633</v>
      </c>
      <c r="B1932" s="586" t="s">
        <v>4294</v>
      </c>
      <c r="C1932" s="644" t="b">
        <v>1</v>
      </c>
      <c r="D1932" s="649" t="b">
        <v>0</v>
      </c>
      <c r="E1932" s="649"/>
      <c r="F1932" s="649"/>
      <c r="G1932">
        <f>IF(getRGB1($C1932)="FFFFFF",0,1)+IF(getRGB1($D1932)="FFFFFF",0,2)+IF(getRGB1($E1932)="FFFFFF",0,3)+IF(getRGB1($F1932)="FFFFFF",0,4)</f>
        <v>1</v>
      </c>
    </row>
    <row r="1933" spans="1:7" ht="51">
      <c r="A1933" t="s">
        <v>3633</v>
      </c>
      <c r="B1933" s="586" t="s">
        <v>8519</v>
      </c>
      <c r="C1933" s="651">
        <v>0.45</v>
      </c>
      <c r="D1933" s="652">
        <v>0.55000000000000004</v>
      </c>
      <c r="E1933" s="651">
        <v>0.65</v>
      </c>
      <c r="F1933" s="651">
        <v>0.7</v>
      </c>
      <c r="G1933">
        <f>IF(getRGB1($C1933)="FFFFFF",0,1)+IF(getRGB1($D1933)="FFFFFF",0,2)+IF(getRGB1($E1933)="FFFFFF",0,3)+IF(getRGB1($F1933)="FFFFFF",0,4)</f>
        <v>2</v>
      </c>
    </row>
    <row r="1934" spans="1:7" ht="63.75">
      <c r="A1934" t="s">
        <v>3633</v>
      </c>
      <c r="B1934" s="586" t="s">
        <v>4295</v>
      </c>
      <c r="C1934" s="644" t="s">
        <v>4296</v>
      </c>
      <c r="D1934" s="649" t="s">
        <v>4297</v>
      </c>
      <c r="E1934" s="649" t="s">
        <v>4298</v>
      </c>
      <c r="F1934" s="649" t="s">
        <v>4299</v>
      </c>
      <c r="G1934">
        <f>IF(getRGB1($C1934)="FFFFFF",0,1)+IF(getRGB1($D1934)="FFFFFF",0,2)+IF(getRGB1($E1934)="FFFFFF",0,3)+IF(getRGB1($F1934)="FFFFFF",0,4)</f>
        <v>1</v>
      </c>
    </row>
    <row r="1935" spans="1:7" ht="63.75">
      <c r="A1935" t="s">
        <v>3633</v>
      </c>
      <c r="B1935" s="586" t="s">
        <v>4300</v>
      </c>
      <c r="C1935" s="645" t="s">
        <v>4296</v>
      </c>
      <c r="D1935" s="644" t="s">
        <v>4297</v>
      </c>
      <c r="E1935" s="649" t="s">
        <v>4298</v>
      </c>
      <c r="F1935" s="649" t="s">
        <v>4299</v>
      </c>
      <c r="G1935">
        <f>IF(getRGB1($C1935)="FFFFFF",0,1)+IF(getRGB1($D1935)="FFFFFF",0,2)+IF(getRGB1($E1935)="FFFFFF",0,3)+IF(getRGB1($F1935)="FFFFFF",0,4)</f>
        <v>2</v>
      </c>
    </row>
    <row r="1936" spans="1:7" ht="63.75">
      <c r="A1936" t="s">
        <v>3633</v>
      </c>
      <c r="B1936" s="586" t="s">
        <v>4301</v>
      </c>
      <c r="C1936" s="645" t="s">
        <v>4296</v>
      </c>
      <c r="D1936" s="645" t="s">
        <v>4297</v>
      </c>
      <c r="E1936" s="644" t="s">
        <v>4298</v>
      </c>
      <c r="F1936" s="649" t="s">
        <v>4299</v>
      </c>
      <c r="G1936">
        <f>IF(getRGB1($C1936)="FFFFFF",0,1)+IF(getRGB1($D1936)="FFFFFF",0,2)+IF(getRGB1($E1936)="FFFFFF",0,3)+IF(getRGB1($F1936)="FFFFFF",0,4)</f>
        <v>3</v>
      </c>
    </row>
    <row r="1937" spans="1:7" ht="63.75">
      <c r="A1937" t="s">
        <v>3633</v>
      </c>
      <c r="B1937" s="586" t="s">
        <v>4302</v>
      </c>
      <c r="C1937" s="645" t="s">
        <v>4296</v>
      </c>
      <c r="D1937" s="645" t="s">
        <v>4297</v>
      </c>
      <c r="E1937" s="645" t="s">
        <v>4298</v>
      </c>
      <c r="F1937" s="644" t="s">
        <v>4303</v>
      </c>
      <c r="G1937">
        <f>IF(getRGB1($C1937)="FFFFFF",0,1)+IF(getRGB1($D1937)="FFFFFF",0,2)+IF(getRGB1($E1937)="FFFFFF",0,3)+IF(getRGB1($F1937)="FFFFFF",0,4)</f>
        <v>4</v>
      </c>
    </row>
    <row r="1938" spans="1:7" ht="63.75">
      <c r="A1938" t="s">
        <v>3633</v>
      </c>
      <c r="B1938" s="586" t="s">
        <v>8520</v>
      </c>
      <c r="C1938" s="644" t="s">
        <v>8521</v>
      </c>
      <c r="D1938" s="649" t="s">
        <v>8522</v>
      </c>
      <c r="E1938" s="649" t="s">
        <v>8523</v>
      </c>
      <c r="F1938" s="649" t="s">
        <v>8524</v>
      </c>
      <c r="G1938">
        <f>IF(getRGB1($C1938)="FFFFFF",0,1)+IF(getRGB1($D1938)="FFFFFF",0,2)+IF(getRGB1($E1938)="FFFFFF",0,3)+IF(getRGB1($F1938)="FFFFFF",0,4)</f>
        <v>1</v>
      </c>
    </row>
    <row r="1939" spans="1:7" ht="51">
      <c r="A1939" t="s">
        <v>8683</v>
      </c>
      <c r="B1939" s="269" t="s">
        <v>5547</v>
      </c>
      <c r="C1939" s="366" t="s">
        <v>5548</v>
      </c>
      <c r="D1939" s="728" t="s">
        <v>5549</v>
      </c>
      <c r="E1939" s="276" t="s">
        <v>5550</v>
      </c>
      <c r="F1939" s="276" t="s">
        <v>3313</v>
      </c>
      <c r="G1939">
        <f>IF(getRGB1($C1939)="FFFFFF",0,1)+IF(getRGB1($D1939)="FFFFFF",0,2)+IF(getRGB1($E1939)="FFFFFF",0,3)+IF(getRGB1($F1939)="FFFFFF",0,4)</f>
        <v>1</v>
      </c>
    </row>
    <row r="1940" spans="1:7" ht="63.75">
      <c r="A1940" t="s">
        <v>8683</v>
      </c>
      <c r="B1940" s="269" t="s">
        <v>5551</v>
      </c>
      <c r="C1940" s="366" t="s">
        <v>5552</v>
      </c>
      <c r="D1940" s="276" t="s">
        <v>5553</v>
      </c>
      <c r="E1940" s="276" t="s">
        <v>5554</v>
      </c>
      <c r="F1940" s="276" t="s">
        <v>5555</v>
      </c>
      <c r="G1940">
        <f>IF(getRGB1($C1940)="FFFFFF",0,1)+IF(getRGB1($D1940)="FFFFFF",0,2)+IF(getRGB1($E1940)="FFFFFF",0,3)+IF(getRGB1($F1940)="FFFFFF",0,4)</f>
        <v>1</v>
      </c>
    </row>
    <row r="1941" spans="1:7" ht="38.25">
      <c r="A1941" t="s">
        <v>8683</v>
      </c>
      <c r="B1941" s="269" t="s">
        <v>5556</v>
      </c>
      <c r="C1941" s="276" t="s">
        <v>5557</v>
      </c>
      <c r="D1941" s="366" t="s">
        <v>5558</v>
      </c>
      <c r="E1941" s="276" t="s">
        <v>137</v>
      </c>
      <c r="F1941" s="276"/>
      <c r="G1941">
        <f>IF(getRGB1($C1941)="FFFFFF",0,1)+IF(getRGB1($D1941)="FFFFFF",0,2)+IF(getRGB1($E1941)="FFFFFF",0,3)+IF(getRGB1($F1941)="FFFFFF",0,4)</f>
        <v>2</v>
      </c>
    </row>
    <row r="1942" spans="1:7" ht="102">
      <c r="A1942" t="s">
        <v>8683</v>
      </c>
      <c r="B1942" s="269" t="s">
        <v>5559</v>
      </c>
      <c r="C1942" s="276" t="s">
        <v>5560</v>
      </c>
      <c r="D1942" s="276" t="s">
        <v>5561</v>
      </c>
      <c r="E1942" s="276" t="s">
        <v>5562</v>
      </c>
      <c r="F1942" s="366" t="s">
        <v>5563</v>
      </c>
      <c r="G1942">
        <f>IF(getRGB1($C1942)="FFFFFF",0,1)+IF(getRGB1($D1942)="FFFFFF",0,2)+IF(getRGB1($E1942)="FFFFFF",0,3)+IF(getRGB1($F1942)="FFFFFF",0,4)</f>
        <v>4</v>
      </c>
    </row>
    <row r="1943" spans="1:7" ht="63.75">
      <c r="A1943" t="s">
        <v>8683</v>
      </c>
      <c r="B1943" s="269" t="s">
        <v>5564</v>
      </c>
      <c r="C1943" s="276" t="s">
        <v>5565</v>
      </c>
      <c r="D1943" s="276" t="s">
        <v>3213</v>
      </c>
      <c r="E1943" s="366" t="s">
        <v>5566</v>
      </c>
      <c r="F1943" s="276" t="s">
        <v>5567</v>
      </c>
      <c r="G1943">
        <f>IF(getRGB1($C1943)="FFFFFF",0,1)+IF(getRGB1($D1943)="FFFFFF",0,2)+IF(getRGB1($E1943)="FFFFFF",0,3)+IF(getRGB1($F1943)="FFFFFF",0,4)</f>
        <v>3</v>
      </c>
    </row>
    <row r="1944" spans="1:7" ht="25.5">
      <c r="A1944" t="s">
        <v>8683</v>
      </c>
      <c r="B1944" s="269" t="s">
        <v>5568</v>
      </c>
      <c r="C1944" s="276" t="s">
        <v>5569</v>
      </c>
      <c r="D1944" s="276" t="s">
        <v>5570</v>
      </c>
      <c r="E1944" s="366" t="s">
        <v>5571</v>
      </c>
      <c r="F1944" s="276"/>
      <c r="G1944">
        <f>IF(getRGB1($C1944)="FFFFFF",0,1)+IF(getRGB1($D1944)="FFFFFF",0,2)+IF(getRGB1($E1944)="FFFFFF",0,3)+IF(getRGB1($F1944)="FFFFFF",0,4)</f>
        <v>3</v>
      </c>
    </row>
    <row r="1945" spans="1:7" ht="38.25">
      <c r="A1945" t="s">
        <v>8683</v>
      </c>
      <c r="B1945" s="269" t="s">
        <v>5572</v>
      </c>
      <c r="C1945" s="276" t="s">
        <v>5573</v>
      </c>
      <c r="D1945" s="276" t="s">
        <v>5574</v>
      </c>
      <c r="E1945" s="276" t="s">
        <v>5575</v>
      </c>
      <c r="F1945" s="366" t="s">
        <v>3313</v>
      </c>
      <c r="G1945">
        <f>IF(getRGB1($C1945)="FFFFFF",0,1)+IF(getRGB1($D1945)="FFFFFF",0,2)+IF(getRGB1($E1945)="FFFFFF",0,3)+IF(getRGB1($F1945)="FFFFFF",0,4)</f>
        <v>4</v>
      </c>
    </row>
    <row r="1946" spans="1:7" ht="63.75">
      <c r="A1946" t="s">
        <v>8683</v>
      </c>
      <c r="B1946" s="269" t="s">
        <v>5576</v>
      </c>
      <c r="C1946" s="366" t="s">
        <v>5577</v>
      </c>
      <c r="D1946" s="276" t="s">
        <v>5578</v>
      </c>
      <c r="E1946" s="276" t="s">
        <v>179</v>
      </c>
      <c r="F1946" s="276" t="s">
        <v>137</v>
      </c>
      <c r="G1946">
        <f>IF(getRGB1($C1946)="FFFFFF",0,1)+IF(getRGB1($D1946)="FFFFFF",0,2)+IF(getRGB1($E1946)="FFFFFF",0,3)+IF(getRGB1($F1946)="FFFFFF",0,4)</f>
        <v>1</v>
      </c>
    </row>
    <row r="1947" spans="1:7" ht="25.5">
      <c r="A1947" t="s">
        <v>8683</v>
      </c>
      <c r="B1947" s="269" t="s">
        <v>5579</v>
      </c>
      <c r="C1947" s="276" t="s">
        <v>5557</v>
      </c>
      <c r="D1947" s="276" t="s">
        <v>5558</v>
      </c>
      <c r="E1947" s="728" t="s">
        <v>5580</v>
      </c>
      <c r="F1947" s="366" t="s">
        <v>3313</v>
      </c>
      <c r="G1947">
        <f>IF(getRGB1($C1947)="FFFFFF",0,1)+IF(getRGB1($D1947)="FFFFFF",0,2)+IF(getRGB1($E1947)="FFFFFF",0,3)+IF(getRGB1($F1947)="FFFFFF",0,4)</f>
        <v>4</v>
      </c>
    </row>
    <row r="1948" spans="1:7" ht="63.75">
      <c r="A1948" t="s">
        <v>8683</v>
      </c>
      <c r="B1948" s="269" t="s">
        <v>5581</v>
      </c>
      <c r="C1948" s="366" t="s">
        <v>5582</v>
      </c>
      <c r="D1948" s="276" t="s">
        <v>5578</v>
      </c>
      <c r="E1948" s="276" t="s">
        <v>179</v>
      </c>
      <c r="F1948" s="276" t="s">
        <v>137</v>
      </c>
      <c r="G1948">
        <f>IF(getRGB1($C1948)="FFFFFF",0,1)+IF(getRGB1($D1948)="FFFFFF",0,2)+IF(getRGB1($E1948)="FFFFFF",0,3)+IF(getRGB1($F1948)="FFFFFF",0,4)</f>
        <v>1</v>
      </c>
    </row>
    <row r="1949" spans="1:7" ht="30">
      <c r="A1949" t="s">
        <v>8683</v>
      </c>
      <c r="B1949" s="97" t="s">
        <v>5583</v>
      </c>
      <c r="C1949" s="115" t="b">
        <v>1</v>
      </c>
      <c r="D1949" s="113" t="b">
        <v>0</v>
      </c>
      <c r="E1949" s="113"/>
      <c r="F1949" s="113"/>
      <c r="G1949">
        <f>IF(getRGB1($C1949)="FFFFFF",0,1)+IF(getRGB1($D1949)="FFFFFF",0,2)+IF(getRGB1($E1949)="FFFFFF",0,3)+IF(getRGB1($F1949)="FFFFFF",0,4)</f>
        <v>1</v>
      </c>
    </row>
    <row r="1950" spans="1:7" ht="105">
      <c r="A1950" t="s">
        <v>8683</v>
      </c>
      <c r="B1950" s="97" t="s">
        <v>6649</v>
      </c>
      <c r="C1950" s="366" t="s">
        <v>5584</v>
      </c>
      <c r="D1950" s="113" t="s">
        <v>5585</v>
      </c>
      <c r="E1950" s="113" t="s">
        <v>5586</v>
      </c>
      <c r="F1950" s="113" t="s">
        <v>5587</v>
      </c>
      <c r="G1950">
        <f>IF(getRGB1($C1950)="FFFFFF",0,1)+IF(getRGB1($D1950)="FFFFFF",0,2)+IF(getRGB1($E1950)="FFFFFF",0,3)+IF(getRGB1($F1950)="FFFFFF",0,4)</f>
        <v>1</v>
      </c>
    </row>
    <row r="1951" spans="1:7" ht="30">
      <c r="A1951" t="s">
        <v>8683</v>
      </c>
      <c r="B1951" s="97" t="s">
        <v>5588</v>
      </c>
      <c r="C1951" s="366" t="s">
        <v>137</v>
      </c>
      <c r="D1951" s="113" t="s">
        <v>179</v>
      </c>
      <c r="E1951" s="113" t="s">
        <v>5589</v>
      </c>
      <c r="F1951" s="113" t="s">
        <v>5590</v>
      </c>
      <c r="G1951">
        <f>IF(getRGB1($C1951)="FFFFFF",0,1)+IF(getRGB1($D1951)="FFFFFF",0,2)+IF(getRGB1($E1951)="FFFFFF",0,3)+IF(getRGB1($F1951)="FFFFFF",0,4)</f>
        <v>1</v>
      </c>
    </row>
    <row r="1952" spans="1:7" ht="45">
      <c r="A1952" t="s">
        <v>8683</v>
      </c>
      <c r="B1952" s="97" t="s">
        <v>5591</v>
      </c>
      <c r="C1952" s="113" t="s">
        <v>137</v>
      </c>
      <c r="D1952" s="113" t="s">
        <v>179</v>
      </c>
      <c r="E1952" s="366" t="s">
        <v>5589</v>
      </c>
      <c r="F1952" s="113" t="s">
        <v>5590</v>
      </c>
      <c r="G1952">
        <f>IF(getRGB1($C1952)="FFFFFF",0,1)+IF(getRGB1($D1952)="FFFFFF",0,2)+IF(getRGB1($E1952)="FFFFFF",0,3)+IF(getRGB1($F1952)="FFFFFF",0,4)</f>
        <v>3</v>
      </c>
    </row>
    <row r="1953" spans="1:7" ht="45">
      <c r="A1953" t="s">
        <v>8683</v>
      </c>
      <c r="B1953" s="97" t="s">
        <v>5592</v>
      </c>
      <c r="C1953" s="113" t="s">
        <v>5593</v>
      </c>
      <c r="D1953" s="113" t="s">
        <v>179</v>
      </c>
      <c r="E1953" s="113" t="s">
        <v>137</v>
      </c>
      <c r="F1953" s="366" t="s">
        <v>2812</v>
      </c>
      <c r="G1953">
        <f>IF(getRGB1($C1953)="FFFFFF",0,1)+IF(getRGB1($D1953)="FFFFFF",0,2)+IF(getRGB1($E1953)="FFFFFF",0,3)+IF(getRGB1($F1953)="FFFFFF",0,4)</f>
        <v>4</v>
      </c>
    </row>
    <row r="1954" spans="1:7" ht="30">
      <c r="A1954" t="s">
        <v>8683</v>
      </c>
      <c r="B1954" s="97" t="s">
        <v>5594</v>
      </c>
      <c r="C1954" s="366" t="s">
        <v>5595</v>
      </c>
      <c r="D1954" s="113" t="s">
        <v>5596</v>
      </c>
      <c r="E1954" s="113" t="s">
        <v>5554</v>
      </c>
      <c r="F1954" s="113" t="s">
        <v>5597</v>
      </c>
      <c r="G1954">
        <f>IF(getRGB1($C1954)="FFFFFF",0,1)+IF(getRGB1($D1954)="FFFFFF",0,2)+IF(getRGB1($E1954)="FFFFFF",0,3)+IF(getRGB1($F1954)="FFFFFF",0,4)</f>
        <v>1</v>
      </c>
    </row>
    <row r="1955" spans="1:7" ht="30">
      <c r="A1955" t="s">
        <v>8683</v>
      </c>
      <c r="B1955" s="97" t="s">
        <v>5598</v>
      </c>
      <c r="C1955" s="115" t="b">
        <v>1</v>
      </c>
      <c r="D1955" s="113" t="b">
        <v>0</v>
      </c>
      <c r="E1955" s="113"/>
      <c r="F1955" s="113"/>
      <c r="G1955">
        <f>IF(getRGB1($C1955)="FFFFFF",0,1)+IF(getRGB1($D1955)="FFFFFF",0,2)+IF(getRGB1($E1955)="FFFFFF",0,3)+IF(getRGB1($F1955)="FFFFFF",0,4)</f>
        <v>1</v>
      </c>
    </row>
    <row r="1956" spans="1:7" ht="76.5">
      <c r="A1956" t="s">
        <v>8683</v>
      </c>
      <c r="B1956" s="97" t="s">
        <v>5599</v>
      </c>
      <c r="C1956" s="366" t="s">
        <v>5600</v>
      </c>
      <c r="D1956" s="276" t="s">
        <v>179</v>
      </c>
      <c r="E1956" s="276" t="s">
        <v>137</v>
      </c>
      <c r="F1956" s="113"/>
      <c r="G1956">
        <f>IF(getRGB1($C1956)="FFFFFF",0,1)+IF(getRGB1($D1956)="FFFFFF",0,2)+IF(getRGB1($E1956)="FFFFFF",0,3)+IF(getRGB1($F1956)="FFFFFF",0,4)</f>
        <v>1</v>
      </c>
    </row>
    <row r="1957" spans="1:7" ht="30">
      <c r="A1957" t="s">
        <v>8683</v>
      </c>
      <c r="B1957" s="97" t="s">
        <v>5601</v>
      </c>
      <c r="C1957" s="366" t="s">
        <v>5602</v>
      </c>
      <c r="D1957" s="113" t="s">
        <v>5603</v>
      </c>
      <c r="E1957" s="113" t="s">
        <v>5604</v>
      </c>
      <c r="F1957" s="113" t="s">
        <v>5605</v>
      </c>
      <c r="G1957">
        <f>IF(getRGB1($C1957)="FFFFFF",0,1)+IF(getRGB1($D1957)="FFFFFF",0,2)+IF(getRGB1($E1957)="FFFFFF",0,3)+IF(getRGB1($F1957)="FFFFFF",0,4)</f>
        <v>1</v>
      </c>
    </row>
    <row r="1958" spans="1:7" ht="30">
      <c r="A1958" t="s">
        <v>8683</v>
      </c>
      <c r="B1958" s="97" t="s">
        <v>5606</v>
      </c>
      <c r="C1958" s="366" t="s">
        <v>5602</v>
      </c>
      <c r="D1958" s="113" t="s">
        <v>5603</v>
      </c>
      <c r="E1958" s="113" t="s">
        <v>5604</v>
      </c>
      <c r="F1958" s="113" t="s">
        <v>5605</v>
      </c>
      <c r="G1958">
        <f>IF(getRGB1($C1958)="FFFFFF",0,1)+IF(getRGB1($D1958)="FFFFFF",0,2)+IF(getRGB1($E1958)="FFFFFF",0,3)+IF(getRGB1($F1958)="FFFFFF",0,4)</f>
        <v>1</v>
      </c>
    </row>
    <row r="1959" spans="1:7" ht="45">
      <c r="A1959" t="s">
        <v>8683</v>
      </c>
      <c r="B1959" s="97" t="s">
        <v>5607</v>
      </c>
      <c r="C1959" s="366" t="s">
        <v>5608</v>
      </c>
      <c r="D1959" s="113" t="s">
        <v>5609</v>
      </c>
      <c r="E1959" s="113" t="s">
        <v>5610</v>
      </c>
      <c r="F1959" s="113" t="s">
        <v>5611</v>
      </c>
      <c r="G1959">
        <f>IF(getRGB1($C1959)="FFFFFF",0,1)+IF(getRGB1($D1959)="FFFFFF",0,2)+IF(getRGB1($E1959)="FFFFFF",0,3)+IF(getRGB1($F1959)="FFFFFF",0,4)</f>
        <v>1</v>
      </c>
    </row>
    <row r="1960" spans="1:7" ht="30">
      <c r="A1960" t="s">
        <v>8683</v>
      </c>
      <c r="B1960" s="97" t="s">
        <v>5612</v>
      </c>
      <c r="C1960" s="366" t="s">
        <v>5613</v>
      </c>
      <c r="D1960" s="113" t="s">
        <v>5614</v>
      </c>
      <c r="E1960" s="113" t="s">
        <v>5615</v>
      </c>
      <c r="F1960" s="113" t="s">
        <v>5616</v>
      </c>
      <c r="G1960">
        <f>IF(getRGB1($C1960)="FFFFFF",0,1)+IF(getRGB1($D1960)="FFFFFF",0,2)+IF(getRGB1($E1960)="FFFFFF",0,3)+IF(getRGB1($F1960)="FFFFFF",0,4)</f>
        <v>1</v>
      </c>
    </row>
    <row r="1961" spans="1:7" ht="30">
      <c r="A1961" t="s">
        <v>8683</v>
      </c>
      <c r="B1961" s="97" t="s">
        <v>5617</v>
      </c>
      <c r="C1961" s="113" t="s">
        <v>5613</v>
      </c>
      <c r="D1961" s="366" t="s">
        <v>5614</v>
      </c>
      <c r="E1961" s="113" t="s">
        <v>5615</v>
      </c>
      <c r="F1961" s="113" t="s">
        <v>5616</v>
      </c>
      <c r="G1961">
        <f>IF(getRGB1($C1961)="FFFFFF",0,1)+IF(getRGB1($D1961)="FFFFFF",0,2)+IF(getRGB1($E1961)="FFFFFF",0,3)+IF(getRGB1($F1961)="FFFFFF",0,4)</f>
        <v>2</v>
      </c>
    </row>
    <row r="1962" spans="1:7" ht="30">
      <c r="A1962" t="s">
        <v>8683</v>
      </c>
      <c r="B1962" s="97" t="s">
        <v>5618</v>
      </c>
      <c r="C1962" s="115">
        <v>519</v>
      </c>
      <c r="D1962" s="113">
        <v>419</v>
      </c>
      <c r="E1962" s="113">
        <v>319</v>
      </c>
      <c r="F1962" s="113">
        <v>619</v>
      </c>
      <c r="G1962">
        <f>IF(getRGB1($C1962)="FFFFFF",0,1)+IF(getRGB1($D1962)="FFFFFF",0,2)+IF(getRGB1($E1962)="FFFFFF",0,3)+IF(getRGB1($F1962)="FFFFFF",0,4)</f>
        <v>1</v>
      </c>
    </row>
    <row r="1963" spans="1:7" ht="60">
      <c r="A1963" t="s">
        <v>8683</v>
      </c>
      <c r="B1963" s="97" t="s">
        <v>5619</v>
      </c>
      <c r="C1963" s="366" t="s">
        <v>5620</v>
      </c>
      <c r="D1963" s="113" t="s">
        <v>5621</v>
      </c>
      <c r="E1963" s="113" t="s">
        <v>5622</v>
      </c>
      <c r="F1963" s="113" t="s">
        <v>5623</v>
      </c>
      <c r="G1963">
        <f>IF(getRGB1($C1963)="FFFFFF",0,1)+IF(getRGB1($D1963)="FFFFFF",0,2)+IF(getRGB1($E1963)="FFFFFF",0,3)+IF(getRGB1($F1963)="FFFFFF",0,4)</f>
        <v>1</v>
      </c>
    </row>
    <row r="1964" spans="1:7" ht="60">
      <c r="A1964" t="s">
        <v>8683</v>
      </c>
      <c r="B1964" s="97" t="s">
        <v>5624</v>
      </c>
      <c r="C1964" s="113" t="s">
        <v>5625</v>
      </c>
      <c r="D1964" s="113" t="s">
        <v>5621</v>
      </c>
      <c r="E1964" s="366" t="s">
        <v>5622</v>
      </c>
      <c r="F1964" s="113" t="s">
        <v>5623</v>
      </c>
      <c r="G1964">
        <f>IF(getRGB1($C1964)="FFFFFF",0,1)+IF(getRGB1($D1964)="FFFFFF",0,2)+IF(getRGB1($E1964)="FFFFFF",0,3)+IF(getRGB1($F1964)="FFFFFF",0,4)</f>
        <v>3</v>
      </c>
    </row>
    <row r="1965" spans="1:7" ht="60">
      <c r="A1965" t="s">
        <v>8683</v>
      </c>
      <c r="B1965" s="97" t="s">
        <v>5626</v>
      </c>
      <c r="C1965" s="113" t="s">
        <v>5621</v>
      </c>
      <c r="D1965" s="113" t="s">
        <v>5622</v>
      </c>
      <c r="E1965" s="366" t="s">
        <v>5627</v>
      </c>
      <c r="F1965" s="113" t="s">
        <v>5623</v>
      </c>
      <c r="G1965">
        <f>IF(getRGB1($C1965)="FFFFFF",0,1)+IF(getRGB1($D1965)="FFFFFF",0,2)+IF(getRGB1($E1965)="FFFFFF",0,3)+IF(getRGB1($F1965)="FFFFFF",0,4)</f>
        <v>3</v>
      </c>
    </row>
    <row r="1966" spans="1:7" ht="45">
      <c r="A1966" t="s">
        <v>8683</v>
      </c>
      <c r="B1966" s="97" t="s">
        <v>5628</v>
      </c>
      <c r="C1966" s="404">
        <v>1.05</v>
      </c>
      <c r="D1966" s="405">
        <v>1.1000000000000001</v>
      </c>
      <c r="E1966" s="405">
        <v>1</v>
      </c>
      <c r="F1966" s="405">
        <v>1.25</v>
      </c>
      <c r="G1966">
        <f>IF(getRGB1($C1966)="FFFFFF",0,1)+IF(getRGB1($D1966)="FFFFFF",0,2)+IF(getRGB1($E1966)="FFFFFF",0,3)+IF(getRGB1($F1966)="FFFFFF",0,4)</f>
        <v>1</v>
      </c>
    </row>
    <row r="1967" spans="1:7" ht="30">
      <c r="A1967" t="s">
        <v>8683</v>
      </c>
      <c r="B1967" s="97" t="s">
        <v>5629</v>
      </c>
      <c r="C1967" s="405">
        <v>1.05</v>
      </c>
      <c r="D1967" s="404">
        <v>1.1000000000000001</v>
      </c>
      <c r="E1967" s="405">
        <v>1</v>
      </c>
      <c r="F1967" s="405">
        <v>1.25</v>
      </c>
      <c r="G1967">
        <f>IF(getRGB1($C1967)="FFFFFF",0,1)+IF(getRGB1($D1967)="FFFFFF",0,2)+IF(getRGB1($E1967)="FFFFFF",0,3)+IF(getRGB1($F1967)="FFFFFF",0,4)</f>
        <v>2</v>
      </c>
    </row>
    <row r="1968" spans="1:7" ht="45">
      <c r="A1968" t="s">
        <v>8683</v>
      </c>
      <c r="B1968" s="97" t="s">
        <v>5630</v>
      </c>
      <c r="C1968" s="113" t="s">
        <v>1287</v>
      </c>
      <c r="D1968" s="366" t="s">
        <v>1288</v>
      </c>
      <c r="E1968" s="113" t="s">
        <v>1439</v>
      </c>
      <c r="F1968" s="113" t="s">
        <v>5631</v>
      </c>
      <c r="G1968">
        <f>IF(getRGB1($C1968)="FFFFFF",0,1)+IF(getRGB1($D1968)="FFFFFF",0,2)+IF(getRGB1($E1968)="FFFFFF",0,3)+IF(getRGB1($F1968)="FFFFFF",0,4)</f>
        <v>2</v>
      </c>
    </row>
    <row r="1969" spans="1:7" ht="30">
      <c r="A1969" t="s">
        <v>8683</v>
      </c>
      <c r="B1969" s="97" t="s">
        <v>5632</v>
      </c>
      <c r="C1969" s="115" t="s">
        <v>5633</v>
      </c>
      <c r="D1969" s="113" t="s">
        <v>5596</v>
      </c>
      <c r="E1969" s="113" t="s">
        <v>5554</v>
      </c>
      <c r="F1969" s="113" t="s">
        <v>5634</v>
      </c>
      <c r="G1969">
        <f>IF(getRGB1($C1969)="FFFFFF",0,1)+IF(getRGB1($D1969)="FFFFFF",0,2)+IF(getRGB1($E1969)="FFFFFF",0,3)+IF(getRGB1($F1969)="FFFFFF",0,4)</f>
        <v>1</v>
      </c>
    </row>
    <row r="1970" spans="1:7" ht="76.5">
      <c r="A1970" t="s">
        <v>8683</v>
      </c>
      <c r="B1970" s="97" t="s">
        <v>5635</v>
      </c>
      <c r="C1970" s="366" t="s">
        <v>5636</v>
      </c>
      <c r="D1970" s="113" t="s">
        <v>5637</v>
      </c>
      <c r="E1970" s="113" t="s">
        <v>5638</v>
      </c>
      <c r="F1970" s="113" t="s">
        <v>5639</v>
      </c>
      <c r="G1970">
        <f>IF(getRGB1($C1970)="FFFFFF",0,1)+IF(getRGB1($D1970)="FFFFFF",0,2)+IF(getRGB1($E1970)="FFFFFF",0,3)+IF(getRGB1($F1970)="FFFFFF",0,4)</f>
        <v>1</v>
      </c>
    </row>
    <row r="1971" spans="1:7" ht="105">
      <c r="A1971" t="s">
        <v>8683</v>
      </c>
      <c r="B1971" s="97" t="s">
        <v>5640</v>
      </c>
      <c r="C1971" s="113" t="s">
        <v>5636</v>
      </c>
      <c r="D1971" s="366" t="s">
        <v>5637</v>
      </c>
      <c r="E1971" s="113" t="s">
        <v>5638</v>
      </c>
      <c r="F1971" s="113" t="s">
        <v>5639</v>
      </c>
      <c r="G1971">
        <f>IF(getRGB1($C1971)="FFFFFF",0,1)+IF(getRGB1($D1971)="FFFFFF",0,2)+IF(getRGB1($E1971)="FFFFFF",0,3)+IF(getRGB1($F1971)="FFFFFF",0,4)</f>
        <v>2</v>
      </c>
    </row>
    <row r="1972" spans="1:7" ht="105">
      <c r="A1972" t="s">
        <v>8683</v>
      </c>
      <c r="B1972" s="97" t="s">
        <v>5641</v>
      </c>
      <c r="C1972" s="113" t="s">
        <v>5636</v>
      </c>
      <c r="D1972" s="113" t="s">
        <v>5637</v>
      </c>
      <c r="E1972" s="366" t="s">
        <v>5638</v>
      </c>
      <c r="F1972" s="113" t="s">
        <v>5639</v>
      </c>
      <c r="G1972">
        <f>IF(getRGB1($C1972)="FFFFFF",0,1)+IF(getRGB1($D1972)="FFFFFF",0,2)+IF(getRGB1($E1972)="FFFFFF",0,3)+IF(getRGB1($F1972)="FFFFFF",0,4)</f>
        <v>3</v>
      </c>
    </row>
    <row r="1973" spans="1:7" ht="105">
      <c r="A1973" t="s">
        <v>8683</v>
      </c>
      <c r="B1973" s="97" t="s">
        <v>5642</v>
      </c>
      <c r="C1973" s="113" t="s">
        <v>5636</v>
      </c>
      <c r="D1973" s="113" t="s">
        <v>5637</v>
      </c>
      <c r="E1973" s="113" t="s">
        <v>5638</v>
      </c>
      <c r="F1973" s="366" t="s">
        <v>5643</v>
      </c>
      <c r="G1973">
        <f>IF(getRGB1($C1973)="FFFFFF",0,1)+IF(getRGB1($D1973)="FFFFFF",0,2)+IF(getRGB1($E1973)="FFFFFF",0,3)+IF(getRGB1($F1973)="FFFFFF",0,4)</f>
        <v>4</v>
      </c>
    </row>
    <row r="1974" spans="1:7" ht="30">
      <c r="A1974" t="s">
        <v>8683</v>
      </c>
      <c r="B1974" s="97" t="s">
        <v>5644</v>
      </c>
      <c r="C1974" s="366" t="s">
        <v>5645</v>
      </c>
      <c r="D1974" s="113" t="s">
        <v>5637</v>
      </c>
      <c r="E1974" s="113" t="s">
        <v>5638</v>
      </c>
      <c r="F1974" s="113" t="s">
        <v>5639</v>
      </c>
      <c r="G1974">
        <f>IF(getRGB1($C1974)="FFFFFF",0,1)+IF(getRGB1($D1974)="FFFFFF",0,2)+IF(getRGB1($E1974)="FFFFFF",0,3)+IF(getRGB1($F1974)="FFFFFF",0,4)</f>
        <v>1</v>
      </c>
    </row>
    <row r="1975" spans="1:7" ht="30">
      <c r="A1975" t="s">
        <v>8683</v>
      </c>
      <c r="B1975" s="97" t="s">
        <v>5646</v>
      </c>
      <c r="C1975" s="366">
        <v>0.95</v>
      </c>
      <c r="D1975" s="113">
        <v>0.9</v>
      </c>
      <c r="E1975" s="113">
        <v>0.85</v>
      </c>
      <c r="F1975" s="113">
        <v>1</v>
      </c>
      <c r="G1975">
        <f>IF(getRGB1($C1975)="FFFFFF",0,1)+IF(getRGB1($D1975)="FFFFFF",0,2)+IF(getRGB1($E1975)="FFFFFF",0,3)+IF(getRGB1($F1975)="FFFFFF",0,4)</f>
        <v>1</v>
      </c>
    </row>
    <row r="1976" spans="1:7" ht="45">
      <c r="A1976" t="s">
        <v>8683</v>
      </c>
      <c r="B1976" s="97" t="s">
        <v>5647</v>
      </c>
      <c r="C1976" s="366" t="s">
        <v>5648</v>
      </c>
      <c r="D1976" s="113" t="s">
        <v>5649</v>
      </c>
      <c r="E1976" s="113" t="s">
        <v>5650</v>
      </c>
      <c r="F1976" s="113" t="s">
        <v>5651</v>
      </c>
      <c r="G1976">
        <f>IF(getRGB1($C1976)="FFFFFF",0,1)+IF(getRGB1($D1976)="FFFFFF",0,2)+IF(getRGB1($E1976)="FFFFFF",0,3)+IF(getRGB1($F1976)="FFFFFF",0,4)</f>
        <v>1</v>
      </c>
    </row>
    <row r="1977" spans="1:7" ht="45">
      <c r="A1977" t="s">
        <v>8683</v>
      </c>
      <c r="B1977" s="97" t="s">
        <v>5652</v>
      </c>
      <c r="C1977" s="406">
        <v>0.08</v>
      </c>
      <c r="D1977" s="405">
        <v>0.05</v>
      </c>
      <c r="E1977" s="405">
        <v>7.0000000000000007E-2</v>
      </c>
      <c r="F1977" s="405">
        <v>0.03</v>
      </c>
      <c r="G1977">
        <f>IF(getRGB1($C1977)="FFFFFF",0,1)+IF(getRGB1($D1977)="FFFFFF",0,2)+IF(getRGB1($E1977)="FFFFFF",0,3)+IF(getRGB1($F1977)="FFFFFF",0,4)</f>
        <v>1</v>
      </c>
    </row>
    <row r="1978" spans="1:7" ht="30">
      <c r="A1978" t="s">
        <v>8683</v>
      </c>
      <c r="B1978" s="97" t="s">
        <v>5653</v>
      </c>
      <c r="C1978" s="406">
        <v>0.03</v>
      </c>
      <c r="D1978" s="405">
        <v>0.05</v>
      </c>
      <c r="E1978" s="405">
        <v>7.0000000000000007E-2</v>
      </c>
      <c r="F1978" s="405">
        <v>0.08</v>
      </c>
      <c r="G1978">
        <f>IF(getRGB1($C1978)="FFFFFF",0,1)+IF(getRGB1($D1978)="FFFFFF",0,2)+IF(getRGB1($E1978)="FFFFFF",0,3)+IF(getRGB1($F1978)="FFFFFF",0,4)</f>
        <v>1</v>
      </c>
    </row>
    <row r="1979" spans="1:7" ht="45">
      <c r="A1979" t="s">
        <v>8683</v>
      </c>
      <c r="B1979" s="97" t="s">
        <v>5654</v>
      </c>
      <c r="C1979" s="113" t="s">
        <v>5655</v>
      </c>
      <c r="D1979" s="113" t="s">
        <v>5656</v>
      </c>
      <c r="E1979" s="113" t="s">
        <v>5657</v>
      </c>
      <c r="F1979" s="366" t="s">
        <v>5658</v>
      </c>
      <c r="G1979">
        <f>IF(getRGB1($C1979)="FFFFFF",0,1)+IF(getRGB1($D1979)="FFFFFF",0,2)+IF(getRGB1($E1979)="FFFFFF",0,3)+IF(getRGB1($F1979)="FFFFFF",0,4)</f>
        <v>4</v>
      </c>
    </row>
    <row r="1980" spans="1:7" ht="45">
      <c r="A1980" t="s">
        <v>8683</v>
      </c>
      <c r="B1980" s="106" t="s">
        <v>5659</v>
      </c>
      <c r="C1980" s="113" t="s">
        <v>5655</v>
      </c>
      <c r="D1980" s="113" t="s">
        <v>5657</v>
      </c>
      <c r="E1980" s="115" t="s">
        <v>5660</v>
      </c>
      <c r="F1980" s="113" t="s">
        <v>3359</v>
      </c>
      <c r="G1980">
        <f>IF(getRGB1($C1980)="FFFFFF",0,1)+IF(getRGB1($D1980)="FFFFFF",0,2)+IF(getRGB1($E1980)="FFFFFF",0,3)+IF(getRGB1($F1980)="FFFFFF",0,4)</f>
        <v>3</v>
      </c>
    </row>
    <row r="1981" spans="1:7" ht="45">
      <c r="A1981" t="s">
        <v>8683</v>
      </c>
      <c r="B1981" s="106" t="s">
        <v>5661</v>
      </c>
      <c r="C1981" s="113" t="s">
        <v>5662</v>
      </c>
      <c r="D1981" s="113" t="s">
        <v>5663</v>
      </c>
      <c r="E1981" s="115" t="s">
        <v>5664</v>
      </c>
      <c r="F1981" s="113" t="s">
        <v>328</v>
      </c>
      <c r="G1981">
        <f>IF(getRGB1($C1981)="FFFFFF",0,1)+IF(getRGB1($D1981)="FFFFFF",0,2)+IF(getRGB1($E1981)="FFFFFF",0,3)+IF(getRGB1($F1981)="FFFFFF",0,4)</f>
        <v>3</v>
      </c>
    </row>
    <row r="1982" spans="1:7" ht="45">
      <c r="A1982" t="s">
        <v>8683</v>
      </c>
      <c r="B1982" s="106" t="s">
        <v>5665</v>
      </c>
      <c r="C1982" s="113" t="s">
        <v>5666</v>
      </c>
      <c r="D1982" s="113" t="s">
        <v>5667</v>
      </c>
      <c r="E1982" s="115" t="s">
        <v>5571</v>
      </c>
      <c r="F1982" s="113" t="s">
        <v>328</v>
      </c>
      <c r="G1982">
        <f>IF(getRGB1($C1982)="FFFFFF",0,1)+IF(getRGB1($D1982)="FFFFFF",0,2)+IF(getRGB1($E1982)="FFFFFF",0,3)+IF(getRGB1($F1982)="FFFFFF",0,4)</f>
        <v>3</v>
      </c>
    </row>
    <row r="1983" spans="1:7" ht="60">
      <c r="A1983" t="s">
        <v>8683</v>
      </c>
      <c r="B1983" s="106" t="s">
        <v>5668</v>
      </c>
      <c r="C1983" s="113" t="s">
        <v>5669</v>
      </c>
      <c r="D1983" s="115" t="s">
        <v>5670</v>
      </c>
      <c r="E1983" s="113" t="s">
        <v>179</v>
      </c>
      <c r="F1983" s="113" t="s">
        <v>5671</v>
      </c>
      <c r="G1983">
        <f>IF(getRGB1($C1983)="FFFFFF",0,1)+IF(getRGB1($D1983)="FFFFFF",0,2)+IF(getRGB1($E1983)="FFFFFF",0,3)+IF(getRGB1($F1983)="FFFFFF",0,4)</f>
        <v>2</v>
      </c>
    </row>
    <row r="1984" spans="1:7" ht="30">
      <c r="A1984" t="s">
        <v>8683</v>
      </c>
      <c r="B1984" s="106" t="s">
        <v>5672</v>
      </c>
      <c r="C1984" s="115" t="s">
        <v>5673</v>
      </c>
      <c r="D1984" s="113" t="s">
        <v>5674</v>
      </c>
      <c r="E1984" s="113" t="s">
        <v>5675</v>
      </c>
      <c r="F1984" s="113" t="s">
        <v>5676</v>
      </c>
      <c r="G1984">
        <f>IF(getRGB1($C1984)="FFFFFF",0,1)+IF(getRGB1($D1984)="FFFFFF",0,2)+IF(getRGB1($E1984)="FFFFFF",0,3)+IF(getRGB1($F1984)="FFFFFF",0,4)</f>
        <v>1</v>
      </c>
    </row>
    <row r="1985" spans="1:7" ht="45">
      <c r="A1985" t="s">
        <v>8683</v>
      </c>
      <c r="B1985" s="97" t="s">
        <v>5677</v>
      </c>
      <c r="C1985" s="115" t="b">
        <v>1</v>
      </c>
      <c r="D1985" s="113" t="b">
        <v>0</v>
      </c>
      <c r="E1985" s="113"/>
      <c r="F1985" s="113"/>
      <c r="G1985">
        <f>IF(getRGB1($C1985)="FFFFFF",0,1)+IF(getRGB1($D1985)="FFFFFF",0,2)+IF(getRGB1($E1985)="FFFFFF",0,3)+IF(getRGB1($F1985)="FFFFFF",0,4)</f>
        <v>1</v>
      </c>
    </row>
    <row r="1986" spans="1:7" ht="45">
      <c r="A1986" t="s">
        <v>8683</v>
      </c>
      <c r="B1986" s="97" t="s">
        <v>5678</v>
      </c>
      <c r="C1986" s="115" t="s">
        <v>5679</v>
      </c>
      <c r="D1986" s="113" t="s">
        <v>5680</v>
      </c>
      <c r="E1986" s="113" t="s">
        <v>5681</v>
      </c>
      <c r="F1986" s="113" t="s">
        <v>5682</v>
      </c>
      <c r="G1986">
        <f>IF(getRGB1($C1986)="FFFFFF",0,1)+IF(getRGB1($D1986)="FFFFFF",0,2)+IF(getRGB1($E1986)="FFFFFF",0,3)+IF(getRGB1($F1986)="FFFFFF",0,4)</f>
        <v>1</v>
      </c>
    </row>
    <row r="1987" spans="1:7">
      <c r="A1987" t="s">
        <v>8683</v>
      </c>
      <c r="B1987" s="106" t="s">
        <v>5683</v>
      </c>
      <c r="C1987" s="115" t="s">
        <v>5684</v>
      </c>
      <c r="D1987" s="113" t="s">
        <v>5685</v>
      </c>
      <c r="E1987" s="113" t="s">
        <v>5686</v>
      </c>
      <c r="F1987" s="113" t="s">
        <v>5687</v>
      </c>
      <c r="G1987">
        <f>IF(getRGB1($C1987)="FFFFFF",0,1)+IF(getRGB1($D1987)="FFFFFF",0,2)+IF(getRGB1($E1987)="FFFFFF",0,3)+IF(getRGB1($F1987)="FFFFFF",0,4)</f>
        <v>1</v>
      </c>
    </row>
    <row r="1988" spans="1:7" ht="60">
      <c r="A1988" t="s">
        <v>8683</v>
      </c>
      <c r="B1988" s="97" t="s">
        <v>5688</v>
      </c>
      <c r="C1988" s="113" t="s">
        <v>5684</v>
      </c>
      <c r="D1988" s="113" t="s">
        <v>5689</v>
      </c>
      <c r="E1988" s="113" t="s">
        <v>5690</v>
      </c>
      <c r="F1988" s="115" t="s">
        <v>5691</v>
      </c>
      <c r="G1988">
        <f>IF(getRGB1($C1988)="FFFFFF",0,1)+IF(getRGB1($D1988)="FFFFFF",0,2)+IF(getRGB1($E1988)="FFFFFF",0,3)+IF(getRGB1($F1988)="FFFFFF",0,4)</f>
        <v>4</v>
      </c>
    </row>
    <row r="1989" spans="1:7" ht="45">
      <c r="A1989" t="s">
        <v>8683</v>
      </c>
      <c r="B1989" s="97" t="s">
        <v>5692</v>
      </c>
      <c r="C1989" s="407">
        <v>1E-3</v>
      </c>
      <c r="D1989" s="408">
        <v>5.0000000000000001E-3</v>
      </c>
      <c r="E1989" s="405">
        <v>0.01</v>
      </c>
      <c r="F1989" s="405">
        <v>0.02</v>
      </c>
      <c r="G1989">
        <f>IF(getRGB1($C1989)="FFFFFF",0,1)+IF(getRGB1($D1989)="FFFFFF",0,2)+IF(getRGB1($E1989)="FFFFFF",0,3)+IF(getRGB1($F1989)="FFFFFF",0,4)</f>
        <v>2</v>
      </c>
    </row>
    <row r="1990" spans="1:7" ht="60">
      <c r="A1990" t="s">
        <v>8683</v>
      </c>
      <c r="B1990" s="106" t="s">
        <v>5693</v>
      </c>
      <c r="C1990" s="115" t="s">
        <v>5694</v>
      </c>
      <c r="D1990" s="113" t="s">
        <v>5695</v>
      </c>
      <c r="E1990" s="113" t="s">
        <v>5696</v>
      </c>
      <c r="F1990" s="113" t="s">
        <v>5697</v>
      </c>
      <c r="G1990">
        <f>IF(getRGB1($C1990)="FFFFFF",0,1)+IF(getRGB1($D1990)="FFFFFF",0,2)+IF(getRGB1($E1990)="FFFFFF",0,3)+IF(getRGB1($F1990)="FFFFFF",0,4)</f>
        <v>1</v>
      </c>
    </row>
    <row r="1991" spans="1:7" ht="30">
      <c r="A1991" t="s">
        <v>8683</v>
      </c>
      <c r="B1991" s="106" t="s">
        <v>5698</v>
      </c>
      <c r="C1991" s="113" t="s">
        <v>5699</v>
      </c>
      <c r="D1991" s="113" t="s">
        <v>5700</v>
      </c>
      <c r="E1991" s="115" t="s">
        <v>5701</v>
      </c>
      <c r="F1991" s="113" t="s">
        <v>5702</v>
      </c>
      <c r="G1991">
        <f>IF(getRGB1($C1991)="FFFFFF",0,1)+IF(getRGB1($D1991)="FFFFFF",0,2)+IF(getRGB1($E1991)="FFFFFF",0,3)+IF(getRGB1($F1991)="FFFFFF",0,4)</f>
        <v>3</v>
      </c>
    </row>
    <row r="1992" spans="1:7" ht="60">
      <c r="A1992" t="s">
        <v>8683</v>
      </c>
      <c r="B1992" s="97" t="s">
        <v>5703</v>
      </c>
      <c r="C1992" s="115" t="s">
        <v>5704</v>
      </c>
      <c r="D1992" s="113" t="s">
        <v>5622</v>
      </c>
      <c r="E1992" s="113" t="s">
        <v>5627</v>
      </c>
      <c r="F1992" s="113" t="s">
        <v>5623</v>
      </c>
      <c r="G1992">
        <f>IF(getRGB1($C1992)="FFFFFF",0,1)+IF(getRGB1($D1992)="FFFFFF",0,2)+IF(getRGB1($E1992)="FFFFFF",0,3)+IF(getRGB1($F1992)="FFFFFF",0,4)</f>
        <v>1</v>
      </c>
    </row>
    <row r="1993" spans="1:7" ht="75">
      <c r="A1993" t="s">
        <v>8683</v>
      </c>
      <c r="B1993" s="106" t="s">
        <v>5705</v>
      </c>
      <c r="C1993" s="113" t="b">
        <v>0</v>
      </c>
      <c r="D1993" s="115" t="b">
        <v>1</v>
      </c>
      <c r="E1993" s="113"/>
      <c r="F1993" s="113"/>
      <c r="G1993">
        <f>IF(getRGB1($C1993)="FFFFFF",0,1)+IF(getRGB1($D1993)="FFFFFF",0,2)+IF(getRGB1($E1993)="FFFFFF",0,3)+IF(getRGB1($F1993)="FFFFFF",0,4)</f>
        <v>2</v>
      </c>
    </row>
    <row r="1994" spans="1:7" ht="45">
      <c r="A1994" t="s">
        <v>8683</v>
      </c>
      <c r="B1994" s="106" t="s">
        <v>5706</v>
      </c>
      <c r="C1994" s="115" t="s">
        <v>5707</v>
      </c>
      <c r="D1994" s="113" t="s">
        <v>5660</v>
      </c>
      <c r="E1994" s="113" t="s">
        <v>5689</v>
      </c>
      <c r="F1994" s="729" t="s">
        <v>5694</v>
      </c>
      <c r="G1994">
        <f>IF(getRGB1($C1994)="FFFFFF",0,1)+IF(getRGB1($D1994)="FFFFFF",0,2)+IF(getRGB1($E1994)="FFFFFF",0,3)+IF(getRGB1($F1994)="FFFFFF",0,4)</f>
        <v>1</v>
      </c>
    </row>
    <row r="1995" spans="1:7" ht="45">
      <c r="A1995" t="s">
        <v>8683</v>
      </c>
      <c r="B1995" s="409" t="s">
        <v>8717</v>
      </c>
      <c r="C1995" s="113" t="s">
        <v>5709</v>
      </c>
      <c r="D1995" s="113" t="s">
        <v>5710</v>
      </c>
      <c r="E1995" s="113" t="s">
        <v>5711</v>
      </c>
      <c r="F1995" s="115" t="s">
        <v>5712</v>
      </c>
      <c r="G1995">
        <f>IF(getRGB1($C1995)="FFFFFF",0,1)+IF(getRGB1($D1995)="FFFFFF",0,2)+IF(getRGB1($E1995)="FFFFFF",0,3)+IF(getRGB1($F1995)="FFFFFF",0,4)</f>
        <v>4</v>
      </c>
    </row>
    <row r="1996" spans="1:7" ht="75">
      <c r="A1996" t="s">
        <v>8683</v>
      </c>
      <c r="B1996" s="97" t="s">
        <v>5713</v>
      </c>
      <c r="C1996" s="115" t="s">
        <v>5714</v>
      </c>
      <c r="D1996" s="113" t="s">
        <v>5715</v>
      </c>
      <c r="E1996" s="113" t="s">
        <v>5716</v>
      </c>
      <c r="F1996" s="113" t="s">
        <v>328</v>
      </c>
      <c r="G1996">
        <f>IF(getRGB1($C1996)="FFFFFF",0,1)+IF(getRGB1($D1996)="FFFFFF",0,2)+IF(getRGB1($E1996)="FFFFFF",0,3)+IF(getRGB1($F1996)="FFFFFF",0,4)</f>
        <v>1</v>
      </c>
    </row>
    <row r="1997" spans="1:7" ht="75">
      <c r="A1997" t="s">
        <v>8683</v>
      </c>
      <c r="B1997" s="106" t="s">
        <v>5713</v>
      </c>
      <c r="C1997" s="115" t="s">
        <v>5717</v>
      </c>
      <c r="D1997" s="113" t="s">
        <v>5718</v>
      </c>
      <c r="E1997" s="113" t="s">
        <v>5719</v>
      </c>
      <c r="F1997" s="113" t="s">
        <v>5720</v>
      </c>
      <c r="G1997">
        <f>IF(getRGB1($C1997)="FFFFFF",0,1)+IF(getRGB1($D1997)="FFFFFF",0,2)+IF(getRGB1($E1997)="FFFFFF",0,3)+IF(getRGB1($F1997)="FFFFFF",0,4)</f>
        <v>1</v>
      </c>
    </row>
    <row r="1998" spans="1:7" ht="45">
      <c r="A1998" t="s">
        <v>8683</v>
      </c>
      <c r="B1998" s="106" t="s">
        <v>5721</v>
      </c>
      <c r="C1998" s="115" t="b">
        <v>1</v>
      </c>
      <c r="D1998" s="113" t="b">
        <v>0</v>
      </c>
      <c r="E1998" s="113"/>
      <c r="F1998" s="113"/>
      <c r="G1998">
        <f>IF(getRGB1($C1998)="FFFFFF",0,1)+IF(getRGB1($D1998)="FFFFFF",0,2)+IF(getRGB1($E1998)="FFFFFF",0,3)+IF(getRGB1($F1998)="FFFFFF",0,4)</f>
        <v>1</v>
      </c>
    </row>
    <row r="1999" spans="1:7" ht="60">
      <c r="A1999" t="s">
        <v>8683</v>
      </c>
      <c r="B1999" s="106" t="s">
        <v>5722</v>
      </c>
      <c r="C1999" s="113" t="b">
        <v>0</v>
      </c>
      <c r="D1999" s="115" t="b">
        <v>1</v>
      </c>
      <c r="E1999" s="113"/>
      <c r="F1999" s="113"/>
      <c r="G1999">
        <f>IF(getRGB1($C1999)="FFFFFF",0,1)+IF(getRGB1($D1999)="FFFFFF",0,2)+IF(getRGB1($E1999)="FFFFFF",0,3)+IF(getRGB1($F1999)="FFFFFF",0,4)</f>
        <v>2</v>
      </c>
    </row>
    <row r="2000" spans="1:7" ht="60">
      <c r="A2000" t="s">
        <v>8683</v>
      </c>
      <c r="B2000" s="106" t="s">
        <v>5723</v>
      </c>
      <c r="C2000" s="405">
        <v>1.5</v>
      </c>
      <c r="D2000" s="405">
        <v>1.2</v>
      </c>
      <c r="E2000" s="405">
        <v>1.4</v>
      </c>
      <c r="F2000" s="404">
        <v>2.2000000000000002</v>
      </c>
      <c r="G2000">
        <f>IF(getRGB1($C2000)="FFFFFF",0,1)+IF(getRGB1($D2000)="FFFFFF",0,2)+IF(getRGB1($E2000)="FFFFFF",0,3)+IF(getRGB1($F2000)="FFFFFF",0,4)</f>
        <v>4</v>
      </c>
    </row>
    <row r="2001" spans="1:7" ht="45">
      <c r="A2001" t="s">
        <v>8683</v>
      </c>
      <c r="B2001" s="97" t="s">
        <v>5724</v>
      </c>
      <c r="C2001" s="113" t="s">
        <v>5725</v>
      </c>
      <c r="D2001" s="113" t="s">
        <v>5726</v>
      </c>
      <c r="E2001" s="115" t="s">
        <v>5727</v>
      </c>
      <c r="F2001" s="113" t="s">
        <v>5728</v>
      </c>
      <c r="G2001">
        <f>IF(getRGB1($C2001)="FFFFFF",0,1)+IF(getRGB1($D2001)="FFFFFF",0,2)+IF(getRGB1($E2001)="FFFFFF",0,3)+IF(getRGB1($F2001)="FFFFFF",0,4)</f>
        <v>3</v>
      </c>
    </row>
  </sheetData>
  <autoFilter ref="A1:G2001"/>
  <hyperlinks>
    <hyperlink ref="C1259" r:id="rId1" display="http://www.recregistryindia.com/"/>
    <hyperlink ref="D1259" r:id="rId2" display="http://www.recregistryindia.in/"/>
    <hyperlink ref="E1259" r:id="rId3" display="http://www.rec.com/"/>
    <hyperlink ref="F1259" r:id="rId4"/>
    <hyperlink ref="C1325" r:id="rId5" display="http://www.recregistryindia.com/"/>
    <hyperlink ref="D1325" r:id="rId6" display="http://www.recregistryindia.in/"/>
    <hyperlink ref="E1325" r:id="rId7" display="http://www.rec.com/"/>
    <hyperlink ref="F1325" r:id="rId8"/>
    <hyperlink ref="C1472" r:id="rId9"/>
    <hyperlink ref="D1472" r:id="rId10"/>
    <hyperlink ref="C1547" r:id="rId11"/>
    <hyperlink ref="D1547" r:id="rId12" display="http://www.altavista.net"/>
    <hyperlink ref="E1547" r:id="rId13"/>
  </hyperlinks>
  <pageMargins left="0.7" right="0.7" top="0.75" bottom="0.75" header="0.3" footer="0.3"/>
  <pageSetup orientation="portrait"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659"/>
  <sheetViews>
    <sheetView tabSelected="1" topLeftCell="A397" workbookViewId="0">
      <selection activeCell="B403" sqref="B403"/>
    </sheetView>
  </sheetViews>
  <sheetFormatPr defaultRowHeight="15"/>
  <cols>
    <col min="2" max="2" width="54.140625" customWidth="1"/>
    <col min="3" max="3" width="19.7109375" bestFit="1" customWidth="1"/>
    <col min="4" max="4" width="21.42578125" bestFit="1" customWidth="1"/>
    <col min="5" max="5" width="27.28515625" customWidth="1"/>
    <col min="6" max="6" width="23.7109375" customWidth="1"/>
  </cols>
  <sheetData>
    <row r="1" spans="1:8">
      <c r="A1" t="s">
        <v>0</v>
      </c>
      <c r="B1" t="s">
        <v>511</v>
      </c>
      <c r="C1" t="s">
        <v>512</v>
      </c>
      <c r="D1" t="s">
        <v>513</v>
      </c>
      <c r="E1" t="s">
        <v>514</v>
      </c>
      <c r="F1" t="s">
        <v>515</v>
      </c>
      <c r="G1" t="s">
        <v>6646</v>
      </c>
    </row>
    <row r="2" spans="1:8" ht="30">
      <c r="A2" s="108" t="s">
        <v>8759</v>
      </c>
      <c r="B2" s="344" t="s">
        <v>6696</v>
      </c>
      <c r="C2" s="346" t="s">
        <v>8760</v>
      </c>
      <c r="D2" s="345" t="s">
        <v>4697</v>
      </c>
      <c r="E2" s="345" t="s">
        <v>4698</v>
      </c>
      <c r="F2" s="345" t="s">
        <v>4699</v>
      </c>
      <c r="G2" s="108">
        <f>IF(H2="A",1,IF(H2="B",2,IF(H2="C",3,IF(H2="D",4,0))))</f>
        <v>1</v>
      </c>
      <c r="H2" s="731" t="s">
        <v>8761</v>
      </c>
    </row>
    <row r="3" spans="1:8" ht="45">
      <c r="A3" s="108" t="s">
        <v>8759</v>
      </c>
      <c r="B3" s="344" t="s">
        <v>8762</v>
      </c>
      <c r="C3" s="345" t="s">
        <v>4701</v>
      </c>
      <c r="D3" s="345" t="s">
        <v>4702</v>
      </c>
      <c r="E3" s="345" t="s">
        <v>4703</v>
      </c>
      <c r="F3" s="346" t="s">
        <v>1000</v>
      </c>
      <c r="G3" s="108">
        <f t="shared" ref="G3:G66" si="0">IF(H3="A",1,IF(H3="B",2,IF(H3="C",3,IF(H3="D",4,0))))</f>
        <v>4</v>
      </c>
      <c r="H3" s="731" t="s">
        <v>8763</v>
      </c>
    </row>
    <row r="4" spans="1:8" ht="30">
      <c r="A4" s="108" t="s">
        <v>8759</v>
      </c>
      <c r="B4" s="732" t="s">
        <v>4705</v>
      </c>
      <c r="C4" s="733" t="s">
        <v>4706</v>
      </c>
      <c r="D4" s="734" t="s">
        <v>4707</v>
      </c>
      <c r="E4" s="733" t="s">
        <v>4708</v>
      </c>
      <c r="F4" s="733" t="s">
        <v>4709</v>
      </c>
      <c r="G4" s="108">
        <f t="shared" si="0"/>
        <v>2</v>
      </c>
      <c r="H4" s="731" t="s">
        <v>8764</v>
      </c>
    </row>
    <row r="5" spans="1:8" ht="45">
      <c r="A5" s="108" t="s">
        <v>8759</v>
      </c>
      <c r="B5" s="732" t="s">
        <v>4710</v>
      </c>
      <c r="C5" s="733" t="s">
        <v>4711</v>
      </c>
      <c r="D5" s="734" t="s">
        <v>4712</v>
      </c>
      <c r="E5" s="733" t="s">
        <v>4713</v>
      </c>
      <c r="F5" s="733" t="s">
        <v>4714</v>
      </c>
      <c r="G5" s="108">
        <f t="shared" si="0"/>
        <v>2</v>
      </c>
      <c r="H5" s="731" t="s">
        <v>8764</v>
      </c>
    </row>
    <row r="6" spans="1:8" ht="60">
      <c r="A6" s="108" t="s">
        <v>8759</v>
      </c>
      <c r="B6" s="344" t="s">
        <v>4715</v>
      </c>
      <c r="C6" s="345" t="s">
        <v>4716</v>
      </c>
      <c r="D6" s="346" t="s">
        <v>4717</v>
      </c>
      <c r="E6" s="345" t="s">
        <v>4718</v>
      </c>
      <c r="F6" s="345" t="s">
        <v>8765</v>
      </c>
      <c r="G6" s="108">
        <f t="shared" si="0"/>
        <v>2</v>
      </c>
      <c r="H6" s="731" t="s">
        <v>8764</v>
      </c>
    </row>
    <row r="7" spans="1:8" ht="45">
      <c r="A7" s="108" t="s">
        <v>8759</v>
      </c>
      <c r="B7" s="344" t="s">
        <v>6698</v>
      </c>
      <c r="C7" s="345" t="s">
        <v>4717</v>
      </c>
      <c r="D7" s="345" t="s">
        <v>4721</v>
      </c>
      <c r="E7" s="346" t="s">
        <v>4722</v>
      </c>
      <c r="F7" s="345" t="s">
        <v>8765</v>
      </c>
      <c r="G7" s="108">
        <f t="shared" si="0"/>
        <v>3</v>
      </c>
      <c r="H7" s="731" t="s">
        <v>8766</v>
      </c>
    </row>
    <row r="8" spans="1:8" ht="45">
      <c r="A8" s="108" t="s">
        <v>8759</v>
      </c>
      <c r="B8" s="732" t="s">
        <v>4724</v>
      </c>
      <c r="C8" s="733" t="s">
        <v>4725</v>
      </c>
      <c r="D8" s="733" t="s">
        <v>4726</v>
      </c>
      <c r="E8" s="734" t="s">
        <v>4727</v>
      </c>
      <c r="F8" s="733" t="s">
        <v>4728</v>
      </c>
      <c r="G8" s="108">
        <f t="shared" si="0"/>
        <v>3</v>
      </c>
      <c r="H8" s="731" t="s">
        <v>8766</v>
      </c>
    </row>
    <row r="9" spans="1:8" ht="45">
      <c r="A9" s="108" t="s">
        <v>8759</v>
      </c>
      <c r="B9" s="732" t="s">
        <v>4729</v>
      </c>
      <c r="C9" s="345" t="s">
        <v>4730</v>
      </c>
      <c r="D9" s="346" t="s">
        <v>4731</v>
      </c>
      <c r="E9" s="345" t="s">
        <v>4721</v>
      </c>
      <c r="F9" s="345" t="s">
        <v>8765</v>
      </c>
      <c r="G9" s="108">
        <f t="shared" si="0"/>
        <v>2</v>
      </c>
      <c r="H9" s="731" t="s">
        <v>8764</v>
      </c>
    </row>
    <row r="10" spans="1:8" ht="45">
      <c r="A10" s="108" t="s">
        <v>8759</v>
      </c>
      <c r="B10" s="344" t="s">
        <v>6699</v>
      </c>
      <c r="C10" s="345" t="s">
        <v>4730</v>
      </c>
      <c r="D10" s="346" t="s">
        <v>4731</v>
      </c>
      <c r="E10" s="345" t="s">
        <v>4721</v>
      </c>
      <c r="F10" s="345" t="s">
        <v>8765</v>
      </c>
      <c r="G10" s="108">
        <f t="shared" si="0"/>
        <v>2</v>
      </c>
      <c r="H10" s="731" t="s">
        <v>8764</v>
      </c>
    </row>
    <row r="11" spans="1:8" ht="60">
      <c r="A11" s="108" t="s">
        <v>8759</v>
      </c>
      <c r="B11" s="344" t="s">
        <v>6700</v>
      </c>
      <c r="C11" s="345" t="s">
        <v>4734</v>
      </c>
      <c r="D11" s="345" t="s">
        <v>4731</v>
      </c>
      <c r="E11" s="345" t="s">
        <v>4721</v>
      </c>
      <c r="F11" s="346" t="s">
        <v>4722</v>
      </c>
      <c r="G11" s="108">
        <f t="shared" si="0"/>
        <v>4</v>
      </c>
      <c r="H11" s="731" t="s">
        <v>8763</v>
      </c>
    </row>
    <row r="12" spans="1:8" ht="30">
      <c r="A12" s="108" t="s">
        <v>8759</v>
      </c>
      <c r="B12" s="344" t="s">
        <v>4735</v>
      </c>
      <c r="C12" s="345" t="s">
        <v>4736</v>
      </c>
      <c r="D12" s="345" t="s">
        <v>4737</v>
      </c>
      <c r="E12" s="346" t="s">
        <v>4738</v>
      </c>
      <c r="F12" s="345" t="s">
        <v>8767</v>
      </c>
      <c r="G12" s="108">
        <f t="shared" si="0"/>
        <v>3</v>
      </c>
      <c r="H12" s="731" t="s">
        <v>8766</v>
      </c>
    </row>
    <row r="13" spans="1:8" ht="30">
      <c r="A13" s="108" t="s">
        <v>8759</v>
      </c>
      <c r="B13" s="344" t="s">
        <v>4739</v>
      </c>
      <c r="C13" s="345" t="s">
        <v>4740</v>
      </c>
      <c r="D13" s="345" t="s">
        <v>4741</v>
      </c>
      <c r="E13" s="345" t="s">
        <v>4742</v>
      </c>
      <c r="F13" s="346" t="s">
        <v>8768</v>
      </c>
      <c r="G13" s="108">
        <f t="shared" si="0"/>
        <v>4</v>
      </c>
      <c r="H13" s="731" t="s">
        <v>8763</v>
      </c>
    </row>
    <row r="14" spans="1:8" ht="30">
      <c r="A14" s="108" t="s">
        <v>8759</v>
      </c>
      <c r="B14" s="735" t="s">
        <v>6701</v>
      </c>
      <c r="C14" s="736" t="s">
        <v>1203</v>
      </c>
      <c r="D14" s="736" t="s">
        <v>4745</v>
      </c>
      <c r="E14" s="736" t="s">
        <v>980</v>
      </c>
      <c r="F14" s="346" t="s">
        <v>8769</v>
      </c>
      <c r="G14" s="108">
        <f t="shared" si="0"/>
        <v>4</v>
      </c>
      <c r="H14" s="731" t="s">
        <v>8763</v>
      </c>
    </row>
    <row r="15" spans="1:8" ht="30">
      <c r="A15" s="108" t="s">
        <v>8759</v>
      </c>
      <c r="B15" s="344" t="s">
        <v>4747</v>
      </c>
      <c r="C15" s="346" t="s">
        <v>1203</v>
      </c>
      <c r="D15" s="345" t="s">
        <v>4745</v>
      </c>
      <c r="E15" s="345" t="s">
        <v>4719</v>
      </c>
      <c r="F15" s="345" t="s">
        <v>4748</v>
      </c>
      <c r="G15" s="108">
        <f t="shared" si="0"/>
        <v>1</v>
      </c>
      <c r="H15" s="731" t="s">
        <v>8761</v>
      </c>
    </row>
    <row r="16" spans="1:8" ht="30">
      <c r="A16" s="108" t="s">
        <v>8759</v>
      </c>
      <c r="B16" s="344" t="s">
        <v>4752</v>
      </c>
      <c r="C16" s="345" t="s">
        <v>74</v>
      </c>
      <c r="D16" s="346" t="s">
        <v>76</v>
      </c>
      <c r="E16" s="345" t="s">
        <v>270</v>
      </c>
      <c r="F16" s="345" t="s">
        <v>73</v>
      </c>
      <c r="G16" s="108">
        <f t="shared" si="0"/>
        <v>2</v>
      </c>
      <c r="H16" s="731" t="s">
        <v>8764</v>
      </c>
    </row>
    <row r="17" spans="1:8" ht="30">
      <c r="A17" s="108" t="s">
        <v>8759</v>
      </c>
      <c r="B17" s="344" t="s">
        <v>6706</v>
      </c>
      <c r="C17" s="345" t="s">
        <v>74</v>
      </c>
      <c r="D17" s="345" t="s">
        <v>73</v>
      </c>
      <c r="E17" s="345" t="s">
        <v>76</v>
      </c>
      <c r="F17" s="346" t="s">
        <v>270</v>
      </c>
      <c r="G17" s="108">
        <f t="shared" si="0"/>
        <v>4</v>
      </c>
      <c r="H17" s="731" t="s">
        <v>8763</v>
      </c>
    </row>
    <row r="18" spans="1:8" ht="30">
      <c r="A18" s="108" t="s">
        <v>8759</v>
      </c>
      <c r="B18" s="737" t="s">
        <v>4754</v>
      </c>
      <c r="C18" s="738" t="s">
        <v>74</v>
      </c>
      <c r="D18" s="347" t="s">
        <v>73</v>
      </c>
      <c r="E18" s="347" t="s">
        <v>177</v>
      </c>
      <c r="F18" s="346" t="s">
        <v>1869</v>
      </c>
      <c r="G18" s="108">
        <f t="shared" si="0"/>
        <v>4</v>
      </c>
      <c r="H18" s="739" t="s">
        <v>8763</v>
      </c>
    </row>
    <row r="19" spans="1:8" ht="30">
      <c r="A19" s="108" t="s">
        <v>8759</v>
      </c>
      <c r="B19" s="344" t="s">
        <v>4655</v>
      </c>
      <c r="C19" s="345" t="s">
        <v>4656</v>
      </c>
      <c r="D19" s="345" t="s">
        <v>4657</v>
      </c>
      <c r="E19" s="346" t="s">
        <v>74</v>
      </c>
      <c r="F19" s="345" t="s">
        <v>8770</v>
      </c>
      <c r="G19" s="108">
        <f t="shared" si="0"/>
        <v>3</v>
      </c>
      <c r="H19" s="731" t="s">
        <v>8766</v>
      </c>
    </row>
    <row r="20" spans="1:8" ht="30">
      <c r="A20" s="108" t="s">
        <v>8759</v>
      </c>
      <c r="B20" s="344" t="s">
        <v>8771</v>
      </c>
      <c r="C20" s="345" t="s">
        <v>73</v>
      </c>
      <c r="D20" s="345" t="s">
        <v>4757</v>
      </c>
      <c r="E20" s="345" t="s">
        <v>4758</v>
      </c>
      <c r="F20" s="346" t="s">
        <v>1869</v>
      </c>
      <c r="G20" s="108">
        <f t="shared" si="0"/>
        <v>4</v>
      </c>
      <c r="H20" s="731" t="s">
        <v>8763</v>
      </c>
    </row>
    <row r="21" spans="1:8" ht="45">
      <c r="A21" s="108" t="s">
        <v>8759</v>
      </c>
      <c r="B21" s="344" t="s">
        <v>8772</v>
      </c>
      <c r="C21" s="346" t="s">
        <v>74</v>
      </c>
      <c r="D21" s="345" t="s">
        <v>73</v>
      </c>
      <c r="E21" s="345" t="s">
        <v>177</v>
      </c>
      <c r="F21" s="345" t="s">
        <v>8773</v>
      </c>
      <c r="G21" s="108">
        <f t="shared" si="0"/>
        <v>1</v>
      </c>
      <c r="H21" s="731" t="s">
        <v>8761</v>
      </c>
    </row>
    <row r="22" spans="1:8" ht="60">
      <c r="A22" s="108" t="s">
        <v>8759</v>
      </c>
      <c r="B22" s="344" t="s">
        <v>4761</v>
      </c>
      <c r="C22" s="345" t="s">
        <v>74</v>
      </c>
      <c r="D22" s="346" t="s">
        <v>73</v>
      </c>
      <c r="E22" s="345" t="s">
        <v>177</v>
      </c>
      <c r="F22" s="345" t="s">
        <v>980</v>
      </c>
      <c r="G22" s="108">
        <f t="shared" si="0"/>
        <v>2</v>
      </c>
      <c r="H22" s="731" t="s">
        <v>8764</v>
      </c>
    </row>
    <row r="23" spans="1:8" ht="45">
      <c r="A23" s="108" t="s">
        <v>8759</v>
      </c>
      <c r="B23" s="344" t="s">
        <v>8774</v>
      </c>
      <c r="C23" s="345" t="s">
        <v>8775</v>
      </c>
      <c r="D23" s="345" t="s">
        <v>8776</v>
      </c>
      <c r="E23" s="345" t="s">
        <v>4764</v>
      </c>
      <c r="F23" s="346" t="s">
        <v>1869</v>
      </c>
      <c r="G23" s="108">
        <f t="shared" si="0"/>
        <v>4</v>
      </c>
      <c r="H23" s="731" t="s">
        <v>8763</v>
      </c>
    </row>
    <row r="24" spans="1:8" ht="30">
      <c r="A24" s="108" t="s">
        <v>8759</v>
      </c>
      <c r="B24" s="344" t="s">
        <v>4765</v>
      </c>
      <c r="C24" s="345">
        <v>3</v>
      </c>
      <c r="D24" s="346">
        <v>4</v>
      </c>
      <c r="E24" s="345">
        <v>5</v>
      </c>
      <c r="F24" s="345">
        <v>6</v>
      </c>
      <c r="G24" s="108">
        <f t="shared" si="0"/>
        <v>3</v>
      </c>
      <c r="H24" s="731" t="s">
        <v>8766</v>
      </c>
    </row>
    <row r="25" spans="1:8" ht="30">
      <c r="A25" s="108" t="s">
        <v>8759</v>
      </c>
      <c r="B25" s="344" t="s">
        <v>4766</v>
      </c>
      <c r="C25" s="345" t="s">
        <v>4767</v>
      </c>
      <c r="D25" s="345" t="s">
        <v>4768</v>
      </c>
      <c r="E25" s="345" t="s">
        <v>4769</v>
      </c>
      <c r="F25" s="346" t="s">
        <v>4770</v>
      </c>
      <c r="G25" s="108">
        <f t="shared" si="0"/>
        <v>4</v>
      </c>
      <c r="H25" s="731" t="s">
        <v>8763</v>
      </c>
    </row>
    <row r="26" spans="1:8" ht="15.75">
      <c r="A26" s="108" t="s">
        <v>8759</v>
      </c>
      <c r="B26" s="344" t="s">
        <v>4771</v>
      </c>
      <c r="C26" s="345" t="s">
        <v>4772</v>
      </c>
      <c r="D26" s="346" t="s">
        <v>4767</v>
      </c>
      <c r="E26" s="345" t="s">
        <v>4768</v>
      </c>
      <c r="F26" s="345" t="s">
        <v>4769</v>
      </c>
      <c r="G26" s="108">
        <f t="shared" si="0"/>
        <v>1</v>
      </c>
      <c r="H26" s="731" t="s">
        <v>8761</v>
      </c>
    </row>
    <row r="27" spans="1:8" ht="30">
      <c r="A27" s="108" t="s">
        <v>8759</v>
      </c>
      <c r="B27" s="344" t="s">
        <v>4773</v>
      </c>
      <c r="C27" s="345">
        <v>400</v>
      </c>
      <c r="D27" s="345">
        <v>500</v>
      </c>
      <c r="E27" s="345">
        <v>600</v>
      </c>
      <c r="F27" s="346">
        <v>1000</v>
      </c>
      <c r="G27" s="108">
        <f t="shared" si="0"/>
        <v>4</v>
      </c>
      <c r="H27" s="731" t="s">
        <v>8763</v>
      </c>
    </row>
    <row r="28" spans="1:8" ht="45">
      <c r="A28" s="108" t="s">
        <v>8759</v>
      </c>
      <c r="B28" s="344" t="s">
        <v>4778</v>
      </c>
      <c r="C28" s="358">
        <v>0.65</v>
      </c>
      <c r="D28" s="357">
        <v>0.75</v>
      </c>
      <c r="E28" s="357">
        <v>0.85</v>
      </c>
      <c r="F28" s="357">
        <v>0.95</v>
      </c>
      <c r="G28" s="108">
        <f t="shared" si="0"/>
        <v>2</v>
      </c>
      <c r="H28" s="740" t="s">
        <v>8764</v>
      </c>
    </row>
    <row r="29" spans="1:8" ht="30">
      <c r="A29" s="108" t="s">
        <v>8759</v>
      </c>
      <c r="B29" s="344" t="s">
        <v>4779</v>
      </c>
      <c r="C29" s="345" t="s">
        <v>4780</v>
      </c>
      <c r="D29" s="345" t="s">
        <v>4781</v>
      </c>
      <c r="E29" s="346" t="s">
        <v>4782</v>
      </c>
      <c r="F29" s="345" t="s">
        <v>4783</v>
      </c>
      <c r="G29" s="108">
        <f t="shared" si="0"/>
        <v>3</v>
      </c>
      <c r="H29" s="731" t="s">
        <v>8766</v>
      </c>
    </row>
    <row r="30" spans="1:8" ht="30">
      <c r="A30" s="108" t="s">
        <v>8759</v>
      </c>
      <c r="B30" s="344" t="s">
        <v>4784</v>
      </c>
      <c r="C30" s="345" t="s">
        <v>4785</v>
      </c>
      <c r="D30" s="346" t="s">
        <v>4786</v>
      </c>
      <c r="E30" s="345" t="s">
        <v>4787</v>
      </c>
      <c r="F30" s="345" t="s">
        <v>8777</v>
      </c>
      <c r="G30" s="108">
        <f t="shared" si="0"/>
        <v>2</v>
      </c>
      <c r="H30" s="731" t="s">
        <v>8764</v>
      </c>
    </row>
    <row r="31" spans="1:8" ht="30">
      <c r="A31" s="108" t="s">
        <v>8759</v>
      </c>
      <c r="B31" s="344" t="s">
        <v>4788</v>
      </c>
      <c r="C31" s="346" t="s">
        <v>4785</v>
      </c>
      <c r="D31" s="345" t="s">
        <v>4786</v>
      </c>
      <c r="E31" s="345" t="s">
        <v>4787</v>
      </c>
      <c r="F31" s="345" t="s">
        <v>8778</v>
      </c>
      <c r="G31" s="108">
        <f t="shared" si="0"/>
        <v>1</v>
      </c>
      <c r="H31" s="731" t="s">
        <v>8761</v>
      </c>
    </row>
    <row r="32" spans="1:8" ht="30">
      <c r="A32" s="108" t="s">
        <v>8759</v>
      </c>
      <c r="B32" s="344" t="s">
        <v>4789</v>
      </c>
      <c r="C32" s="346" t="s">
        <v>4785</v>
      </c>
      <c r="D32" s="345" t="s">
        <v>4786</v>
      </c>
      <c r="E32" s="345" t="s">
        <v>4787</v>
      </c>
      <c r="F32" s="345" t="s">
        <v>8778</v>
      </c>
      <c r="G32" s="108">
        <f t="shared" si="0"/>
        <v>1</v>
      </c>
      <c r="H32" s="731" t="s">
        <v>8761</v>
      </c>
    </row>
    <row r="33" spans="1:8" ht="30">
      <c r="A33" s="108" t="s">
        <v>8759</v>
      </c>
      <c r="B33" s="344" t="s">
        <v>4790</v>
      </c>
      <c r="C33" s="346" t="s">
        <v>4785</v>
      </c>
      <c r="D33" s="345" t="s">
        <v>4786</v>
      </c>
      <c r="E33" s="345" t="s">
        <v>4787</v>
      </c>
      <c r="F33" s="345" t="s">
        <v>8779</v>
      </c>
      <c r="G33" s="108">
        <f t="shared" si="0"/>
        <v>1</v>
      </c>
      <c r="H33" s="731" t="s">
        <v>8761</v>
      </c>
    </row>
    <row r="34" spans="1:8" ht="45">
      <c r="A34" s="108" t="s">
        <v>8759</v>
      </c>
      <c r="B34" s="344" t="s">
        <v>4791</v>
      </c>
      <c r="C34" s="345" t="s">
        <v>1073</v>
      </c>
      <c r="D34" s="345" t="s">
        <v>4792</v>
      </c>
      <c r="E34" s="345" t="s">
        <v>4793</v>
      </c>
      <c r="F34" s="346" t="s">
        <v>4794</v>
      </c>
      <c r="G34" s="108">
        <f t="shared" si="0"/>
        <v>4</v>
      </c>
      <c r="H34" s="731" t="s">
        <v>8763</v>
      </c>
    </row>
    <row r="35" spans="1:8" ht="30">
      <c r="A35" s="108" t="s">
        <v>8759</v>
      </c>
      <c r="B35" s="344" t="s">
        <v>4659</v>
      </c>
      <c r="C35" s="345" t="s">
        <v>4660</v>
      </c>
      <c r="D35" s="345" t="s">
        <v>4661</v>
      </c>
      <c r="E35" s="345" t="s">
        <v>4662</v>
      </c>
      <c r="F35" s="346" t="s">
        <v>1000</v>
      </c>
      <c r="G35" s="108">
        <f t="shared" si="0"/>
        <v>4</v>
      </c>
      <c r="H35" s="731" t="s">
        <v>8763</v>
      </c>
    </row>
    <row r="36" spans="1:8" ht="45">
      <c r="A36" s="108" t="s">
        <v>8759</v>
      </c>
      <c r="B36" s="344" t="s">
        <v>4799</v>
      </c>
      <c r="C36" s="345" t="s">
        <v>4716</v>
      </c>
      <c r="D36" s="345" t="s">
        <v>4717</v>
      </c>
      <c r="E36" s="346" t="s">
        <v>4796</v>
      </c>
      <c r="F36" s="345" t="s">
        <v>4798</v>
      </c>
      <c r="G36" s="108">
        <f t="shared" si="0"/>
        <v>3</v>
      </c>
      <c r="H36" s="731" t="s">
        <v>8766</v>
      </c>
    </row>
    <row r="37" spans="1:8" ht="45">
      <c r="A37" s="108" t="s">
        <v>8759</v>
      </c>
      <c r="B37" s="344" t="s">
        <v>8686</v>
      </c>
      <c r="C37" s="345" t="s">
        <v>4646</v>
      </c>
      <c r="D37" s="346" t="s">
        <v>4674</v>
      </c>
      <c r="E37" s="345" t="s">
        <v>8780</v>
      </c>
      <c r="F37" s="345" t="s">
        <v>8781</v>
      </c>
      <c r="G37" s="108">
        <f t="shared" si="0"/>
        <v>2</v>
      </c>
      <c r="H37" s="731" t="s">
        <v>8764</v>
      </c>
    </row>
    <row r="38" spans="1:8" ht="45">
      <c r="A38" s="108" t="s">
        <v>8759</v>
      </c>
      <c r="B38" s="344" t="s">
        <v>8687</v>
      </c>
      <c r="C38" s="345" t="s">
        <v>4646</v>
      </c>
      <c r="D38" s="346" t="s">
        <v>4674</v>
      </c>
      <c r="E38" s="345" t="s">
        <v>8780</v>
      </c>
      <c r="F38" s="345" t="s">
        <v>8781</v>
      </c>
      <c r="G38" s="108">
        <f t="shared" si="0"/>
        <v>2</v>
      </c>
      <c r="H38" s="731" t="s">
        <v>8764</v>
      </c>
    </row>
    <row r="39" spans="1:8" ht="60">
      <c r="A39" s="108" t="s">
        <v>8759</v>
      </c>
      <c r="B39" s="344" t="s">
        <v>8688</v>
      </c>
      <c r="C39" s="345" t="s">
        <v>4646</v>
      </c>
      <c r="D39" s="346" t="s">
        <v>4674</v>
      </c>
      <c r="E39" s="345" t="s">
        <v>8780</v>
      </c>
      <c r="F39" s="345" t="s">
        <v>8781</v>
      </c>
      <c r="G39" s="108">
        <f t="shared" si="0"/>
        <v>2</v>
      </c>
      <c r="H39" s="731" t="s">
        <v>8764</v>
      </c>
    </row>
    <row r="40" spans="1:8" ht="30">
      <c r="A40" s="108" t="s">
        <v>8759</v>
      </c>
      <c r="B40" s="344" t="s">
        <v>4801</v>
      </c>
      <c r="C40" s="345">
        <v>2</v>
      </c>
      <c r="D40" s="345">
        <v>3</v>
      </c>
      <c r="E40" s="345">
        <v>4</v>
      </c>
      <c r="F40" s="346">
        <v>5</v>
      </c>
      <c r="G40" s="108">
        <f t="shared" si="0"/>
        <v>3</v>
      </c>
      <c r="H40" s="731" t="s">
        <v>8766</v>
      </c>
    </row>
    <row r="41" spans="1:8" ht="30">
      <c r="A41" s="108" t="s">
        <v>8759</v>
      </c>
      <c r="B41" s="344" t="s">
        <v>8689</v>
      </c>
      <c r="C41" s="345">
        <v>5</v>
      </c>
      <c r="D41" s="346">
        <v>1</v>
      </c>
      <c r="E41" s="345">
        <v>3</v>
      </c>
      <c r="F41" s="345">
        <v>4</v>
      </c>
      <c r="G41" s="108">
        <f t="shared" si="0"/>
        <v>2</v>
      </c>
      <c r="H41" s="731" t="s">
        <v>8764</v>
      </c>
    </row>
    <row r="42" spans="1:8" ht="30">
      <c r="A42" s="108" t="s">
        <v>8759</v>
      </c>
      <c r="B42" s="344" t="s">
        <v>8782</v>
      </c>
      <c r="C42" s="346" t="s">
        <v>4804</v>
      </c>
      <c r="D42" s="345" t="s">
        <v>4805</v>
      </c>
      <c r="E42" s="345" t="s">
        <v>8783</v>
      </c>
      <c r="F42" s="345" t="s">
        <v>8784</v>
      </c>
      <c r="G42" s="108">
        <f t="shared" si="0"/>
        <v>2</v>
      </c>
      <c r="H42" s="731" t="s">
        <v>8764</v>
      </c>
    </row>
    <row r="43" spans="1:8" ht="30">
      <c r="A43" s="108" t="s">
        <v>8759</v>
      </c>
      <c r="B43" s="344" t="s">
        <v>8785</v>
      </c>
      <c r="C43" s="345" t="s">
        <v>4809</v>
      </c>
      <c r="D43" s="346" t="s">
        <v>4810</v>
      </c>
      <c r="E43" s="345" t="s">
        <v>8786</v>
      </c>
      <c r="F43" s="345" t="s">
        <v>8787</v>
      </c>
      <c r="G43" s="108">
        <f t="shared" si="0"/>
        <v>2</v>
      </c>
      <c r="H43" s="731" t="s">
        <v>8764</v>
      </c>
    </row>
    <row r="44" spans="1:8" ht="30">
      <c r="A44" s="108" t="s">
        <v>8759</v>
      </c>
      <c r="B44" s="344" t="s">
        <v>8788</v>
      </c>
      <c r="C44" s="345" t="s">
        <v>179</v>
      </c>
      <c r="D44" s="345" t="s">
        <v>557</v>
      </c>
      <c r="E44" s="346" t="s">
        <v>76</v>
      </c>
      <c r="F44" s="345" t="s">
        <v>4813</v>
      </c>
      <c r="G44" s="108">
        <f t="shared" si="0"/>
        <v>3</v>
      </c>
      <c r="H44" s="731" t="s">
        <v>8766</v>
      </c>
    </row>
    <row r="45" spans="1:8" ht="30">
      <c r="A45" s="108" t="s">
        <v>8759</v>
      </c>
      <c r="B45" s="344" t="s">
        <v>8789</v>
      </c>
      <c r="C45" s="345" t="s">
        <v>179</v>
      </c>
      <c r="D45" s="345" t="s">
        <v>557</v>
      </c>
      <c r="E45" s="346" t="s">
        <v>76</v>
      </c>
      <c r="F45" s="345" t="s">
        <v>4813</v>
      </c>
      <c r="G45" s="108">
        <f t="shared" si="0"/>
        <v>3</v>
      </c>
      <c r="H45" s="731" t="s">
        <v>8766</v>
      </c>
    </row>
    <row r="46" spans="1:8" ht="45">
      <c r="A46" s="108" t="s">
        <v>8759</v>
      </c>
      <c r="B46" s="344" t="s">
        <v>8790</v>
      </c>
      <c r="C46" s="345" t="s">
        <v>179</v>
      </c>
      <c r="D46" s="345" t="s">
        <v>557</v>
      </c>
      <c r="E46" s="346" t="s">
        <v>76</v>
      </c>
      <c r="F46" s="345" t="s">
        <v>4813</v>
      </c>
      <c r="G46" s="108">
        <f t="shared" si="0"/>
        <v>3</v>
      </c>
      <c r="H46" s="731" t="s">
        <v>8766</v>
      </c>
    </row>
    <row r="47" spans="1:8" ht="45">
      <c r="A47" s="108" t="s">
        <v>8759</v>
      </c>
      <c r="B47" s="344" t="s">
        <v>8791</v>
      </c>
      <c r="C47" s="346" t="s">
        <v>179</v>
      </c>
      <c r="D47" s="345" t="s">
        <v>557</v>
      </c>
      <c r="E47" s="345" t="s">
        <v>76</v>
      </c>
      <c r="F47" s="345" t="s">
        <v>4813</v>
      </c>
      <c r="G47" s="108">
        <f t="shared" si="0"/>
        <v>1</v>
      </c>
      <c r="H47" s="731" t="s">
        <v>8761</v>
      </c>
    </row>
    <row r="48" spans="1:8" ht="45">
      <c r="A48" s="108" t="s">
        <v>8759</v>
      </c>
      <c r="B48" s="344" t="s">
        <v>8792</v>
      </c>
      <c r="C48" s="345" t="s">
        <v>179</v>
      </c>
      <c r="D48" s="346" t="s">
        <v>557</v>
      </c>
      <c r="E48" s="345" t="s">
        <v>76</v>
      </c>
      <c r="F48" s="345" t="s">
        <v>4813</v>
      </c>
      <c r="G48" s="108">
        <f t="shared" si="0"/>
        <v>2</v>
      </c>
      <c r="H48" s="731" t="s">
        <v>8764</v>
      </c>
    </row>
    <row r="49" spans="1:8" ht="45">
      <c r="A49" s="108" t="s">
        <v>8759</v>
      </c>
      <c r="B49" s="344" t="s">
        <v>8793</v>
      </c>
      <c r="C49" s="346" t="s">
        <v>179</v>
      </c>
      <c r="D49" s="345" t="s">
        <v>557</v>
      </c>
      <c r="E49" s="345" t="s">
        <v>76</v>
      </c>
      <c r="F49" s="345" t="s">
        <v>4813</v>
      </c>
      <c r="G49" s="108">
        <f t="shared" si="0"/>
        <v>1</v>
      </c>
      <c r="H49" s="731" t="s">
        <v>8761</v>
      </c>
    </row>
    <row r="50" spans="1:8" ht="45">
      <c r="A50" s="108" t="s">
        <v>8759</v>
      </c>
      <c r="B50" s="344" t="s">
        <v>8794</v>
      </c>
      <c r="C50" s="345" t="s">
        <v>179</v>
      </c>
      <c r="D50" s="346" t="s">
        <v>557</v>
      </c>
      <c r="E50" s="345" t="s">
        <v>76</v>
      </c>
      <c r="F50" s="345" t="s">
        <v>4813</v>
      </c>
      <c r="G50" s="108">
        <f t="shared" si="0"/>
        <v>2</v>
      </c>
      <c r="H50" s="731" t="s">
        <v>8764</v>
      </c>
    </row>
    <row r="51" spans="1:8" ht="30">
      <c r="A51" s="108" t="s">
        <v>8759</v>
      </c>
      <c r="B51" s="344" t="s">
        <v>4820</v>
      </c>
      <c r="C51" s="345" t="s">
        <v>179</v>
      </c>
      <c r="D51" s="346" t="s">
        <v>557</v>
      </c>
      <c r="E51" s="345" t="s">
        <v>76</v>
      </c>
      <c r="F51" s="345" t="s">
        <v>4813</v>
      </c>
      <c r="G51" s="108">
        <f t="shared" si="0"/>
        <v>2</v>
      </c>
      <c r="H51" s="731" t="s">
        <v>8764</v>
      </c>
    </row>
    <row r="52" spans="1:8" ht="45">
      <c r="A52" s="108" t="s">
        <v>8759</v>
      </c>
      <c r="B52" s="344" t="s">
        <v>8795</v>
      </c>
      <c r="C52" s="345" t="s">
        <v>73</v>
      </c>
      <c r="D52" s="345" t="s">
        <v>177</v>
      </c>
      <c r="E52" s="345" t="s">
        <v>4758</v>
      </c>
      <c r="F52" s="346" t="s">
        <v>1000</v>
      </c>
      <c r="G52" s="108">
        <f t="shared" si="0"/>
        <v>4</v>
      </c>
      <c r="H52" s="731" t="s">
        <v>8763</v>
      </c>
    </row>
    <row r="53" spans="1:8" ht="45">
      <c r="A53" s="108" t="s">
        <v>8759</v>
      </c>
      <c r="B53" s="344" t="s">
        <v>8796</v>
      </c>
      <c r="C53" s="346" t="s">
        <v>74</v>
      </c>
      <c r="D53" s="345" t="s">
        <v>73</v>
      </c>
      <c r="E53" s="345" t="s">
        <v>3231</v>
      </c>
      <c r="F53" s="345" t="s">
        <v>184</v>
      </c>
      <c r="G53" s="108">
        <f t="shared" si="0"/>
        <v>1</v>
      </c>
      <c r="H53" s="731" t="s">
        <v>8761</v>
      </c>
    </row>
    <row r="54" spans="1:8" ht="45">
      <c r="A54" s="108" t="s">
        <v>8759</v>
      </c>
      <c r="B54" s="344" t="s">
        <v>8797</v>
      </c>
      <c r="C54" s="346" t="s">
        <v>74</v>
      </c>
      <c r="D54" s="345" t="s">
        <v>73</v>
      </c>
      <c r="E54" s="345" t="s">
        <v>3231</v>
      </c>
      <c r="F54" s="345" t="s">
        <v>184</v>
      </c>
      <c r="G54" s="108">
        <f t="shared" si="0"/>
        <v>1</v>
      </c>
      <c r="H54" s="731" t="s">
        <v>8761</v>
      </c>
    </row>
    <row r="55" spans="1:8" ht="60">
      <c r="A55" s="108" t="s">
        <v>8759</v>
      </c>
      <c r="B55" s="741" t="s">
        <v>8798</v>
      </c>
      <c r="C55" s="742" t="s">
        <v>4646</v>
      </c>
      <c r="D55" s="742" t="s">
        <v>4674</v>
      </c>
      <c r="E55" s="742" t="s">
        <v>6707</v>
      </c>
      <c r="F55" s="742" t="s">
        <v>3633</v>
      </c>
      <c r="G55" s="108">
        <f t="shared" si="0"/>
        <v>3</v>
      </c>
      <c r="H55" s="740" t="s">
        <v>8766</v>
      </c>
    </row>
    <row r="56" spans="1:8" ht="30">
      <c r="A56" s="108" t="s">
        <v>8759</v>
      </c>
      <c r="B56" s="344" t="s">
        <v>8799</v>
      </c>
      <c r="C56" s="346" t="s">
        <v>74</v>
      </c>
      <c r="D56" s="345" t="s">
        <v>73</v>
      </c>
      <c r="E56" s="345" t="s">
        <v>3231</v>
      </c>
      <c r="F56" s="345" t="s">
        <v>76</v>
      </c>
      <c r="G56" s="108">
        <f t="shared" si="0"/>
        <v>1</v>
      </c>
      <c r="H56" s="731" t="s">
        <v>8761</v>
      </c>
    </row>
    <row r="57" spans="1:8" ht="30">
      <c r="A57" s="108" t="s">
        <v>8759</v>
      </c>
      <c r="B57" s="344" t="s">
        <v>8800</v>
      </c>
      <c r="C57" s="345" t="s">
        <v>4826</v>
      </c>
      <c r="D57" s="345" t="s">
        <v>4827</v>
      </c>
      <c r="E57" s="345" t="s">
        <v>4828</v>
      </c>
      <c r="F57" s="346" t="s">
        <v>1000</v>
      </c>
      <c r="G57" s="108">
        <f t="shared" si="0"/>
        <v>4</v>
      </c>
      <c r="H57" s="731" t="s">
        <v>8763</v>
      </c>
    </row>
    <row r="58" spans="1:8" ht="30">
      <c r="A58" s="108" t="s">
        <v>8759</v>
      </c>
      <c r="B58" s="344" t="s">
        <v>8801</v>
      </c>
      <c r="C58" s="346" t="s">
        <v>73</v>
      </c>
      <c r="D58" s="345" t="s">
        <v>4830</v>
      </c>
      <c r="E58" s="345" t="s">
        <v>4831</v>
      </c>
      <c r="F58" s="345" t="s">
        <v>557</v>
      </c>
      <c r="G58" s="108">
        <f t="shared" si="0"/>
        <v>1</v>
      </c>
      <c r="H58" s="731" t="s">
        <v>8761</v>
      </c>
    </row>
    <row r="59" spans="1:8" ht="45">
      <c r="A59" s="108" t="s">
        <v>8759</v>
      </c>
      <c r="B59" s="344" t="s">
        <v>8802</v>
      </c>
      <c r="C59" s="345" t="s">
        <v>4833</v>
      </c>
      <c r="D59" s="345" t="s">
        <v>4834</v>
      </c>
      <c r="E59" s="345" t="s">
        <v>4835</v>
      </c>
      <c r="F59" s="346" t="s">
        <v>1000</v>
      </c>
      <c r="G59" s="108">
        <f t="shared" si="0"/>
        <v>4</v>
      </c>
      <c r="H59" s="731" t="s">
        <v>8763</v>
      </c>
    </row>
    <row r="60" spans="1:8" ht="30">
      <c r="A60" s="108" t="s">
        <v>8759</v>
      </c>
      <c r="B60" s="344" t="s">
        <v>8803</v>
      </c>
      <c r="C60" s="345" t="s">
        <v>74</v>
      </c>
      <c r="D60" s="346" t="s">
        <v>137</v>
      </c>
      <c r="E60" s="345" t="s">
        <v>73</v>
      </c>
      <c r="F60" s="345" t="s">
        <v>270</v>
      </c>
      <c r="G60" s="108">
        <f t="shared" si="0"/>
        <v>2</v>
      </c>
      <c r="H60" s="731" t="s">
        <v>8764</v>
      </c>
    </row>
    <row r="61" spans="1:8" ht="45">
      <c r="A61" s="108" t="s">
        <v>8759</v>
      </c>
      <c r="B61" s="344" t="s">
        <v>8804</v>
      </c>
      <c r="C61" s="345" t="s">
        <v>4838</v>
      </c>
      <c r="D61" s="345" t="s">
        <v>4839</v>
      </c>
      <c r="E61" s="346" t="s">
        <v>8805</v>
      </c>
      <c r="F61" s="345" t="s">
        <v>8806</v>
      </c>
      <c r="G61" s="108">
        <f t="shared" si="0"/>
        <v>3</v>
      </c>
      <c r="H61" s="731" t="s">
        <v>8766</v>
      </c>
    </row>
    <row r="62" spans="1:8" ht="45">
      <c r="A62" s="108" t="s">
        <v>8759</v>
      </c>
      <c r="B62" s="344" t="s">
        <v>8807</v>
      </c>
      <c r="C62" s="345" t="s">
        <v>4841</v>
      </c>
      <c r="D62" s="345" t="s">
        <v>3231</v>
      </c>
      <c r="E62" s="346" t="s">
        <v>185</v>
      </c>
      <c r="F62" s="345" t="s">
        <v>184</v>
      </c>
      <c r="G62" s="108">
        <f t="shared" si="0"/>
        <v>3</v>
      </c>
      <c r="H62" s="731" t="s">
        <v>8766</v>
      </c>
    </row>
    <row r="63" spans="1:8" ht="30">
      <c r="A63" s="108" t="s">
        <v>8759</v>
      </c>
      <c r="B63" s="344" t="s">
        <v>8808</v>
      </c>
      <c r="C63" s="345" t="s">
        <v>4843</v>
      </c>
      <c r="D63" s="345" t="s">
        <v>4844</v>
      </c>
      <c r="E63" s="346" t="s">
        <v>4845</v>
      </c>
      <c r="F63" s="345" t="s">
        <v>8809</v>
      </c>
      <c r="G63" s="108">
        <f t="shared" si="0"/>
        <v>3</v>
      </c>
      <c r="H63" s="731" t="s">
        <v>8766</v>
      </c>
    </row>
    <row r="64" spans="1:8" ht="30">
      <c r="A64" s="108" t="s">
        <v>8759</v>
      </c>
      <c r="B64" s="741" t="s">
        <v>8810</v>
      </c>
      <c r="C64" s="742" t="s">
        <v>4847</v>
      </c>
      <c r="D64" s="742" t="s">
        <v>4848</v>
      </c>
      <c r="E64" s="742" t="s">
        <v>4849</v>
      </c>
      <c r="F64" s="742" t="s">
        <v>4850</v>
      </c>
      <c r="G64" s="108">
        <f t="shared" si="0"/>
        <v>3</v>
      </c>
      <c r="H64" s="740" t="s">
        <v>8766</v>
      </c>
    </row>
    <row r="65" spans="1:8" ht="30">
      <c r="A65" s="108" t="s">
        <v>8759</v>
      </c>
      <c r="B65" s="344" t="s">
        <v>8811</v>
      </c>
      <c r="C65" s="346" t="s">
        <v>74</v>
      </c>
      <c r="D65" s="345" t="s">
        <v>137</v>
      </c>
      <c r="E65" s="345" t="s">
        <v>73</v>
      </c>
      <c r="F65" s="345" t="s">
        <v>270</v>
      </c>
      <c r="G65" s="108">
        <f t="shared" si="0"/>
        <v>1</v>
      </c>
      <c r="H65" s="731" t="s">
        <v>8761</v>
      </c>
    </row>
    <row r="66" spans="1:8" ht="45">
      <c r="A66" s="108" t="s">
        <v>8759</v>
      </c>
      <c r="B66" s="344" t="s">
        <v>8812</v>
      </c>
      <c r="C66" s="345" t="s">
        <v>4725</v>
      </c>
      <c r="D66" s="345" t="s">
        <v>174</v>
      </c>
      <c r="E66" s="346" t="s">
        <v>74</v>
      </c>
      <c r="F66" s="345" t="s">
        <v>73</v>
      </c>
      <c r="G66" s="108">
        <f t="shared" si="0"/>
        <v>3</v>
      </c>
      <c r="H66" s="731" t="s">
        <v>8766</v>
      </c>
    </row>
    <row r="67" spans="1:8" ht="60">
      <c r="A67" s="108" t="s">
        <v>8759</v>
      </c>
      <c r="B67" s="344" t="s">
        <v>8813</v>
      </c>
      <c r="C67" s="345" t="s">
        <v>4854</v>
      </c>
      <c r="D67" s="345" t="s">
        <v>4855</v>
      </c>
      <c r="E67" s="345" t="s">
        <v>8814</v>
      </c>
      <c r="F67" s="346" t="s">
        <v>1000</v>
      </c>
      <c r="G67" s="108">
        <f t="shared" ref="G67:G130" si="1">IF(H67="A",1,IF(H67="B",2,IF(H67="C",3,IF(H67="D",4,0))))</f>
        <v>4</v>
      </c>
      <c r="H67" s="731" t="s">
        <v>8763</v>
      </c>
    </row>
    <row r="68" spans="1:8" ht="30">
      <c r="A68" s="108" t="s">
        <v>8759</v>
      </c>
      <c r="B68" s="344" t="s">
        <v>8815</v>
      </c>
      <c r="C68" s="345" t="s">
        <v>4858</v>
      </c>
      <c r="D68" s="345" t="s">
        <v>4859</v>
      </c>
      <c r="E68" s="345" t="s">
        <v>4860</v>
      </c>
      <c r="F68" s="346" t="s">
        <v>4861</v>
      </c>
      <c r="G68" s="108">
        <f t="shared" si="1"/>
        <v>4</v>
      </c>
      <c r="H68" s="731" t="s">
        <v>8763</v>
      </c>
    </row>
    <row r="69" spans="1:8" ht="105">
      <c r="A69" s="108" t="s">
        <v>8759</v>
      </c>
      <c r="B69" s="344" t="s">
        <v>8816</v>
      </c>
      <c r="C69" s="345" t="s">
        <v>4863</v>
      </c>
      <c r="D69" s="345" t="s">
        <v>4864</v>
      </c>
      <c r="E69" s="346" t="s">
        <v>4865</v>
      </c>
      <c r="F69" s="345" t="s">
        <v>4866</v>
      </c>
      <c r="G69" s="108">
        <f t="shared" si="1"/>
        <v>3</v>
      </c>
      <c r="H69" s="731" t="s">
        <v>8766</v>
      </c>
    </row>
    <row r="70" spans="1:8" ht="30">
      <c r="A70" s="108" t="s">
        <v>8759</v>
      </c>
      <c r="B70" s="344" t="s">
        <v>4882</v>
      </c>
      <c r="C70" s="345" t="s">
        <v>1370</v>
      </c>
      <c r="D70" s="345" t="s">
        <v>5339</v>
      </c>
      <c r="E70" s="345" t="s">
        <v>1372</v>
      </c>
      <c r="F70" s="346" t="s">
        <v>8817</v>
      </c>
      <c r="G70" s="108">
        <f t="shared" si="1"/>
        <v>4</v>
      </c>
      <c r="H70" s="731" t="s">
        <v>8763</v>
      </c>
    </row>
    <row r="71" spans="1:8" ht="45">
      <c r="A71" s="108" t="s">
        <v>8759</v>
      </c>
      <c r="B71" s="344" t="s">
        <v>4884</v>
      </c>
      <c r="C71" s="345" t="s">
        <v>4885</v>
      </c>
      <c r="D71" s="345" t="s">
        <v>4886</v>
      </c>
      <c r="E71" s="345" t="s">
        <v>4887</v>
      </c>
      <c r="F71" s="346" t="s">
        <v>8818</v>
      </c>
      <c r="G71" s="108">
        <f t="shared" si="1"/>
        <v>4</v>
      </c>
      <c r="H71" s="731" t="s">
        <v>8763</v>
      </c>
    </row>
    <row r="72" spans="1:8" ht="15.75">
      <c r="A72" s="108" t="s">
        <v>8759</v>
      </c>
      <c r="B72" s="344" t="s">
        <v>8819</v>
      </c>
      <c r="C72" s="346" t="s">
        <v>4656</v>
      </c>
      <c r="D72" s="345" t="s">
        <v>4889</v>
      </c>
      <c r="E72" s="345" t="s">
        <v>4890</v>
      </c>
      <c r="F72" s="345" t="s">
        <v>74</v>
      </c>
      <c r="G72" s="108">
        <f t="shared" si="1"/>
        <v>1</v>
      </c>
      <c r="H72" s="731" t="s">
        <v>8761</v>
      </c>
    </row>
    <row r="73" spans="1:8" ht="30">
      <c r="A73" s="108" t="s">
        <v>8759</v>
      </c>
      <c r="B73" s="344" t="s">
        <v>4891</v>
      </c>
      <c r="C73" s="345" t="s">
        <v>4892</v>
      </c>
      <c r="D73" s="346" t="s">
        <v>8820</v>
      </c>
      <c r="E73" s="345" t="s">
        <v>8821</v>
      </c>
      <c r="F73" s="345" t="s">
        <v>8822</v>
      </c>
      <c r="G73" s="108">
        <f t="shared" si="1"/>
        <v>2</v>
      </c>
      <c r="H73" s="731" t="s">
        <v>8764</v>
      </c>
    </row>
    <row r="74" spans="1:8" ht="45">
      <c r="A74" s="108" t="s">
        <v>8759</v>
      </c>
      <c r="B74" s="344" t="s">
        <v>8823</v>
      </c>
      <c r="C74" s="345" t="s">
        <v>4896</v>
      </c>
      <c r="D74" s="345" t="s">
        <v>4897</v>
      </c>
      <c r="E74" s="346" t="s">
        <v>4887</v>
      </c>
      <c r="F74" s="345" t="s">
        <v>4899</v>
      </c>
      <c r="G74" s="108">
        <f t="shared" si="1"/>
        <v>3</v>
      </c>
      <c r="H74" s="731" t="s">
        <v>8766</v>
      </c>
    </row>
    <row r="75" spans="1:8" ht="45">
      <c r="A75" s="108" t="s">
        <v>8759</v>
      </c>
      <c r="B75" s="344" t="s">
        <v>8824</v>
      </c>
      <c r="C75" s="345" t="s">
        <v>4901</v>
      </c>
      <c r="D75" s="345" t="s">
        <v>4902</v>
      </c>
      <c r="E75" s="345" t="s">
        <v>4903</v>
      </c>
      <c r="F75" s="346" t="s">
        <v>4904</v>
      </c>
      <c r="G75" s="108">
        <f t="shared" si="1"/>
        <v>4</v>
      </c>
      <c r="H75" s="731" t="s">
        <v>8763</v>
      </c>
    </row>
    <row r="76" spans="1:8" ht="45">
      <c r="A76" s="108" t="s">
        <v>8759</v>
      </c>
      <c r="B76" s="344" t="s">
        <v>8825</v>
      </c>
      <c r="C76" s="346" t="s">
        <v>4901</v>
      </c>
      <c r="D76" s="345" t="s">
        <v>4902</v>
      </c>
      <c r="E76" s="345" t="s">
        <v>4903</v>
      </c>
      <c r="F76" s="345" t="s">
        <v>4904</v>
      </c>
      <c r="G76" s="108">
        <f t="shared" si="1"/>
        <v>1</v>
      </c>
      <c r="H76" s="731" t="s">
        <v>8761</v>
      </c>
    </row>
    <row r="77" spans="1:8" ht="30">
      <c r="A77" s="108" t="s">
        <v>8759</v>
      </c>
      <c r="B77" s="344" t="s">
        <v>4906</v>
      </c>
      <c r="C77" s="345" t="s">
        <v>4907</v>
      </c>
      <c r="D77" s="346" t="s">
        <v>4908</v>
      </c>
      <c r="E77" s="345" t="s">
        <v>4909</v>
      </c>
      <c r="F77" s="345" t="s">
        <v>4910</v>
      </c>
      <c r="G77" s="108">
        <f t="shared" si="1"/>
        <v>2</v>
      </c>
      <c r="H77" s="731" t="s">
        <v>8764</v>
      </c>
    </row>
    <row r="78" spans="1:8" ht="60">
      <c r="A78" s="108" t="s">
        <v>8759</v>
      </c>
      <c r="B78" s="344" t="s">
        <v>8826</v>
      </c>
      <c r="C78" s="345" t="s">
        <v>8827</v>
      </c>
      <c r="D78" s="346" t="s">
        <v>8828</v>
      </c>
      <c r="E78" s="345" t="s">
        <v>8829</v>
      </c>
      <c r="F78" s="345" t="s">
        <v>8830</v>
      </c>
      <c r="G78" s="108">
        <f t="shared" si="1"/>
        <v>2</v>
      </c>
      <c r="H78" s="731" t="s">
        <v>8764</v>
      </c>
    </row>
    <row r="79" spans="1:8" ht="45">
      <c r="A79" s="108" t="s">
        <v>8759</v>
      </c>
      <c r="B79" s="344" t="s">
        <v>8831</v>
      </c>
      <c r="C79" s="345" t="s">
        <v>8832</v>
      </c>
      <c r="D79" s="345" t="s">
        <v>8833</v>
      </c>
      <c r="E79" s="346" t="s">
        <v>8834</v>
      </c>
      <c r="F79" s="345" t="s">
        <v>8835</v>
      </c>
      <c r="G79" s="108">
        <f t="shared" si="1"/>
        <v>3</v>
      </c>
      <c r="H79" s="731" t="s">
        <v>8766</v>
      </c>
    </row>
    <row r="80" spans="1:8" ht="45">
      <c r="A80" s="108" t="s">
        <v>8759</v>
      </c>
      <c r="B80" s="344" t="s">
        <v>8836</v>
      </c>
      <c r="C80" s="345" t="s">
        <v>8837</v>
      </c>
      <c r="D80" s="345" t="s">
        <v>8838</v>
      </c>
      <c r="E80" s="345" t="s">
        <v>8839</v>
      </c>
      <c r="F80" s="346" t="s">
        <v>4087</v>
      </c>
      <c r="G80" s="108">
        <f t="shared" si="1"/>
        <v>4</v>
      </c>
      <c r="H80" s="731" t="s">
        <v>8763</v>
      </c>
    </row>
    <row r="81" spans="1:8" ht="45">
      <c r="A81" s="108" t="s">
        <v>8759</v>
      </c>
      <c r="B81" s="732" t="s">
        <v>8840</v>
      </c>
      <c r="C81" s="734" t="s">
        <v>8841</v>
      </c>
      <c r="D81" s="733" t="s">
        <v>8842</v>
      </c>
      <c r="E81" s="733" t="s">
        <v>8843</v>
      </c>
      <c r="F81" s="733" t="s">
        <v>8844</v>
      </c>
      <c r="G81" s="108">
        <f t="shared" si="1"/>
        <v>1</v>
      </c>
      <c r="H81" s="731" t="s">
        <v>8761</v>
      </c>
    </row>
    <row r="82" spans="1:8" ht="30">
      <c r="A82" s="108" t="s">
        <v>8759</v>
      </c>
      <c r="B82" s="344" t="s">
        <v>8845</v>
      </c>
      <c r="C82" s="345" t="s">
        <v>8846</v>
      </c>
      <c r="D82" s="346" t="s">
        <v>8847</v>
      </c>
      <c r="E82" s="345" t="s">
        <v>8848</v>
      </c>
      <c r="F82" s="345" t="s">
        <v>8849</v>
      </c>
      <c r="G82" s="108">
        <f t="shared" si="1"/>
        <v>2</v>
      </c>
      <c r="H82" s="731" t="s">
        <v>8764</v>
      </c>
    </row>
    <row r="83" spans="1:8" ht="90">
      <c r="A83" s="108" t="s">
        <v>8759</v>
      </c>
      <c r="B83" s="344" t="s">
        <v>8850</v>
      </c>
      <c r="C83" s="345" t="s">
        <v>8851</v>
      </c>
      <c r="D83" s="345" t="s">
        <v>8852</v>
      </c>
      <c r="E83" s="345" t="s">
        <v>8853</v>
      </c>
      <c r="F83" s="346" t="s">
        <v>4087</v>
      </c>
      <c r="G83" s="108">
        <f t="shared" si="1"/>
        <v>4</v>
      </c>
      <c r="H83" s="731" t="s">
        <v>8763</v>
      </c>
    </row>
    <row r="84" spans="1:8" ht="30.75">
      <c r="A84" s="108" t="s">
        <v>8759</v>
      </c>
      <c r="B84" s="285" t="s">
        <v>8854</v>
      </c>
      <c r="C84" s="743" t="s">
        <v>8855</v>
      </c>
      <c r="D84" s="456" t="s">
        <v>8856</v>
      </c>
      <c r="E84" s="456" t="s">
        <v>8857</v>
      </c>
      <c r="F84" s="456" t="s">
        <v>8858</v>
      </c>
      <c r="G84" s="108">
        <f t="shared" si="1"/>
        <v>1</v>
      </c>
      <c r="H84" s="744" t="s">
        <v>8761</v>
      </c>
    </row>
    <row r="85" spans="1:8" ht="90">
      <c r="A85" s="108" t="s">
        <v>8759</v>
      </c>
      <c r="B85" s="352" t="s">
        <v>8859</v>
      </c>
      <c r="C85" s="347" t="s">
        <v>8860</v>
      </c>
      <c r="D85" s="347" t="s">
        <v>8861</v>
      </c>
      <c r="E85" s="347" t="s">
        <v>8862</v>
      </c>
      <c r="F85" s="346" t="s">
        <v>4087</v>
      </c>
      <c r="G85" s="108">
        <f t="shared" si="1"/>
        <v>4</v>
      </c>
      <c r="H85" s="739" t="s">
        <v>8763</v>
      </c>
    </row>
    <row r="86" spans="1:8" ht="60">
      <c r="A86" s="108" t="s">
        <v>8759</v>
      </c>
      <c r="B86" s="352" t="s">
        <v>8863</v>
      </c>
      <c r="C86" s="346" t="s">
        <v>8864</v>
      </c>
      <c r="D86" s="347" t="s">
        <v>8865</v>
      </c>
      <c r="E86" s="347" t="s">
        <v>8866</v>
      </c>
      <c r="F86" s="456" t="s">
        <v>4087</v>
      </c>
      <c r="G86" s="108">
        <f t="shared" si="1"/>
        <v>1</v>
      </c>
      <c r="H86" s="739" t="s">
        <v>8761</v>
      </c>
    </row>
    <row r="87" spans="1:8" ht="30.75">
      <c r="A87" s="108" t="s">
        <v>8759</v>
      </c>
      <c r="B87" s="285" t="s">
        <v>8867</v>
      </c>
      <c r="C87" s="456" t="s">
        <v>8868</v>
      </c>
      <c r="D87" s="456" t="s">
        <v>8869</v>
      </c>
      <c r="E87" s="743" t="s">
        <v>8870</v>
      </c>
      <c r="F87" s="456" t="s">
        <v>8871</v>
      </c>
      <c r="G87" s="108">
        <f t="shared" si="1"/>
        <v>3</v>
      </c>
      <c r="H87" s="744" t="s">
        <v>8766</v>
      </c>
    </row>
    <row r="88" spans="1:8">
      <c r="A88" s="108" t="s">
        <v>8872</v>
      </c>
      <c r="B88" s="745" t="s">
        <v>8873</v>
      </c>
      <c r="C88" s="746" t="s">
        <v>8874</v>
      </c>
      <c r="D88" s="747" t="s">
        <v>8875</v>
      </c>
      <c r="E88" s="748" t="s">
        <v>8876</v>
      </c>
      <c r="F88" s="749" t="s">
        <v>8877</v>
      </c>
      <c r="G88" s="108">
        <f t="shared" si="1"/>
        <v>2</v>
      </c>
      <c r="H88" s="746" t="s">
        <v>8764</v>
      </c>
    </row>
    <row r="89" spans="1:8">
      <c r="A89" s="108" t="s">
        <v>8872</v>
      </c>
      <c r="B89" s="750" t="s">
        <v>8878</v>
      </c>
      <c r="C89" s="751" t="s">
        <v>8879</v>
      </c>
      <c r="D89" s="751" t="s">
        <v>8880</v>
      </c>
      <c r="E89" s="752" t="s">
        <v>8881</v>
      </c>
      <c r="F89" s="753" t="s">
        <v>8882</v>
      </c>
      <c r="G89" s="108">
        <f t="shared" si="1"/>
        <v>4</v>
      </c>
      <c r="H89" s="748" t="s">
        <v>8763</v>
      </c>
    </row>
    <row r="90" spans="1:8" ht="25.5">
      <c r="A90" s="108" t="s">
        <v>8872</v>
      </c>
      <c r="B90" s="745" t="s">
        <v>8883</v>
      </c>
      <c r="C90" s="748" t="s">
        <v>8884</v>
      </c>
      <c r="D90" s="747" t="s">
        <v>8885</v>
      </c>
      <c r="E90" s="748" t="s">
        <v>8886</v>
      </c>
      <c r="F90" s="748" t="s">
        <v>8887</v>
      </c>
      <c r="G90" s="108">
        <f t="shared" si="1"/>
        <v>2</v>
      </c>
      <c r="H90" s="748" t="s">
        <v>8764</v>
      </c>
    </row>
    <row r="91" spans="1:8">
      <c r="A91" s="108" t="s">
        <v>8872</v>
      </c>
      <c r="B91" s="745" t="s">
        <v>8888</v>
      </c>
      <c r="C91" s="748">
        <v>1948</v>
      </c>
      <c r="D91" s="748">
        <v>2003</v>
      </c>
      <c r="E91" s="748">
        <v>2007</v>
      </c>
      <c r="F91" s="747">
        <v>2010</v>
      </c>
      <c r="G91" s="108">
        <f t="shared" si="1"/>
        <v>4</v>
      </c>
      <c r="H91" s="748" t="s">
        <v>8763</v>
      </c>
    </row>
    <row r="92" spans="1:8">
      <c r="A92" s="108" t="s">
        <v>8872</v>
      </c>
      <c r="B92" s="754" t="s">
        <v>8889</v>
      </c>
      <c r="C92" s="755" t="s">
        <v>74</v>
      </c>
      <c r="D92" s="755" t="s">
        <v>6518</v>
      </c>
      <c r="E92" s="756" t="s">
        <v>6339</v>
      </c>
      <c r="F92" s="748" t="s">
        <v>5239</v>
      </c>
      <c r="G92" s="108">
        <f t="shared" si="1"/>
        <v>3</v>
      </c>
      <c r="H92" s="748" t="s">
        <v>8766</v>
      </c>
    </row>
    <row r="93" spans="1:8" ht="25.5">
      <c r="A93" s="108" t="s">
        <v>8872</v>
      </c>
      <c r="B93" s="754" t="s">
        <v>8890</v>
      </c>
      <c r="C93" s="747" t="s">
        <v>8891</v>
      </c>
      <c r="D93" s="748" t="s">
        <v>8892</v>
      </c>
      <c r="E93" s="748" t="s">
        <v>8893</v>
      </c>
      <c r="F93" s="748" t="s">
        <v>8894</v>
      </c>
      <c r="G93" s="108">
        <f t="shared" si="1"/>
        <v>1</v>
      </c>
      <c r="H93" s="748" t="s">
        <v>8761</v>
      </c>
    </row>
    <row r="94" spans="1:8">
      <c r="A94" s="108" t="s">
        <v>8872</v>
      </c>
      <c r="B94" s="754" t="s">
        <v>8895</v>
      </c>
      <c r="C94" s="748" t="s">
        <v>8896</v>
      </c>
      <c r="D94" s="748" t="s">
        <v>8897</v>
      </c>
      <c r="E94" s="747" t="s">
        <v>8898</v>
      </c>
      <c r="F94" s="748" t="s">
        <v>298</v>
      </c>
      <c r="G94" s="108">
        <f t="shared" si="1"/>
        <v>3</v>
      </c>
      <c r="H94" s="748" t="s">
        <v>8766</v>
      </c>
    </row>
    <row r="95" spans="1:8" ht="25.5">
      <c r="A95" s="108" t="s">
        <v>8872</v>
      </c>
      <c r="B95" s="754" t="s">
        <v>8899</v>
      </c>
      <c r="C95" s="757" t="s">
        <v>8900</v>
      </c>
      <c r="D95" s="758" t="s">
        <v>8901</v>
      </c>
      <c r="E95" s="757" t="s">
        <v>8902</v>
      </c>
      <c r="F95" s="757" t="s">
        <v>8903</v>
      </c>
      <c r="G95" s="108">
        <f t="shared" si="1"/>
        <v>2</v>
      </c>
      <c r="H95" s="748" t="s">
        <v>8764</v>
      </c>
    </row>
    <row r="96" spans="1:8">
      <c r="A96" s="108" t="s">
        <v>8872</v>
      </c>
      <c r="B96" s="754" t="s">
        <v>8904</v>
      </c>
      <c r="C96" s="757" t="s">
        <v>8905</v>
      </c>
      <c r="D96" s="757" t="s">
        <v>6630</v>
      </c>
      <c r="E96" s="757" t="s">
        <v>8906</v>
      </c>
      <c r="F96" s="758" t="s">
        <v>1318</v>
      </c>
      <c r="G96" s="108">
        <f t="shared" si="1"/>
        <v>4</v>
      </c>
      <c r="H96" s="748" t="s">
        <v>8763</v>
      </c>
    </row>
    <row r="97" spans="1:8" ht="25.5">
      <c r="A97" s="108" t="s">
        <v>8872</v>
      </c>
      <c r="B97" s="754" t="s">
        <v>8907</v>
      </c>
      <c r="C97" s="757" t="s">
        <v>8908</v>
      </c>
      <c r="D97" s="758" t="s">
        <v>8909</v>
      </c>
      <c r="E97" s="757" t="s">
        <v>75</v>
      </c>
      <c r="F97" s="757" t="s">
        <v>8910</v>
      </c>
      <c r="G97" s="108">
        <f t="shared" si="1"/>
        <v>2</v>
      </c>
      <c r="H97" s="748" t="s">
        <v>8764</v>
      </c>
    </row>
    <row r="98" spans="1:8" ht="25.5">
      <c r="A98" s="108" t="s">
        <v>8872</v>
      </c>
      <c r="B98" s="750" t="s">
        <v>8911</v>
      </c>
      <c r="C98" s="757" t="s">
        <v>8912</v>
      </c>
      <c r="D98" s="757" t="s">
        <v>8913</v>
      </c>
      <c r="E98" s="757" t="s">
        <v>8914</v>
      </c>
      <c r="F98" s="758" t="s">
        <v>8915</v>
      </c>
      <c r="G98" s="108">
        <f t="shared" si="1"/>
        <v>4</v>
      </c>
      <c r="H98" s="748" t="s">
        <v>8763</v>
      </c>
    </row>
    <row r="99" spans="1:8">
      <c r="A99" s="108" t="s">
        <v>8872</v>
      </c>
      <c r="B99" s="759" t="s">
        <v>8916</v>
      </c>
      <c r="C99" s="758" t="s">
        <v>8917</v>
      </c>
      <c r="D99" s="757" t="s">
        <v>8918</v>
      </c>
      <c r="E99" s="757" t="s">
        <v>4769</v>
      </c>
      <c r="F99" s="757" t="s">
        <v>1743</v>
      </c>
      <c r="G99" s="108">
        <f t="shared" si="1"/>
        <v>1</v>
      </c>
      <c r="H99" s="748" t="s">
        <v>8761</v>
      </c>
    </row>
    <row r="100" spans="1:8">
      <c r="A100" s="108" t="s">
        <v>8872</v>
      </c>
      <c r="B100" s="750" t="s">
        <v>8919</v>
      </c>
      <c r="C100" s="757" t="s">
        <v>8920</v>
      </c>
      <c r="D100" s="757" t="s">
        <v>8921</v>
      </c>
      <c r="E100" s="757" t="s">
        <v>8922</v>
      </c>
      <c r="F100" s="758" t="s">
        <v>8923</v>
      </c>
      <c r="G100" s="108">
        <f t="shared" si="1"/>
        <v>4</v>
      </c>
      <c r="H100" s="748" t="s">
        <v>8763</v>
      </c>
    </row>
    <row r="101" spans="1:8" ht="25.5">
      <c r="A101" s="108" t="s">
        <v>8872</v>
      </c>
      <c r="B101" s="750" t="s">
        <v>8924</v>
      </c>
      <c r="C101" s="757" t="s">
        <v>8925</v>
      </c>
      <c r="D101" s="757" t="s">
        <v>8926</v>
      </c>
      <c r="E101" s="757" t="s">
        <v>8927</v>
      </c>
      <c r="F101" s="758" t="s">
        <v>8928</v>
      </c>
      <c r="G101" s="108">
        <f t="shared" si="1"/>
        <v>4</v>
      </c>
      <c r="H101" s="748" t="s">
        <v>8763</v>
      </c>
    </row>
    <row r="102" spans="1:8" ht="38.25">
      <c r="A102" s="108" t="s">
        <v>8872</v>
      </c>
      <c r="B102" s="750" t="s">
        <v>8929</v>
      </c>
      <c r="C102" s="757" t="s">
        <v>8930</v>
      </c>
      <c r="D102" s="757" t="s">
        <v>8931</v>
      </c>
      <c r="E102" s="758" t="s">
        <v>8932</v>
      </c>
      <c r="F102" s="757" t="s">
        <v>8933</v>
      </c>
      <c r="G102" s="108">
        <f t="shared" si="1"/>
        <v>3</v>
      </c>
      <c r="H102" s="748" t="s">
        <v>8766</v>
      </c>
    </row>
    <row r="103" spans="1:8" ht="51">
      <c r="A103" s="108" t="s">
        <v>8872</v>
      </c>
      <c r="B103" s="745" t="s">
        <v>8934</v>
      </c>
      <c r="C103" s="757" t="s">
        <v>8935</v>
      </c>
      <c r="D103" s="757" t="s">
        <v>8936</v>
      </c>
      <c r="E103" s="757" t="s">
        <v>8937</v>
      </c>
      <c r="F103" s="758" t="s">
        <v>1318</v>
      </c>
      <c r="G103" s="108">
        <f t="shared" si="1"/>
        <v>4</v>
      </c>
      <c r="H103" s="748" t="s">
        <v>8763</v>
      </c>
    </row>
    <row r="104" spans="1:8" ht="51">
      <c r="A104" s="108" t="s">
        <v>8872</v>
      </c>
      <c r="B104" s="745" t="s">
        <v>8938</v>
      </c>
      <c r="C104" s="757" t="s">
        <v>8939</v>
      </c>
      <c r="D104" s="757" t="s">
        <v>8940</v>
      </c>
      <c r="E104" s="757" t="s">
        <v>8941</v>
      </c>
      <c r="F104" s="758" t="s">
        <v>1000</v>
      </c>
      <c r="G104" s="108">
        <f t="shared" si="1"/>
        <v>4</v>
      </c>
      <c r="H104" s="748" t="s">
        <v>8763</v>
      </c>
    </row>
    <row r="105" spans="1:8" ht="51">
      <c r="A105" s="108" t="s">
        <v>8872</v>
      </c>
      <c r="B105" s="760" t="s">
        <v>8942</v>
      </c>
      <c r="C105" s="760" t="s">
        <v>8943</v>
      </c>
      <c r="D105" s="760" t="s">
        <v>8944</v>
      </c>
      <c r="E105" s="760" t="s">
        <v>8945</v>
      </c>
      <c r="F105" s="758" t="s">
        <v>8946</v>
      </c>
      <c r="G105" s="108">
        <f t="shared" si="1"/>
        <v>4</v>
      </c>
      <c r="H105" s="761" t="s">
        <v>8763</v>
      </c>
    </row>
    <row r="106" spans="1:8" ht="38.25">
      <c r="A106" s="108" t="s">
        <v>8872</v>
      </c>
      <c r="B106" s="760" t="s">
        <v>8947</v>
      </c>
      <c r="C106" s="760" t="s">
        <v>5307</v>
      </c>
      <c r="D106" s="760" t="s">
        <v>174</v>
      </c>
      <c r="E106" s="760" t="s">
        <v>74</v>
      </c>
      <c r="F106" s="758" t="s">
        <v>8948</v>
      </c>
      <c r="G106" s="108">
        <f t="shared" si="1"/>
        <v>4</v>
      </c>
      <c r="H106" s="761" t="s">
        <v>8763</v>
      </c>
    </row>
    <row r="107" spans="1:8" ht="25.5">
      <c r="A107" s="108" t="s">
        <v>8872</v>
      </c>
      <c r="B107" s="757" t="s">
        <v>8949</v>
      </c>
      <c r="C107" s="757" t="s">
        <v>6524</v>
      </c>
      <c r="D107" s="757" t="s">
        <v>8950</v>
      </c>
      <c r="E107" s="758" t="s">
        <v>8951</v>
      </c>
      <c r="F107" s="757" t="s">
        <v>8952</v>
      </c>
      <c r="G107" s="108">
        <f t="shared" si="1"/>
        <v>3</v>
      </c>
      <c r="H107" s="98" t="s">
        <v>8766</v>
      </c>
    </row>
    <row r="108" spans="1:8" ht="76.5">
      <c r="A108" s="108" t="s">
        <v>8872</v>
      </c>
      <c r="B108" s="757" t="s">
        <v>8953</v>
      </c>
      <c r="C108" s="757" t="s">
        <v>8954</v>
      </c>
      <c r="D108" s="757" t="s">
        <v>8955</v>
      </c>
      <c r="E108" s="757" t="s">
        <v>8956</v>
      </c>
      <c r="F108" s="758" t="s">
        <v>8957</v>
      </c>
      <c r="G108" s="108">
        <f t="shared" si="1"/>
        <v>4</v>
      </c>
      <c r="H108" s="98" t="s">
        <v>8763</v>
      </c>
    </row>
    <row r="109" spans="1:8" ht="51">
      <c r="A109" s="108" t="s">
        <v>8872</v>
      </c>
      <c r="B109" s="757" t="s">
        <v>8958</v>
      </c>
      <c r="C109" s="757" t="s">
        <v>8959</v>
      </c>
      <c r="D109" s="758" t="s">
        <v>8960</v>
      </c>
      <c r="E109" s="757" t="s">
        <v>8961</v>
      </c>
      <c r="F109" s="757" t="s">
        <v>8962</v>
      </c>
      <c r="G109" s="108">
        <f t="shared" si="1"/>
        <v>2</v>
      </c>
      <c r="H109" s="98" t="s">
        <v>8764</v>
      </c>
    </row>
    <row r="110" spans="1:8" ht="89.25">
      <c r="A110" s="108" t="s">
        <v>8872</v>
      </c>
      <c r="B110" s="757" t="s">
        <v>8963</v>
      </c>
      <c r="C110" s="758" t="s">
        <v>8964</v>
      </c>
      <c r="D110" s="757" t="s">
        <v>8965</v>
      </c>
      <c r="E110" s="757" t="s">
        <v>8966</v>
      </c>
      <c r="F110" s="757" t="s">
        <v>8967</v>
      </c>
      <c r="G110" s="108">
        <f t="shared" si="1"/>
        <v>1</v>
      </c>
      <c r="H110" s="98" t="s">
        <v>8761</v>
      </c>
    </row>
    <row r="111" spans="1:8" ht="102">
      <c r="A111" s="108" t="s">
        <v>8872</v>
      </c>
      <c r="B111" s="757" t="s">
        <v>8968</v>
      </c>
      <c r="C111" s="757" t="s">
        <v>8969</v>
      </c>
      <c r="D111" s="758" t="s">
        <v>8970</v>
      </c>
      <c r="E111" s="757" t="s">
        <v>8971</v>
      </c>
      <c r="F111" s="757" t="s">
        <v>8972</v>
      </c>
      <c r="G111" s="108">
        <f t="shared" si="1"/>
        <v>2</v>
      </c>
      <c r="H111" s="98" t="s">
        <v>8764</v>
      </c>
    </row>
    <row r="112" spans="1:8" ht="25.5">
      <c r="A112" s="108" t="s">
        <v>8872</v>
      </c>
      <c r="B112" s="757" t="s">
        <v>8973</v>
      </c>
      <c r="C112" s="758" t="s">
        <v>8974</v>
      </c>
      <c r="D112" s="757" t="s">
        <v>8975</v>
      </c>
      <c r="E112" s="757" t="s">
        <v>8976</v>
      </c>
      <c r="F112" s="757" t="s">
        <v>8977</v>
      </c>
      <c r="G112" s="108">
        <f t="shared" si="1"/>
        <v>1</v>
      </c>
      <c r="H112" s="98" t="s">
        <v>8761</v>
      </c>
    </row>
    <row r="113" spans="1:8">
      <c r="A113" s="108" t="s">
        <v>8872</v>
      </c>
      <c r="B113" s="757" t="s">
        <v>8978</v>
      </c>
      <c r="C113" s="757" t="s">
        <v>8979</v>
      </c>
      <c r="D113" s="757" t="s">
        <v>8980</v>
      </c>
      <c r="E113" s="758" t="s">
        <v>8981</v>
      </c>
      <c r="F113" s="757" t="s">
        <v>8982</v>
      </c>
      <c r="G113" s="108">
        <f t="shared" si="1"/>
        <v>3</v>
      </c>
      <c r="H113" s="98" t="s">
        <v>8766</v>
      </c>
    </row>
    <row r="114" spans="1:8" ht="89.25">
      <c r="A114" s="108" t="s">
        <v>8872</v>
      </c>
      <c r="B114" s="757" t="s">
        <v>8983</v>
      </c>
      <c r="C114" s="757" t="s">
        <v>8984</v>
      </c>
      <c r="D114" s="758" t="s">
        <v>8985</v>
      </c>
      <c r="E114" s="757" t="s">
        <v>8986</v>
      </c>
      <c r="F114" s="757" t="s">
        <v>8987</v>
      </c>
      <c r="G114" s="108">
        <f t="shared" si="1"/>
        <v>2</v>
      </c>
      <c r="H114" s="98" t="s">
        <v>8764</v>
      </c>
    </row>
    <row r="115" spans="1:8" ht="25.5">
      <c r="A115" s="108" t="s">
        <v>8872</v>
      </c>
      <c r="B115" s="757" t="s">
        <v>8988</v>
      </c>
      <c r="C115" s="757" t="s">
        <v>8989</v>
      </c>
      <c r="D115" s="757" t="s">
        <v>8990</v>
      </c>
      <c r="E115" s="758" t="s">
        <v>8991</v>
      </c>
      <c r="F115" s="757" t="s">
        <v>8992</v>
      </c>
      <c r="G115" s="108">
        <f t="shared" si="1"/>
        <v>3</v>
      </c>
      <c r="H115" s="98" t="s">
        <v>8766</v>
      </c>
    </row>
    <row r="116" spans="1:8" ht="25.5">
      <c r="A116" s="108" t="s">
        <v>8872</v>
      </c>
      <c r="B116" s="757" t="s">
        <v>8993</v>
      </c>
      <c r="C116" s="757" t="s">
        <v>8892</v>
      </c>
      <c r="D116" s="758" t="s">
        <v>8994</v>
      </c>
      <c r="E116" s="757" t="s">
        <v>8995</v>
      </c>
      <c r="F116" s="757" t="s">
        <v>8996</v>
      </c>
      <c r="G116" s="108">
        <f t="shared" si="1"/>
        <v>2</v>
      </c>
      <c r="H116" s="98" t="s">
        <v>8764</v>
      </c>
    </row>
    <row r="117" spans="1:8" ht="25.5">
      <c r="A117" s="108" t="s">
        <v>8872</v>
      </c>
      <c r="B117" s="757" t="s">
        <v>8997</v>
      </c>
      <c r="C117" s="758" t="s">
        <v>8998</v>
      </c>
      <c r="D117" s="757" t="s">
        <v>8999</v>
      </c>
      <c r="E117" s="757" t="s">
        <v>9000</v>
      </c>
      <c r="F117" s="757" t="s">
        <v>9001</v>
      </c>
      <c r="G117" s="108">
        <f t="shared" si="1"/>
        <v>1</v>
      </c>
      <c r="H117" s="98" t="s">
        <v>8761</v>
      </c>
    </row>
    <row r="118" spans="1:8">
      <c r="A118" s="108" t="s">
        <v>8872</v>
      </c>
      <c r="B118" s="757" t="s">
        <v>9002</v>
      </c>
      <c r="C118" s="758">
        <v>1</v>
      </c>
      <c r="D118" s="757">
        <v>2</v>
      </c>
      <c r="E118" s="757">
        <v>3</v>
      </c>
      <c r="F118" s="757">
        <v>4</v>
      </c>
      <c r="G118" s="108">
        <f t="shared" si="1"/>
        <v>1</v>
      </c>
      <c r="H118" s="98" t="s">
        <v>8761</v>
      </c>
    </row>
    <row r="119" spans="1:8" ht="38.25">
      <c r="A119" s="108" t="s">
        <v>8872</v>
      </c>
      <c r="B119" s="757" t="s">
        <v>9003</v>
      </c>
      <c r="C119" s="758" t="s">
        <v>9004</v>
      </c>
      <c r="D119" s="757" t="s">
        <v>9005</v>
      </c>
      <c r="E119" s="757" t="s">
        <v>9006</v>
      </c>
      <c r="F119" s="757" t="s">
        <v>9007</v>
      </c>
      <c r="G119" s="108">
        <f t="shared" si="1"/>
        <v>1</v>
      </c>
      <c r="H119" s="98" t="s">
        <v>8761</v>
      </c>
    </row>
    <row r="120" spans="1:8">
      <c r="A120" s="108" t="s">
        <v>8872</v>
      </c>
      <c r="B120" s="757" t="s">
        <v>9008</v>
      </c>
      <c r="C120" s="757" t="s">
        <v>9009</v>
      </c>
      <c r="D120" s="757" t="s">
        <v>8897</v>
      </c>
      <c r="E120" s="757" t="s">
        <v>8896</v>
      </c>
      <c r="F120" s="758" t="s">
        <v>8898</v>
      </c>
      <c r="G120" s="108">
        <f t="shared" si="1"/>
        <v>4</v>
      </c>
      <c r="H120" s="98" t="s">
        <v>8763</v>
      </c>
    </row>
    <row r="121" spans="1:8" ht="25.5">
      <c r="A121" s="108" t="s">
        <v>8872</v>
      </c>
      <c r="B121" s="757" t="s">
        <v>9010</v>
      </c>
      <c r="C121" s="757" t="s">
        <v>5307</v>
      </c>
      <c r="D121" s="757" t="s">
        <v>174</v>
      </c>
      <c r="E121" s="757" t="s">
        <v>74</v>
      </c>
      <c r="F121" s="758" t="s">
        <v>6339</v>
      </c>
      <c r="G121" s="108">
        <f t="shared" si="1"/>
        <v>4</v>
      </c>
      <c r="H121" s="98" t="s">
        <v>8763</v>
      </c>
    </row>
    <row r="122" spans="1:8" ht="25.5">
      <c r="A122" s="108" t="s">
        <v>8872</v>
      </c>
      <c r="B122" s="757" t="s">
        <v>9011</v>
      </c>
      <c r="C122" s="757" t="s">
        <v>6339</v>
      </c>
      <c r="D122" s="758" t="s">
        <v>5307</v>
      </c>
      <c r="E122" s="757" t="s">
        <v>74</v>
      </c>
      <c r="F122" s="757" t="s">
        <v>174</v>
      </c>
      <c r="G122" s="108">
        <f t="shared" si="1"/>
        <v>2</v>
      </c>
      <c r="H122" s="98" t="s">
        <v>8764</v>
      </c>
    </row>
    <row r="123" spans="1:8" ht="45">
      <c r="A123" s="108" t="s">
        <v>6708</v>
      </c>
      <c r="B123" s="352" t="s">
        <v>9012</v>
      </c>
      <c r="C123" s="347" t="s">
        <v>5264</v>
      </c>
      <c r="D123" s="347" t="s">
        <v>5265</v>
      </c>
      <c r="E123" s="347" t="s">
        <v>5266</v>
      </c>
      <c r="F123" s="346" t="s">
        <v>1869</v>
      </c>
      <c r="G123" s="108">
        <f t="shared" si="1"/>
        <v>4</v>
      </c>
      <c r="H123" s="739" t="s">
        <v>8763</v>
      </c>
    </row>
    <row r="124" spans="1:8" ht="60">
      <c r="A124" s="108" t="s">
        <v>6708</v>
      </c>
      <c r="B124" s="352" t="s">
        <v>9013</v>
      </c>
      <c r="C124" s="347" t="s">
        <v>5268</v>
      </c>
      <c r="D124" s="347" t="s">
        <v>5269</v>
      </c>
      <c r="E124" s="347" t="s">
        <v>5270</v>
      </c>
      <c r="F124" s="346" t="s">
        <v>5271</v>
      </c>
      <c r="G124" s="108">
        <f t="shared" si="1"/>
        <v>4</v>
      </c>
      <c r="H124" s="739" t="s">
        <v>8763</v>
      </c>
    </row>
    <row r="125" spans="1:8" ht="30">
      <c r="A125" s="108" t="s">
        <v>6708</v>
      </c>
      <c r="B125" s="352" t="s">
        <v>9014</v>
      </c>
      <c r="C125" s="347" t="s">
        <v>5303</v>
      </c>
      <c r="D125" s="346" t="s">
        <v>5304</v>
      </c>
      <c r="E125" s="347" t="s">
        <v>5305</v>
      </c>
      <c r="F125" s="347" t="s">
        <v>9015</v>
      </c>
      <c r="G125" s="108">
        <f t="shared" si="1"/>
        <v>2</v>
      </c>
      <c r="H125" s="739" t="s">
        <v>8764</v>
      </c>
    </row>
    <row r="126" spans="1:8" ht="60">
      <c r="A126" s="108" t="s">
        <v>6708</v>
      </c>
      <c r="B126" s="344" t="s">
        <v>9016</v>
      </c>
      <c r="C126" s="346" t="s">
        <v>5273</v>
      </c>
      <c r="D126" s="345" t="s">
        <v>5274</v>
      </c>
      <c r="E126" s="345" t="s">
        <v>5275</v>
      </c>
      <c r="F126" s="345" t="s">
        <v>5276</v>
      </c>
      <c r="G126" s="108">
        <f t="shared" si="1"/>
        <v>1</v>
      </c>
      <c r="H126" s="731" t="s">
        <v>8761</v>
      </c>
    </row>
    <row r="127" spans="1:8" ht="90">
      <c r="A127" s="108" t="s">
        <v>6708</v>
      </c>
      <c r="B127" s="344" t="s">
        <v>9017</v>
      </c>
      <c r="C127" s="346" t="s">
        <v>1073</v>
      </c>
      <c r="D127" s="345" t="s">
        <v>252</v>
      </c>
      <c r="E127" s="345" t="s">
        <v>1072</v>
      </c>
      <c r="F127" s="345" t="s">
        <v>235</v>
      </c>
      <c r="G127" s="108">
        <f t="shared" si="1"/>
        <v>1</v>
      </c>
      <c r="H127" s="731" t="s">
        <v>8761</v>
      </c>
    </row>
    <row r="128" spans="1:8" ht="90">
      <c r="A128" s="108" t="s">
        <v>6708</v>
      </c>
      <c r="B128" s="344" t="s">
        <v>9018</v>
      </c>
      <c r="C128" s="346" t="s">
        <v>1073</v>
      </c>
      <c r="D128" s="345" t="s">
        <v>252</v>
      </c>
      <c r="E128" s="345" t="s">
        <v>1072</v>
      </c>
      <c r="F128" s="345" t="s">
        <v>235</v>
      </c>
      <c r="G128" s="108">
        <f t="shared" si="1"/>
        <v>1</v>
      </c>
      <c r="H128" s="731" t="s">
        <v>8761</v>
      </c>
    </row>
    <row r="129" spans="1:8" ht="45">
      <c r="A129" s="108" t="s">
        <v>6708</v>
      </c>
      <c r="B129" s="344" t="s">
        <v>9019</v>
      </c>
      <c r="C129" s="345" t="s">
        <v>5307</v>
      </c>
      <c r="D129" s="345" t="s">
        <v>74</v>
      </c>
      <c r="E129" s="345" t="s">
        <v>73</v>
      </c>
      <c r="F129" s="346" t="s">
        <v>174</v>
      </c>
      <c r="G129" s="108">
        <f t="shared" si="1"/>
        <v>4</v>
      </c>
      <c r="H129" s="731" t="s">
        <v>8763</v>
      </c>
    </row>
    <row r="130" spans="1:8" ht="45">
      <c r="A130" s="108" t="s">
        <v>6708</v>
      </c>
      <c r="B130" s="344" t="s">
        <v>9020</v>
      </c>
      <c r="C130" s="345" t="s">
        <v>5309</v>
      </c>
      <c r="D130" s="345" t="s">
        <v>74</v>
      </c>
      <c r="E130" s="345" t="s">
        <v>177</v>
      </c>
      <c r="F130" s="346" t="s">
        <v>173</v>
      </c>
      <c r="G130" s="108">
        <f t="shared" si="1"/>
        <v>4</v>
      </c>
      <c r="H130" s="731" t="s">
        <v>8763</v>
      </c>
    </row>
    <row r="131" spans="1:8" ht="75">
      <c r="A131" s="108" t="s">
        <v>6708</v>
      </c>
      <c r="B131" s="344" t="s">
        <v>9021</v>
      </c>
      <c r="C131" s="345">
        <v>1</v>
      </c>
      <c r="D131" s="345">
        <v>2</v>
      </c>
      <c r="E131" s="345">
        <v>3</v>
      </c>
      <c r="F131" s="346">
        <v>4</v>
      </c>
      <c r="G131" s="108">
        <f t="shared" ref="G131:G194" si="2">IF(H131="A",1,IF(H131="B",2,IF(H131="C",3,IF(H131="D",4,0))))</f>
        <v>4</v>
      </c>
      <c r="H131" s="731" t="s">
        <v>8763</v>
      </c>
    </row>
    <row r="132" spans="1:8" ht="135">
      <c r="A132" s="108" t="s">
        <v>6708</v>
      </c>
      <c r="B132" s="352" t="s">
        <v>9022</v>
      </c>
      <c r="C132" s="347" t="s">
        <v>252</v>
      </c>
      <c r="D132" s="347" t="s">
        <v>4793</v>
      </c>
      <c r="E132" s="346" t="s">
        <v>6711</v>
      </c>
      <c r="F132" s="347" t="s">
        <v>6712</v>
      </c>
      <c r="G132" s="108">
        <f t="shared" si="2"/>
        <v>3</v>
      </c>
      <c r="H132" s="739" t="s">
        <v>8766</v>
      </c>
    </row>
    <row r="133" spans="1:8" ht="120">
      <c r="A133" s="108" t="s">
        <v>6708</v>
      </c>
      <c r="B133" s="352" t="s">
        <v>9023</v>
      </c>
      <c r="C133" s="347" t="s">
        <v>252</v>
      </c>
      <c r="D133" s="347" t="s">
        <v>4793</v>
      </c>
      <c r="E133" s="347" t="s">
        <v>6711</v>
      </c>
      <c r="F133" s="346" t="s">
        <v>6712</v>
      </c>
      <c r="G133" s="108">
        <f t="shared" si="2"/>
        <v>4</v>
      </c>
      <c r="H133" s="739" t="s">
        <v>8763</v>
      </c>
    </row>
    <row r="134" spans="1:8" ht="120">
      <c r="A134" s="108" t="s">
        <v>6708</v>
      </c>
      <c r="B134" s="352" t="s">
        <v>9024</v>
      </c>
      <c r="C134" s="347" t="s">
        <v>252</v>
      </c>
      <c r="D134" s="347" t="s">
        <v>4793</v>
      </c>
      <c r="E134" s="346" t="s">
        <v>6711</v>
      </c>
      <c r="F134" s="347" t="s">
        <v>6712</v>
      </c>
      <c r="G134" s="108">
        <f t="shared" si="2"/>
        <v>3</v>
      </c>
      <c r="H134" s="739" t="s">
        <v>8766</v>
      </c>
    </row>
    <row r="135" spans="1:8" ht="105">
      <c r="A135" s="108" t="s">
        <v>6708</v>
      </c>
      <c r="B135" s="352" t="s">
        <v>9025</v>
      </c>
      <c r="C135" s="347" t="s">
        <v>6716</v>
      </c>
      <c r="D135" s="347" t="s">
        <v>6717</v>
      </c>
      <c r="E135" s="347" t="s">
        <v>6718</v>
      </c>
      <c r="F135" s="346" t="s">
        <v>6719</v>
      </c>
      <c r="G135" s="108">
        <f t="shared" si="2"/>
        <v>4</v>
      </c>
      <c r="H135" s="739" t="s">
        <v>8763</v>
      </c>
    </row>
    <row r="136" spans="1:8" ht="45">
      <c r="A136" s="108" t="s">
        <v>6708</v>
      </c>
      <c r="B136" s="352" t="s">
        <v>9026</v>
      </c>
      <c r="C136" s="347" t="s">
        <v>5312</v>
      </c>
      <c r="D136" s="347" t="s">
        <v>5313</v>
      </c>
      <c r="E136" s="347" t="s">
        <v>5314</v>
      </c>
      <c r="F136" s="346" t="s">
        <v>1869</v>
      </c>
      <c r="G136" s="108">
        <f t="shared" si="2"/>
        <v>4</v>
      </c>
      <c r="H136" s="739" t="s">
        <v>8763</v>
      </c>
    </row>
    <row r="137" spans="1:8" ht="60">
      <c r="A137" s="108" t="s">
        <v>6708</v>
      </c>
      <c r="B137" s="352" t="s">
        <v>9027</v>
      </c>
      <c r="C137" s="347">
        <v>1</v>
      </c>
      <c r="D137" s="347">
        <v>2</v>
      </c>
      <c r="E137" s="346" t="s">
        <v>1073</v>
      </c>
      <c r="F137" s="347" t="s">
        <v>252</v>
      </c>
      <c r="G137" s="108">
        <f t="shared" si="2"/>
        <v>3</v>
      </c>
      <c r="H137" s="739" t="s">
        <v>8766</v>
      </c>
    </row>
    <row r="138" spans="1:8" ht="45">
      <c r="A138" s="108" t="s">
        <v>6708</v>
      </c>
      <c r="B138" s="352" t="s">
        <v>9028</v>
      </c>
      <c r="C138" s="347">
        <v>2</v>
      </c>
      <c r="D138" s="347">
        <v>3</v>
      </c>
      <c r="E138" s="347">
        <v>4</v>
      </c>
      <c r="F138" s="346">
        <v>5</v>
      </c>
      <c r="G138" s="108">
        <f t="shared" si="2"/>
        <v>4</v>
      </c>
      <c r="H138" s="739" t="s">
        <v>8763</v>
      </c>
    </row>
    <row r="139" spans="1:8" ht="45">
      <c r="A139" s="108" t="s">
        <v>6708</v>
      </c>
      <c r="B139" s="352" t="s">
        <v>9029</v>
      </c>
      <c r="C139" s="347" t="s">
        <v>9030</v>
      </c>
      <c r="D139" s="346" t="s">
        <v>9031</v>
      </c>
      <c r="E139" s="347" t="s">
        <v>9032</v>
      </c>
      <c r="F139" s="347" t="s">
        <v>5321</v>
      </c>
      <c r="G139" s="108">
        <f t="shared" si="2"/>
        <v>2</v>
      </c>
      <c r="H139" s="739" t="s">
        <v>8764</v>
      </c>
    </row>
    <row r="140" spans="1:8" ht="30">
      <c r="A140" s="108" t="s">
        <v>6708</v>
      </c>
      <c r="B140" s="344" t="s">
        <v>9033</v>
      </c>
      <c r="C140" s="345" t="s">
        <v>174</v>
      </c>
      <c r="D140" s="345" t="s">
        <v>74</v>
      </c>
      <c r="E140" s="345" t="s">
        <v>76</v>
      </c>
      <c r="F140" s="346" t="s">
        <v>5325</v>
      </c>
      <c r="G140" s="108">
        <f t="shared" si="2"/>
        <v>4</v>
      </c>
      <c r="H140" s="731" t="s">
        <v>8763</v>
      </c>
    </row>
    <row r="141" spans="1:8" ht="30">
      <c r="A141" s="108" t="s">
        <v>6708</v>
      </c>
      <c r="B141" s="344" t="s">
        <v>9034</v>
      </c>
      <c r="C141" s="345" t="s">
        <v>2070</v>
      </c>
      <c r="D141" s="345" t="s">
        <v>270</v>
      </c>
      <c r="E141" s="345" t="s">
        <v>76</v>
      </c>
      <c r="F141" s="346" t="s">
        <v>9035</v>
      </c>
      <c r="G141" s="108">
        <f t="shared" si="2"/>
        <v>4</v>
      </c>
      <c r="H141" s="731" t="s">
        <v>8763</v>
      </c>
    </row>
    <row r="142" spans="1:8" ht="30">
      <c r="A142" s="108" t="s">
        <v>6708</v>
      </c>
      <c r="B142" s="344" t="s">
        <v>9036</v>
      </c>
      <c r="C142" s="345" t="s">
        <v>2070</v>
      </c>
      <c r="D142" s="345" t="s">
        <v>270</v>
      </c>
      <c r="E142" s="346" t="s">
        <v>76</v>
      </c>
      <c r="F142" s="345" t="s">
        <v>74</v>
      </c>
      <c r="G142" s="108">
        <f t="shared" si="2"/>
        <v>3</v>
      </c>
      <c r="H142" s="731" t="s">
        <v>8766</v>
      </c>
    </row>
    <row r="143" spans="1:8" ht="45">
      <c r="A143" s="108" t="s">
        <v>6708</v>
      </c>
      <c r="B143" s="344" t="s">
        <v>9037</v>
      </c>
      <c r="C143" s="345" t="s">
        <v>5280</v>
      </c>
      <c r="D143" s="346" t="s">
        <v>5330</v>
      </c>
      <c r="E143" s="345" t="s">
        <v>5282</v>
      </c>
      <c r="F143" s="345" t="s">
        <v>5283</v>
      </c>
      <c r="G143" s="108">
        <f t="shared" si="2"/>
        <v>2</v>
      </c>
      <c r="H143" s="731" t="s">
        <v>8764</v>
      </c>
    </row>
    <row r="144" spans="1:8" ht="30">
      <c r="A144" s="108" t="s">
        <v>6708</v>
      </c>
      <c r="B144" s="344" t="s">
        <v>9038</v>
      </c>
      <c r="C144" s="345" t="s">
        <v>5332</v>
      </c>
      <c r="D144" s="346" t="s">
        <v>5333</v>
      </c>
      <c r="E144" s="345" t="s">
        <v>9039</v>
      </c>
      <c r="F144" s="345" t="s">
        <v>9040</v>
      </c>
      <c r="G144" s="108">
        <f t="shared" si="2"/>
        <v>2</v>
      </c>
      <c r="H144" s="731" t="s">
        <v>8764</v>
      </c>
    </row>
    <row r="145" spans="1:8" ht="30">
      <c r="A145" s="108" t="s">
        <v>6708</v>
      </c>
      <c r="B145" s="344" t="s">
        <v>9041</v>
      </c>
      <c r="C145" s="345" t="s">
        <v>2222</v>
      </c>
      <c r="D145" s="345" t="s">
        <v>2204</v>
      </c>
      <c r="E145" s="345" t="s">
        <v>5336</v>
      </c>
      <c r="F145" s="346" t="s">
        <v>5337</v>
      </c>
      <c r="G145" s="108">
        <f t="shared" si="2"/>
        <v>4</v>
      </c>
      <c r="H145" s="731" t="s">
        <v>8763</v>
      </c>
    </row>
    <row r="146" spans="1:8" ht="30">
      <c r="A146" s="108" t="s">
        <v>6708</v>
      </c>
      <c r="B146" s="344" t="s">
        <v>9042</v>
      </c>
      <c r="C146" s="345" t="s">
        <v>1370</v>
      </c>
      <c r="D146" s="345" t="s">
        <v>5339</v>
      </c>
      <c r="E146" s="346" t="s">
        <v>9043</v>
      </c>
      <c r="F146" s="345" t="s">
        <v>9044</v>
      </c>
      <c r="G146" s="108">
        <f t="shared" si="2"/>
        <v>3</v>
      </c>
      <c r="H146" s="731" t="s">
        <v>8766</v>
      </c>
    </row>
    <row r="147" spans="1:8" ht="30">
      <c r="A147" s="108" t="s">
        <v>6708</v>
      </c>
      <c r="B147" s="344" t="s">
        <v>9045</v>
      </c>
      <c r="C147" s="345" t="s">
        <v>1370</v>
      </c>
      <c r="D147" s="345" t="s">
        <v>5339</v>
      </c>
      <c r="E147" s="345" t="s">
        <v>5341</v>
      </c>
      <c r="F147" s="346" t="s">
        <v>1000</v>
      </c>
      <c r="G147" s="108">
        <f t="shared" si="2"/>
        <v>4</v>
      </c>
      <c r="H147" s="731" t="s">
        <v>8763</v>
      </c>
    </row>
    <row r="148" spans="1:8" ht="45">
      <c r="A148" s="108" t="s">
        <v>6708</v>
      </c>
      <c r="B148" s="344" t="s">
        <v>9046</v>
      </c>
      <c r="C148" s="345" t="s">
        <v>5280</v>
      </c>
      <c r="D148" s="346" t="s">
        <v>5281</v>
      </c>
      <c r="E148" s="345" t="s">
        <v>5282</v>
      </c>
      <c r="F148" s="345" t="s">
        <v>5283</v>
      </c>
      <c r="G148" s="108">
        <f t="shared" si="2"/>
        <v>2</v>
      </c>
      <c r="H148" s="731" t="s">
        <v>8764</v>
      </c>
    </row>
    <row r="149" spans="1:8" ht="45">
      <c r="A149" s="108" t="s">
        <v>6708</v>
      </c>
      <c r="B149" s="344" t="s">
        <v>9047</v>
      </c>
      <c r="C149" s="345" t="s">
        <v>188</v>
      </c>
      <c r="D149" s="347" t="s">
        <v>5343</v>
      </c>
      <c r="E149" s="346" t="s">
        <v>5344</v>
      </c>
      <c r="F149" s="345" t="s">
        <v>9048</v>
      </c>
      <c r="G149" s="108">
        <f t="shared" si="2"/>
        <v>3</v>
      </c>
      <c r="H149" s="731" t="s">
        <v>8766</v>
      </c>
    </row>
    <row r="150" spans="1:8" ht="90">
      <c r="A150" s="108" t="s">
        <v>6708</v>
      </c>
      <c r="B150" s="344" t="s">
        <v>9049</v>
      </c>
      <c r="C150" s="345" t="s">
        <v>1073</v>
      </c>
      <c r="D150" s="345" t="s">
        <v>1072</v>
      </c>
      <c r="E150" s="345" t="s">
        <v>5346</v>
      </c>
      <c r="F150" s="346" t="s">
        <v>1057</v>
      </c>
      <c r="G150" s="108">
        <f t="shared" si="2"/>
        <v>4</v>
      </c>
      <c r="H150" s="731" t="s">
        <v>8763</v>
      </c>
    </row>
    <row r="151" spans="1:8" ht="90">
      <c r="A151" s="108" t="s">
        <v>6708</v>
      </c>
      <c r="B151" s="352" t="s">
        <v>9050</v>
      </c>
      <c r="C151" s="347" t="s">
        <v>1073</v>
      </c>
      <c r="D151" s="347" t="s">
        <v>1072</v>
      </c>
      <c r="E151" s="347" t="s">
        <v>5346</v>
      </c>
      <c r="F151" s="346" t="s">
        <v>1057</v>
      </c>
      <c r="G151" s="108">
        <f t="shared" si="2"/>
        <v>4</v>
      </c>
      <c r="H151" s="739" t="s">
        <v>8763</v>
      </c>
    </row>
    <row r="152" spans="1:8" ht="90">
      <c r="A152" s="108" t="s">
        <v>6708</v>
      </c>
      <c r="B152" s="352" t="s">
        <v>9051</v>
      </c>
      <c r="C152" s="347" t="s">
        <v>1073</v>
      </c>
      <c r="D152" s="347" t="s">
        <v>1072</v>
      </c>
      <c r="E152" s="347" t="s">
        <v>5346</v>
      </c>
      <c r="F152" s="346" t="s">
        <v>1057</v>
      </c>
      <c r="G152" s="108">
        <f t="shared" si="2"/>
        <v>4</v>
      </c>
      <c r="H152" s="739" t="s">
        <v>8763</v>
      </c>
    </row>
    <row r="153" spans="1:8" ht="45">
      <c r="A153" s="108" t="s">
        <v>6708</v>
      </c>
      <c r="B153" s="352" t="s">
        <v>9052</v>
      </c>
      <c r="C153" s="347" t="s">
        <v>5350</v>
      </c>
      <c r="D153" s="347" t="s">
        <v>5351</v>
      </c>
      <c r="E153" s="347" t="s">
        <v>5352</v>
      </c>
      <c r="F153" s="346" t="s">
        <v>1000</v>
      </c>
      <c r="G153" s="108">
        <f t="shared" si="2"/>
        <v>4</v>
      </c>
      <c r="H153" s="739" t="s">
        <v>8763</v>
      </c>
    </row>
    <row r="154" spans="1:8" ht="60">
      <c r="A154" s="108" t="s">
        <v>6708</v>
      </c>
      <c r="B154" s="352" t="s">
        <v>9053</v>
      </c>
      <c r="C154" s="347" t="s">
        <v>5273</v>
      </c>
      <c r="D154" s="346" t="s">
        <v>5285</v>
      </c>
      <c r="E154" s="347" t="s">
        <v>5286</v>
      </c>
      <c r="F154" s="347" t="s">
        <v>5287</v>
      </c>
      <c r="G154" s="108">
        <f t="shared" si="2"/>
        <v>2</v>
      </c>
      <c r="H154" s="739" t="s">
        <v>8764</v>
      </c>
    </row>
    <row r="155" spans="1:8" ht="75">
      <c r="A155" s="108" t="s">
        <v>6708</v>
      </c>
      <c r="B155" s="352" t="s">
        <v>9054</v>
      </c>
      <c r="C155" s="347" t="s">
        <v>5273</v>
      </c>
      <c r="D155" s="347" t="s">
        <v>5285</v>
      </c>
      <c r="E155" s="346" t="s">
        <v>5286</v>
      </c>
      <c r="F155" s="347" t="s">
        <v>5287</v>
      </c>
      <c r="G155" s="108">
        <f t="shared" si="2"/>
        <v>3</v>
      </c>
      <c r="H155" s="739" t="s">
        <v>8766</v>
      </c>
    </row>
    <row r="156" spans="1:8" ht="60">
      <c r="A156" s="108" t="s">
        <v>6708</v>
      </c>
      <c r="B156" s="352" t="s">
        <v>9055</v>
      </c>
      <c r="C156" s="347" t="s">
        <v>5273</v>
      </c>
      <c r="D156" s="347" t="s">
        <v>5285</v>
      </c>
      <c r="E156" s="347" t="s">
        <v>5286</v>
      </c>
      <c r="F156" s="346" t="s">
        <v>5287</v>
      </c>
      <c r="G156" s="108">
        <f t="shared" si="2"/>
        <v>4</v>
      </c>
      <c r="H156" s="739" t="s">
        <v>8763</v>
      </c>
    </row>
    <row r="157" spans="1:8" ht="47.25">
      <c r="A157" s="108" t="s">
        <v>6708</v>
      </c>
      <c r="B157" s="344" t="s">
        <v>9056</v>
      </c>
      <c r="C157" s="345" t="s">
        <v>4889</v>
      </c>
      <c r="D157" s="345" t="s">
        <v>4928</v>
      </c>
      <c r="E157" s="345" t="s">
        <v>1203</v>
      </c>
      <c r="F157" s="345" t="s">
        <v>3231</v>
      </c>
      <c r="G157" s="108">
        <f t="shared" si="2"/>
        <v>0</v>
      </c>
      <c r="H157" s="731" t="s">
        <v>9057</v>
      </c>
    </row>
    <row r="158" spans="1:8" ht="30">
      <c r="A158" s="108" t="s">
        <v>6708</v>
      </c>
      <c r="B158" s="344" t="s">
        <v>9058</v>
      </c>
      <c r="C158" s="345" t="s">
        <v>4915</v>
      </c>
      <c r="D158" s="345" t="s">
        <v>4916</v>
      </c>
      <c r="E158" s="345" t="s">
        <v>4917</v>
      </c>
      <c r="F158" s="346" t="s">
        <v>5353</v>
      </c>
      <c r="G158" s="108">
        <f t="shared" si="2"/>
        <v>4</v>
      </c>
      <c r="H158" s="731" t="s">
        <v>8763</v>
      </c>
    </row>
    <row r="159" spans="1:8" ht="30">
      <c r="A159" s="108" t="s">
        <v>6708</v>
      </c>
      <c r="B159" s="344" t="s">
        <v>5354</v>
      </c>
      <c r="C159" s="345" t="s">
        <v>4915</v>
      </c>
      <c r="D159" s="345" t="s">
        <v>4916</v>
      </c>
      <c r="E159" s="345" t="s">
        <v>4917</v>
      </c>
      <c r="F159" s="346" t="s">
        <v>5355</v>
      </c>
      <c r="G159" s="108">
        <f t="shared" si="2"/>
        <v>4</v>
      </c>
      <c r="H159" s="731" t="s">
        <v>8763</v>
      </c>
    </row>
    <row r="160" spans="1:8" ht="45">
      <c r="A160" s="108" t="s">
        <v>6708</v>
      </c>
      <c r="B160" s="344" t="s">
        <v>9059</v>
      </c>
      <c r="C160" s="346" t="s">
        <v>5357</v>
      </c>
      <c r="D160" s="345" t="s">
        <v>5358</v>
      </c>
      <c r="E160" s="345" t="s">
        <v>9060</v>
      </c>
      <c r="F160" s="345" t="s">
        <v>9061</v>
      </c>
      <c r="G160" s="108">
        <f t="shared" si="2"/>
        <v>1</v>
      </c>
      <c r="H160" s="731" t="s">
        <v>8761</v>
      </c>
    </row>
    <row r="161" spans="1:8" ht="45">
      <c r="A161" s="108" t="s">
        <v>6708</v>
      </c>
      <c r="B161" s="344" t="s">
        <v>9062</v>
      </c>
      <c r="C161" s="346" t="s">
        <v>5357</v>
      </c>
      <c r="D161" s="345" t="s">
        <v>5358</v>
      </c>
      <c r="E161" s="345" t="s">
        <v>184</v>
      </c>
      <c r="F161" s="345" t="s">
        <v>4933</v>
      </c>
      <c r="G161" s="108">
        <f t="shared" si="2"/>
        <v>1</v>
      </c>
      <c r="H161" s="731" t="s">
        <v>8761</v>
      </c>
    </row>
    <row r="162" spans="1:8" ht="45">
      <c r="A162" s="108" t="s">
        <v>6708</v>
      </c>
      <c r="B162" s="352" t="s">
        <v>9063</v>
      </c>
      <c r="C162" s="346" t="s">
        <v>5361</v>
      </c>
      <c r="D162" s="347" t="s">
        <v>5358</v>
      </c>
      <c r="E162" s="347" t="s">
        <v>184</v>
      </c>
      <c r="F162" s="347" t="s">
        <v>4933</v>
      </c>
      <c r="G162" s="108">
        <f t="shared" si="2"/>
        <v>1</v>
      </c>
      <c r="H162" s="739" t="s">
        <v>8761</v>
      </c>
    </row>
    <row r="163" spans="1:8" ht="90">
      <c r="A163" s="108" t="s">
        <v>6708</v>
      </c>
      <c r="B163" s="352" t="s">
        <v>9064</v>
      </c>
      <c r="C163" s="347">
        <v>1</v>
      </c>
      <c r="D163" s="346">
        <v>2</v>
      </c>
      <c r="E163" s="347">
        <v>3</v>
      </c>
      <c r="F163" s="347">
        <v>4</v>
      </c>
      <c r="G163" s="108">
        <f t="shared" si="2"/>
        <v>2</v>
      </c>
      <c r="H163" s="739" t="s">
        <v>8764</v>
      </c>
    </row>
    <row r="164" spans="1:8" ht="30">
      <c r="A164" s="108" t="s">
        <v>6708</v>
      </c>
      <c r="B164" s="352" t="s">
        <v>9065</v>
      </c>
      <c r="C164" s="347">
        <v>1910</v>
      </c>
      <c r="D164" s="346">
        <v>1948</v>
      </c>
      <c r="E164" s="347">
        <v>1965</v>
      </c>
      <c r="F164" s="347">
        <v>2000</v>
      </c>
      <c r="G164" s="108">
        <f t="shared" si="2"/>
        <v>3</v>
      </c>
      <c r="H164" s="739" t="s">
        <v>8766</v>
      </c>
    </row>
    <row r="165" spans="1:8" ht="45">
      <c r="A165" s="108" t="s">
        <v>6708</v>
      </c>
      <c r="B165" s="352" t="s">
        <v>9066</v>
      </c>
      <c r="C165" s="347" t="s">
        <v>74</v>
      </c>
      <c r="D165" s="347" t="s">
        <v>73</v>
      </c>
      <c r="E165" s="346" t="s">
        <v>76</v>
      </c>
      <c r="F165" s="347" t="s">
        <v>174</v>
      </c>
      <c r="G165" s="108">
        <f t="shared" si="2"/>
        <v>3</v>
      </c>
      <c r="H165" s="739" t="s">
        <v>8766</v>
      </c>
    </row>
    <row r="166" spans="1:8" ht="30">
      <c r="A166" s="108" t="s">
        <v>6708</v>
      </c>
      <c r="B166" s="352" t="s">
        <v>9067</v>
      </c>
      <c r="C166" s="347" t="s">
        <v>74</v>
      </c>
      <c r="D166" s="347" t="s">
        <v>73</v>
      </c>
      <c r="E166" s="347" t="s">
        <v>76</v>
      </c>
      <c r="F166" s="346" t="s">
        <v>5363</v>
      </c>
      <c r="G166" s="108">
        <f t="shared" si="2"/>
        <v>4</v>
      </c>
      <c r="H166" s="739" t="s">
        <v>8763</v>
      </c>
    </row>
    <row r="167" spans="1:8" ht="45">
      <c r="A167" s="108" t="s">
        <v>6708</v>
      </c>
      <c r="B167" s="352" t="s">
        <v>9068</v>
      </c>
      <c r="C167" s="346" t="s">
        <v>1021</v>
      </c>
      <c r="D167" s="347" t="s">
        <v>5365</v>
      </c>
      <c r="E167" s="347" t="s">
        <v>6723</v>
      </c>
      <c r="F167" s="347" t="s">
        <v>9069</v>
      </c>
      <c r="G167" s="108">
        <f t="shared" si="2"/>
        <v>1</v>
      </c>
      <c r="H167" s="739" t="s">
        <v>8761</v>
      </c>
    </row>
    <row r="168" spans="1:8" ht="30">
      <c r="A168" s="108" t="s">
        <v>6708</v>
      </c>
      <c r="B168" s="352" t="s">
        <v>9070</v>
      </c>
      <c r="C168" s="347" t="s">
        <v>1025</v>
      </c>
      <c r="D168" s="347" t="s">
        <v>1026</v>
      </c>
      <c r="E168" s="347" t="s">
        <v>1027</v>
      </c>
      <c r="F168" s="346" t="s">
        <v>1000</v>
      </c>
      <c r="G168" s="108">
        <f t="shared" si="2"/>
        <v>4</v>
      </c>
      <c r="H168" s="739" t="s">
        <v>8763</v>
      </c>
    </row>
    <row r="169" spans="1:8" ht="30">
      <c r="A169" s="108" t="s">
        <v>6708</v>
      </c>
      <c r="B169" s="352" t="s">
        <v>9071</v>
      </c>
      <c r="C169" s="347" t="s">
        <v>1029</v>
      </c>
      <c r="D169" s="347" t="s">
        <v>1030</v>
      </c>
      <c r="E169" s="347" t="s">
        <v>1031</v>
      </c>
      <c r="F169" s="346" t="s">
        <v>1000</v>
      </c>
      <c r="G169" s="108">
        <f t="shared" si="2"/>
        <v>4</v>
      </c>
      <c r="H169" s="739" t="s">
        <v>8763</v>
      </c>
    </row>
    <row r="170" spans="1:8" ht="75">
      <c r="A170" s="108" t="s">
        <v>6708</v>
      </c>
      <c r="B170" s="352" t="s">
        <v>9072</v>
      </c>
      <c r="C170" s="347" t="s">
        <v>252</v>
      </c>
      <c r="D170" s="347" t="s">
        <v>1071</v>
      </c>
      <c r="E170" s="347" t="s">
        <v>1072</v>
      </c>
      <c r="F170" s="346" t="s">
        <v>1073</v>
      </c>
      <c r="G170" s="108">
        <f t="shared" si="2"/>
        <v>4</v>
      </c>
      <c r="H170" s="739" t="s">
        <v>8763</v>
      </c>
    </row>
    <row r="171" spans="1:8" ht="15.75">
      <c r="A171" s="108" t="s">
        <v>6708</v>
      </c>
      <c r="B171" s="352" t="s">
        <v>9073</v>
      </c>
      <c r="C171" s="347" t="s">
        <v>1021</v>
      </c>
      <c r="D171" s="347" t="s">
        <v>1075</v>
      </c>
      <c r="E171" s="346" t="s">
        <v>1076</v>
      </c>
      <c r="F171" s="347" t="s">
        <v>9074</v>
      </c>
      <c r="G171" s="108">
        <f t="shared" si="2"/>
        <v>3</v>
      </c>
      <c r="H171" s="739" t="s">
        <v>8766</v>
      </c>
    </row>
    <row r="172" spans="1:8" ht="30">
      <c r="A172" s="108" t="s">
        <v>6708</v>
      </c>
      <c r="B172" s="344" t="s">
        <v>9075</v>
      </c>
      <c r="C172" s="345" t="s">
        <v>1078</v>
      </c>
      <c r="D172" s="345" t="s">
        <v>1079</v>
      </c>
      <c r="E172" s="346" t="s">
        <v>9076</v>
      </c>
      <c r="F172" s="345" t="s">
        <v>1081</v>
      </c>
      <c r="G172" s="108">
        <f t="shared" si="2"/>
        <v>3</v>
      </c>
      <c r="H172" s="731" t="s">
        <v>8766</v>
      </c>
    </row>
    <row r="173" spans="1:8" ht="45">
      <c r="A173" s="108" t="s">
        <v>6708</v>
      </c>
      <c r="B173" s="352" t="s">
        <v>9077</v>
      </c>
      <c r="C173" s="347" t="s">
        <v>1029</v>
      </c>
      <c r="D173" s="347" t="s">
        <v>1030</v>
      </c>
      <c r="E173" s="347" t="s">
        <v>1031</v>
      </c>
      <c r="F173" s="346" t="s">
        <v>1075</v>
      </c>
      <c r="G173" s="108">
        <f t="shared" si="2"/>
        <v>4</v>
      </c>
      <c r="H173" s="739" t="s">
        <v>8763</v>
      </c>
    </row>
    <row r="174" spans="1:8" ht="60">
      <c r="A174" s="108" t="s">
        <v>6708</v>
      </c>
      <c r="B174" s="352" t="s">
        <v>9078</v>
      </c>
      <c r="C174" s="356" t="s">
        <v>1084</v>
      </c>
      <c r="D174" s="356" t="s">
        <v>1085</v>
      </c>
      <c r="E174" s="355" t="s">
        <v>1086</v>
      </c>
      <c r="F174" s="356" t="s">
        <v>1087</v>
      </c>
      <c r="G174" s="108">
        <f t="shared" si="2"/>
        <v>3</v>
      </c>
      <c r="H174" s="739" t="s">
        <v>8766</v>
      </c>
    </row>
    <row r="175" spans="1:8" ht="60">
      <c r="A175" s="108" t="s">
        <v>6708</v>
      </c>
      <c r="B175" s="352" t="s">
        <v>9079</v>
      </c>
      <c r="C175" s="762">
        <v>0.4</v>
      </c>
      <c r="D175" s="762">
        <v>0.3</v>
      </c>
      <c r="E175" s="358">
        <v>0.45</v>
      </c>
      <c r="F175" s="762">
        <v>0.5</v>
      </c>
      <c r="G175" s="108">
        <f t="shared" si="2"/>
        <v>3</v>
      </c>
      <c r="H175" s="739" t="s">
        <v>8766</v>
      </c>
    </row>
    <row r="176" spans="1:8" ht="45">
      <c r="A176" s="108" t="s">
        <v>6708</v>
      </c>
      <c r="B176" s="352" t="s">
        <v>9080</v>
      </c>
      <c r="C176" s="762">
        <v>0.2</v>
      </c>
      <c r="D176" s="762">
        <v>0.3</v>
      </c>
      <c r="E176" s="762">
        <v>0.05</v>
      </c>
      <c r="F176" s="358">
        <v>0.1</v>
      </c>
      <c r="G176" s="108">
        <f t="shared" si="2"/>
        <v>4</v>
      </c>
      <c r="H176" s="739" t="s">
        <v>8763</v>
      </c>
    </row>
    <row r="177" spans="1:8" ht="60">
      <c r="A177" s="108" t="s">
        <v>6708</v>
      </c>
      <c r="B177" s="352" t="s">
        <v>9081</v>
      </c>
      <c r="C177" s="347" t="s">
        <v>1121</v>
      </c>
      <c r="D177" s="347" t="s">
        <v>1122</v>
      </c>
      <c r="E177" s="347" t="s">
        <v>1123</v>
      </c>
      <c r="F177" s="346" t="s">
        <v>5376</v>
      </c>
      <c r="G177" s="108">
        <f t="shared" si="2"/>
        <v>4</v>
      </c>
      <c r="H177" s="739" t="s">
        <v>8763</v>
      </c>
    </row>
    <row r="178" spans="1:8" ht="30">
      <c r="A178" s="108" t="s">
        <v>6708</v>
      </c>
      <c r="B178" s="352" t="s">
        <v>9082</v>
      </c>
      <c r="C178" s="742" t="s">
        <v>1371</v>
      </c>
      <c r="D178" s="347" t="s">
        <v>1370</v>
      </c>
      <c r="E178" s="347" t="s">
        <v>5297</v>
      </c>
      <c r="F178" s="347" t="s">
        <v>1000</v>
      </c>
      <c r="G178" s="108">
        <f t="shared" si="2"/>
        <v>1</v>
      </c>
      <c r="H178" s="739" t="s">
        <v>8761</v>
      </c>
    </row>
    <row r="179" spans="1:8" ht="30">
      <c r="A179" s="108" t="s">
        <v>6708</v>
      </c>
      <c r="B179" s="352" t="s">
        <v>9083</v>
      </c>
      <c r="C179" s="742" t="s">
        <v>5299</v>
      </c>
      <c r="D179" s="347" t="s">
        <v>5300</v>
      </c>
      <c r="E179" s="347" t="s">
        <v>5301</v>
      </c>
      <c r="F179" s="347" t="s">
        <v>9084</v>
      </c>
      <c r="G179" s="108">
        <f t="shared" si="2"/>
        <v>1</v>
      </c>
      <c r="H179" s="739" t="s">
        <v>8761</v>
      </c>
    </row>
    <row r="180" spans="1:8" ht="45">
      <c r="A180" s="108" t="s">
        <v>6708</v>
      </c>
      <c r="B180" s="344" t="s">
        <v>5377</v>
      </c>
      <c r="C180" s="345" t="s">
        <v>5378</v>
      </c>
      <c r="D180" s="346" t="s">
        <v>5379</v>
      </c>
      <c r="E180" s="345" t="s">
        <v>5380</v>
      </c>
      <c r="F180" s="345" t="s">
        <v>9085</v>
      </c>
      <c r="G180" s="108">
        <f t="shared" si="2"/>
        <v>2</v>
      </c>
      <c r="H180" s="731" t="s">
        <v>8764</v>
      </c>
    </row>
    <row r="181" spans="1:8" ht="60">
      <c r="A181" s="108" t="s">
        <v>6708</v>
      </c>
      <c r="B181" s="344" t="s">
        <v>9086</v>
      </c>
      <c r="C181" s="345" t="s">
        <v>5382</v>
      </c>
      <c r="D181" s="345" t="s">
        <v>5383</v>
      </c>
      <c r="E181" s="345" t="s">
        <v>5384</v>
      </c>
      <c r="F181" s="346" t="s">
        <v>9087</v>
      </c>
      <c r="G181" s="108">
        <f t="shared" si="2"/>
        <v>4</v>
      </c>
      <c r="H181" s="731" t="s">
        <v>8763</v>
      </c>
    </row>
    <row r="182" spans="1:8" ht="15.75">
      <c r="A182" s="108" t="s">
        <v>6708</v>
      </c>
      <c r="B182" s="344" t="s">
        <v>9088</v>
      </c>
      <c r="C182" s="347" t="s">
        <v>5386</v>
      </c>
      <c r="D182" s="346" t="s">
        <v>5387</v>
      </c>
      <c r="E182" s="345" t="s">
        <v>9089</v>
      </c>
      <c r="F182" s="345" t="s">
        <v>9090</v>
      </c>
      <c r="G182" s="108">
        <f t="shared" si="2"/>
        <v>2</v>
      </c>
      <c r="H182" s="731" t="s">
        <v>8764</v>
      </c>
    </row>
    <row r="183" spans="1:8" ht="30">
      <c r="A183" s="108" t="s">
        <v>6708</v>
      </c>
      <c r="B183" s="344" t="s">
        <v>9091</v>
      </c>
      <c r="C183" s="345" t="s">
        <v>5386</v>
      </c>
      <c r="D183" s="346" t="s">
        <v>5387</v>
      </c>
      <c r="E183" s="345" t="s">
        <v>9089</v>
      </c>
      <c r="F183" s="345" t="s">
        <v>9090</v>
      </c>
      <c r="G183" s="108">
        <f t="shared" si="2"/>
        <v>2</v>
      </c>
      <c r="H183" s="731" t="s">
        <v>8764</v>
      </c>
    </row>
    <row r="184" spans="1:8" ht="15.75">
      <c r="A184" s="108" t="s">
        <v>6708</v>
      </c>
      <c r="B184" s="344" t="s">
        <v>9092</v>
      </c>
      <c r="C184" s="345" t="s">
        <v>5386</v>
      </c>
      <c r="D184" s="346" t="s">
        <v>5387</v>
      </c>
      <c r="E184" s="345" t="s">
        <v>9089</v>
      </c>
      <c r="F184" s="345" t="s">
        <v>9090</v>
      </c>
      <c r="G184" s="108">
        <f t="shared" si="2"/>
        <v>2</v>
      </c>
      <c r="H184" s="731" t="s">
        <v>8764</v>
      </c>
    </row>
    <row r="185" spans="1:8" ht="15.75">
      <c r="A185" s="108" t="s">
        <v>6708</v>
      </c>
      <c r="B185" s="344" t="s">
        <v>5390</v>
      </c>
      <c r="C185" s="345" t="s">
        <v>1370</v>
      </c>
      <c r="D185" s="345" t="s">
        <v>5339</v>
      </c>
      <c r="E185" s="345" t="s">
        <v>1372</v>
      </c>
      <c r="F185" s="346" t="s">
        <v>1078</v>
      </c>
      <c r="G185" s="108">
        <f t="shared" si="2"/>
        <v>4</v>
      </c>
      <c r="H185" s="731" t="s">
        <v>8763</v>
      </c>
    </row>
    <row r="186" spans="1:8" ht="30">
      <c r="A186" s="108" t="s">
        <v>6708</v>
      </c>
      <c r="B186" s="344" t="s">
        <v>5391</v>
      </c>
      <c r="C186" s="345" t="s">
        <v>73</v>
      </c>
      <c r="D186" s="345" t="s">
        <v>5343</v>
      </c>
      <c r="E186" s="346" t="s">
        <v>1370</v>
      </c>
      <c r="F186" s="345" t="s">
        <v>177</v>
      </c>
      <c r="G186" s="108">
        <f t="shared" si="2"/>
        <v>3</v>
      </c>
      <c r="H186" s="731" t="s">
        <v>8766</v>
      </c>
    </row>
    <row r="187" spans="1:8" ht="30">
      <c r="A187" s="108" t="s">
        <v>9093</v>
      </c>
      <c r="B187" s="344" t="s">
        <v>9094</v>
      </c>
      <c r="C187" s="345" t="s">
        <v>4915</v>
      </c>
      <c r="D187" s="345" t="s">
        <v>4916</v>
      </c>
      <c r="E187" s="345" t="s">
        <v>4917</v>
      </c>
      <c r="F187" s="346" t="s">
        <v>9095</v>
      </c>
      <c r="G187" s="108">
        <f t="shared" si="2"/>
        <v>4</v>
      </c>
      <c r="H187" s="763" t="s">
        <v>8763</v>
      </c>
    </row>
    <row r="188" spans="1:8" ht="45">
      <c r="A188" s="108" t="s">
        <v>9093</v>
      </c>
      <c r="B188" s="352" t="s">
        <v>4919</v>
      </c>
      <c r="C188" s="347" t="s">
        <v>4920</v>
      </c>
      <c r="D188" s="346" t="s">
        <v>4921</v>
      </c>
      <c r="E188" s="347" t="s">
        <v>4922</v>
      </c>
      <c r="F188" s="347" t="s">
        <v>4923</v>
      </c>
      <c r="G188" s="108">
        <f t="shared" si="2"/>
        <v>2</v>
      </c>
      <c r="H188" s="763" t="s">
        <v>8764</v>
      </c>
    </row>
    <row r="189" spans="1:8" ht="60">
      <c r="A189" s="108" t="s">
        <v>9093</v>
      </c>
      <c r="B189" s="344" t="s">
        <v>9096</v>
      </c>
      <c r="C189" s="346" t="s">
        <v>4942</v>
      </c>
      <c r="D189" s="345" t="s">
        <v>4943</v>
      </c>
      <c r="E189" s="345" t="s">
        <v>4944</v>
      </c>
      <c r="F189" s="345" t="s">
        <v>9097</v>
      </c>
      <c r="G189" s="108">
        <f t="shared" si="2"/>
        <v>1</v>
      </c>
      <c r="H189" s="763" t="s">
        <v>8761</v>
      </c>
    </row>
    <row r="190" spans="1:8" ht="45">
      <c r="A190" s="108" t="s">
        <v>9093</v>
      </c>
      <c r="B190" s="344" t="s">
        <v>9098</v>
      </c>
      <c r="C190" s="345" t="s">
        <v>4946</v>
      </c>
      <c r="D190" s="345" t="s">
        <v>4947</v>
      </c>
      <c r="E190" s="345" t="s">
        <v>4948</v>
      </c>
      <c r="F190" s="346" t="s">
        <v>8765</v>
      </c>
      <c r="G190" s="108">
        <f t="shared" si="2"/>
        <v>4</v>
      </c>
      <c r="H190" s="763" t="s">
        <v>8763</v>
      </c>
    </row>
    <row r="191" spans="1:8" ht="30">
      <c r="A191" s="108" t="s">
        <v>9093</v>
      </c>
      <c r="B191" s="344" t="s">
        <v>9099</v>
      </c>
      <c r="C191" s="345" t="s">
        <v>4951</v>
      </c>
      <c r="D191" s="345" t="s">
        <v>4952</v>
      </c>
      <c r="E191" s="346" t="s">
        <v>4953</v>
      </c>
      <c r="F191" s="345" t="s">
        <v>9100</v>
      </c>
      <c r="G191" s="108">
        <f t="shared" si="2"/>
        <v>3</v>
      </c>
      <c r="H191" s="763" t="s">
        <v>8766</v>
      </c>
    </row>
    <row r="192" spans="1:8" ht="30">
      <c r="A192" s="108" t="s">
        <v>9093</v>
      </c>
      <c r="B192" s="344" t="s">
        <v>9101</v>
      </c>
      <c r="C192" s="346" t="s">
        <v>4955</v>
      </c>
      <c r="D192" s="345" t="s">
        <v>4956</v>
      </c>
      <c r="E192" s="345" t="s">
        <v>4957</v>
      </c>
      <c r="F192" s="345" t="s">
        <v>9102</v>
      </c>
      <c r="G192" s="108">
        <f t="shared" si="2"/>
        <v>1</v>
      </c>
      <c r="H192" s="763" t="s">
        <v>8761</v>
      </c>
    </row>
    <row r="193" spans="1:8" ht="30">
      <c r="A193" s="108" t="s">
        <v>9093</v>
      </c>
      <c r="B193" s="344" t="s">
        <v>9103</v>
      </c>
      <c r="C193" s="346" t="s">
        <v>4959</v>
      </c>
      <c r="D193" s="345" t="s">
        <v>4960</v>
      </c>
      <c r="E193" s="345" t="s">
        <v>4961</v>
      </c>
      <c r="F193" s="345" t="s">
        <v>4962</v>
      </c>
      <c r="G193" s="108">
        <f t="shared" si="2"/>
        <v>1</v>
      </c>
      <c r="H193" s="763" t="s">
        <v>8761</v>
      </c>
    </row>
    <row r="194" spans="1:8" ht="30">
      <c r="A194" s="108" t="s">
        <v>9093</v>
      </c>
      <c r="B194" s="344" t="s">
        <v>9104</v>
      </c>
      <c r="C194" s="346" t="s">
        <v>4964</v>
      </c>
      <c r="D194" s="345" t="s">
        <v>4965</v>
      </c>
      <c r="E194" s="345" t="s">
        <v>4966</v>
      </c>
      <c r="F194" s="345" t="s">
        <v>4967</v>
      </c>
      <c r="G194" s="108">
        <f t="shared" si="2"/>
        <v>1</v>
      </c>
      <c r="H194" s="763" t="s">
        <v>8761</v>
      </c>
    </row>
    <row r="195" spans="1:8" ht="15.75">
      <c r="A195" s="108" t="s">
        <v>9093</v>
      </c>
      <c r="B195" s="344" t="s">
        <v>9105</v>
      </c>
      <c r="C195" s="345" t="s">
        <v>4969</v>
      </c>
      <c r="D195" s="345" t="s">
        <v>4970</v>
      </c>
      <c r="E195" s="345" t="s">
        <v>4971</v>
      </c>
      <c r="F195" s="346" t="s">
        <v>9106</v>
      </c>
      <c r="G195" s="108">
        <f t="shared" ref="G195:G258" si="3">IF(H195="A",1,IF(H195="B",2,IF(H195="C",3,IF(H195="D",4,0))))</f>
        <v>4</v>
      </c>
      <c r="H195" s="763" t="s">
        <v>8763</v>
      </c>
    </row>
    <row r="196" spans="1:8" ht="25.5">
      <c r="A196" s="108" t="s">
        <v>9093</v>
      </c>
      <c r="B196" s="764" t="s">
        <v>9107</v>
      </c>
      <c r="C196" s="765" t="s">
        <v>5003</v>
      </c>
      <c r="D196" s="766" t="s">
        <v>5004</v>
      </c>
      <c r="E196" s="765" t="s">
        <v>4952</v>
      </c>
      <c r="F196" s="765" t="s">
        <v>9108</v>
      </c>
      <c r="G196" s="108">
        <f t="shared" si="3"/>
        <v>2</v>
      </c>
      <c r="H196" s="767" t="s">
        <v>8764</v>
      </c>
    </row>
    <row r="197" spans="1:8" ht="30">
      <c r="A197" s="108" t="s">
        <v>9093</v>
      </c>
      <c r="B197" s="344" t="s">
        <v>9109</v>
      </c>
      <c r="C197" s="345" t="s">
        <v>5007</v>
      </c>
      <c r="D197" s="345" t="s">
        <v>5008</v>
      </c>
      <c r="E197" s="345" t="s">
        <v>5009</v>
      </c>
      <c r="F197" s="346" t="s">
        <v>5010</v>
      </c>
      <c r="G197" s="108">
        <f t="shared" si="3"/>
        <v>4</v>
      </c>
      <c r="H197" s="763" t="s">
        <v>8763</v>
      </c>
    </row>
    <row r="198" spans="1:8" ht="45">
      <c r="A198" s="108" t="s">
        <v>9093</v>
      </c>
      <c r="B198" s="344" t="s">
        <v>9110</v>
      </c>
      <c r="C198" s="345" t="s">
        <v>5012</v>
      </c>
      <c r="D198" s="345" t="s">
        <v>1136</v>
      </c>
      <c r="E198" s="346" t="s">
        <v>1137</v>
      </c>
      <c r="F198" s="345" t="s">
        <v>1490</v>
      </c>
      <c r="G198" s="108">
        <f t="shared" si="3"/>
        <v>3</v>
      </c>
      <c r="H198" s="763" t="s">
        <v>8766</v>
      </c>
    </row>
    <row r="199" spans="1:8" ht="30">
      <c r="A199" s="108" t="s">
        <v>9093</v>
      </c>
      <c r="B199" s="768" t="s">
        <v>5019</v>
      </c>
      <c r="C199" s="345" t="s">
        <v>5020</v>
      </c>
      <c r="D199" s="346" t="s">
        <v>9111</v>
      </c>
      <c r="E199" s="345" t="s">
        <v>5022</v>
      </c>
      <c r="F199" s="345" t="s">
        <v>9112</v>
      </c>
      <c r="G199" s="108">
        <f t="shared" si="3"/>
        <v>2</v>
      </c>
      <c r="H199" s="763" t="s">
        <v>8764</v>
      </c>
    </row>
    <row r="200" spans="1:8" ht="45">
      <c r="A200" s="108" t="s">
        <v>9093</v>
      </c>
      <c r="B200" s="769" t="s">
        <v>4884</v>
      </c>
      <c r="C200" s="345" t="s">
        <v>4885</v>
      </c>
      <c r="D200" s="345" t="s">
        <v>4886</v>
      </c>
      <c r="E200" s="345" t="s">
        <v>4887</v>
      </c>
      <c r="F200" s="346" t="s">
        <v>1869</v>
      </c>
      <c r="G200" s="108">
        <f t="shared" si="3"/>
        <v>4</v>
      </c>
      <c r="H200" s="763" t="s">
        <v>8763</v>
      </c>
    </row>
    <row r="201" spans="1:8" ht="30">
      <c r="A201" s="108" t="s">
        <v>9093</v>
      </c>
      <c r="B201" s="769" t="s">
        <v>4882</v>
      </c>
      <c r="C201" s="345" t="s">
        <v>1370</v>
      </c>
      <c r="D201" s="345" t="s">
        <v>5339</v>
      </c>
      <c r="E201" s="345" t="s">
        <v>1372</v>
      </c>
      <c r="F201" s="346" t="s">
        <v>9113</v>
      </c>
      <c r="G201" s="108">
        <f t="shared" si="3"/>
        <v>4</v>
      </c>
      <c r="H201" s="763" t="s">
        <v>8763</v>
      </c>
    </row>
    <row r="202" spans="1:8" ht="30">
      <c r="A202" s="108" t="s">
        <v>9093</v>
      </c>
      <c r="B202" s="769" t="s">
        <v>9114</v>
      </c>
      <c r="C202" s="345" t="s">
        <v>5052</v>
      </c>
      <c r="D202" s="345" t="s">
        <v>3139</v>
      </c>
      <c r="E202" s="346" t="s">
        <v>5053</v>
      </c>
      <c r="F202" s="345" t="s">
        <v>5054</v>
      </c>
      <c r="G202" s="108">
        <f t="shared" si="3"/>
        <v>3</v>
      </c>
      <c r="H202" s="763" t="s">
        <v>8766</v>
      </c>
    </row>
    <row r="203" spans="1:8" ht="15.75">
      <c r="A203" s="108" t="s">
        <v>9093</v>
      </c>
      <c r="B203" s="653" t="s">
        <v>5055</v>
      </c>
      <c r="C203" s="736" t="s">
        <v>5056</v>
      </c>
      <c r="D203" s="736" t="s">
        <v>5057</v>
      </c>
      <c r="E203" s="346" t="s">
        <v>5058</v>
      </c>
      <c r="F203" s="736" t="s">
        <v>5059</v>
      </c>
      <c r="G203" s="108">
        <f t="shared" si="3"/>
        <v>3</v>
      </c>
      <c r="H203" s="763" t="s">
        <v>8766</v>
      </c>
    </row>
    <row r="204" spans="1:8" ht="30">
      <c r="A204" s="108" t="s">
        <v>9093</v>
      </c>
      <c r="B204" s="769" t="s">
        <v>9114</v>
      </c>
      <c r="C204" s="345" t="s">
        <v>5052</v>
      </c>
      <c r="D204" s="345" t="s">
        <v>3139</v>
      </c>
      <c r="E204" s="346" t="s">
        <v>5053</v>
      </c>
      <c r="F204" s="345" t="s">
        <v>5054</v>
      </c>
      <c r="G204" s="108">
        <f t="shared" si="3"/>
        <v>3</v>
      </c>
      <c r="H204" s="763" t="s">
        <v>8766</v>
      </c>
    </row>
    <row r="205" spans="1:8" ht="15.75">
      <c r="A205" s="108" t="s">
        <v>9093</v>
      </c>
      <c r="B205" s="653" t="s">
        <v>5055</v>
      </c>
      <c r="C205" s="736" t="s">
        <v>5056</v>
      </c>
      <c r="D205" s="736" t="s">
        <v>5057</v>
      </c>
      <c r="E205" s="346" t="s">
        <v>5058</v>
      </c>
      <c r="F205" s="736" t="s">
        <v>5059</v>
      </c>
      <c r="G205" s="108">
        <f t="shared" si="3"/>
        <v>3</v>
      </c>
      <c r="H205" s="763" t="s">
        <v>8766</v>
      </c>
    </row>
    <row r="206" spans="1:8" ht="30">
      <c r="A206" s="108" t="s">
        <v>9093</v>
      </c>
      <c r="B206" s="344" t="s">
        <v>9115</v>
      </c>
      <c r="C206" s="345" t="s">
        <v>6284</v>
      </c>
      <c r="D206" s="345" t="s">
        <v>9116</v>
      </c>
      <c r="E206" s="346" t="s">
        <v>9117</v>
      </c>
      <c r="F206" s="345" t="s">
        <v>9118</v>
      </c>
      <c r="G206" s="108">
        <f t="shared" si="3"/>
        <v>3</v>
      </c>
      <c r="H206" s="763" t="s">
        <v>8766</v>
      </c>
    </row>
    <row r="207" spans="1:8" ht="45">
      <c r="A207" s="108" t="s">
        <v>9093</v>
      </c>
      <c r="B207" s="344" t="s">
        <v>8947</v>
      </c>
      <c r="C207" s="345" t="s">
        <v>5307</v>
      </c>
      <c r="D207" s="345" t="s">
        <v>174</v>
      </c>
      <c r="E207" s="345" t="s">
        <v>74</v>
      </c>
      <c r="F207" s="346" t="s">
        <v>8948</v>
      </c>
      <c r="G207" s="108">
        <f t="shared" si="3"/>
        <v>4</v>
      </c>
      <c r="H207" s="763" t="s">
        <v>8763</v>
      </c>
    </row>
    <row r="208" spans="1:8" ht="30">
      <c r="A208" s="108" t="s">
        <v>9093</v>
      </c>
      <c r="B208" s="344" t="s">
        <v>9119</v>
      </c>
      <c r="C208" s="345" t="s">
        <v>9120</v>
      </c>
      <c r="D208" s="345" t="s">
        <v>9121</v>
      </c>
      <c r="E208" s="346" t="s">
        <v>9122</v>
      </c>
      <c r="F208" s="345" t="s">
        <v>9123</v>
      </c>
      <c r="G208" s="108">
        <f t="shared" si="3"/>
        <v>3</v>
      </c>
      <c r="H208" s="763" t="s">
        <v>8766</v>
      </c>
    </row>
    <row r="209" spans="1:8" ht="30">
      <c r="A209" s="108" t="s">
        <v>9093</v>
      </c>
      <c r="B209" s="344" t="s">
        <v>9124</v>
      </c>
      <c r="C209" s="345" t="s">
        <v>9125</v>
      </c>
      <c r="D209" s="345" t="s">
        <v>9126</v>
      </c>
      <c r="E209" s="346" t="s">
        <v>9127</v>
      </c>
      <c r="F209" s="345" t="s">
        <v>9128</v>
      </c>
      <c r="G209" s="108">
        <f t="shared" si="3"/>
        <v>3</v>
      </c>
      <c r="H209" s="763" t="s">
        <v>8766</v>
      </c>
    </row>
    <row r="210" spans="1:8" ht="30">
      <c r="A210" s="108" t="s">
        <v>9093</v>
      </c>
      <c r="B210" s="770" t="s">
        <v>9129</v>
      </c>
      <c r="C210" s="771" t="s">
        <v>9130</v>
      </c>
      <c r="D210" s="771" t="s">
        <v>9131</v>
      </c>
      <c r="E210" s="346" t="s">
        <v>9132</v>
      </c>
      <c r="F210" s="771" t="s">
        <v>9133</v>
      </c>
      <c r="G210" s="108">
        <f t="shared" si="3"/>
        <v>3</v>
      </c>
      <c r="H210" s="772" t="s">
        <v>8766</v>
      </c>
    </row>
    <row r="211" spans="1:8" ht="30">
      <c r="A211" s="108" t="s">
        <v>9093</v>
      </c>
      <c r="B211" s="770" t="s">
        <v>9134</v>
      </c>
      <c r="C211" s="771" t="s">
        <v>9135</v>
      </c>
      <c r="D211" s="773" t="s">
        <v>9136</v>
      </c>
      <c r="E211" s="771" t="s">
        <v>9137</v>
      </c>
      <c r="F211" s="771" t="s">
        <v>9138</v>
      </c>
      <c r="G211" s="108">
        <f t="shared" si="3"/>
        <v>2</v>
      </c>
      <c r="H211" s="772" t="s">
        <v>8764</v>
      </c>
    </row>
    <row r="212" spans="1:8" ht="30">
      <c r="A212" s="108" t="s">
        <v>9093</v>
      </c>
      <c r="B212" s="770" t="s">
        <v>9139</v>
      </c>
      <c r="C212" s="771" t="s">
        <v>173</v>
      </c>
      <c r="D212" s="771" t="s">
        <v>9140</v>
      </c>
      <c r="E212" s="774" t="s">
        <v>550</v>
      </c>
      <c r="F212" s="771" t="s">
        <v>4953</v>
      </c>
      <c r="G212" s="108">
        <f t="shared" si="3"/>
        <v>3</v>
      </c>
      <c r="H212" s="772" t="s">
        <v>8766</v>
      </c>
    </row>
    <row r="213" spans="1:8" ht="30">
      <c r="A213" s="108" t="s">
        <v>9093</v>
      </c>
      <c r="B213" s="770" t="s">
        <v>9141</v>
      </c>
      <c r="C213" s="771" t="s">
        <v>9142</v>
      </c>
      <c r="D213" s="771" t="s">
        <v>9143</v>
      </c>
      <c r="E213" s="773" t="s">
        <v>9144</v>
      </c>
      <c r="F213" s="771" t="s">
        <v>9145</v>
      </c>
      <c r="G213" s="108">
        <f t="shared" si="3"/>
        <v>3</v>
      </c>
      <c r="H213" s="772" t="s">
        <v>8766</v>
      </c>
    </row>
    <row r="214" spans="1:8" ht="30">
      <c r="A214" s="108" t="s">
        <v>9093</v>
      </c>
      <c r="B214" s="770" t="s">
        <v>9146</v>
      </c>
      <c r="C214" s="771" t="s">
        <v>5309</v>
      </c>
      <c r="D214" s="773" t="s">
        <v>5307</v>
      </c>
      <c r="E214" s="771" t="s">
        <v>173</v>
      </c>
      <c r="F214" s="771" t="s">
        <v>174</v>
      </c>
      <c r="G214" s="108">
        <f t="shared" si="3"/>
        <v>2</v>
      </c>
      <c r="H214" s="772" t="s">
        <v>8764</v>
      </c>
    </row>
    <row r="215" spans="1:8" ht="30">
      <c r="A215" s="108" t="s">
        <v>9093</v>
      </c>
      <c r="B215" s="770" t="s">
        <v>9147</v>
      </c>
      <c r="C215" s="771" t="s">
        <v>9148</v>
      </c>
      <c r="D215" s="771" t="s">
        <v>9149</v>
      </c>
      <c r="E215" s="771" t="s">
        <v>9150</v>
      </c>
      <c r="F215" s="773" t="s">
        <v>9151</v>
      </c>
      <c r="G215" s="108">
        <f t="shared" si="3"/>
        <v>4</v>
      </c>
      <c r="H215" s="772" t="s">
        <v>8763</v>
      </c>
    </row>
    <row r="216" spans="1:8" ht="30">
      <c r="A216" s="108" t="s">
        <v>9093</v>
      </c>
      <c r="B216" s="775" t="s">
        <v>9152</v>
      </c>
      <c r="C216" s="771" t="s">
        <v>9153</v>
      </c>
      <c r="D216" s="771" t="s">
        <v>9154</v>
      </c>
      <c r="E216" s="773" t="s">
        <v>9155</v>
      </c>
      <c r="F216" s="771" t="s">
        <v>9156</v>
      </c>
      <c r="G216" s="108">
        <f t="shared" si="3"/>
        <v>3</v>
      </c>
      <c r="H216" s="772" t="s">
        <v>8766</v>
      </c>
    </row>
    <row r="217" spans="1:8" ht="30">
      <c r="A217" s="108" t="s">
        <v>9093</v>
      </c>
      <c r="B217" s="770" t="s">
        <v>9157</v>
      </c>
      <c r="C217" s="771" t="s">
        <v>9158</v>
      </c>
      <c r="D217" s="771" t="s">
        <v>9159</v>
      </c>
      <c r="E217" s="773" t="s">
        <v>9160</v>
      </c>
      <c r="F217" s="771" t="s">
        <v>9161</v>
      </c>
      <c r="G217" s="108">
        <f t="shared" si="3"/>
        <v>3</v>
      </c>
      <c r="H217" s="772" t="s">
        <v>8766</v>
      </c>
    </row>
    <row r="218" spans="1:8" ht="30">
      <c r="A218" s="108" t="s">
        <v>9093</v>
      </c>
      <c r="B218" s="770" t="s">
        <v>9162</v>
      </c>
      <c r="C218" s="771" t="s">
        <v>9163</v>
      </c>
      <c r="D218" s="771" t="s">
        <v>9164</v>
      </c>
      <c r="E218" s="771" t="s">
        <v>9165</v>
      </c>
      <c r="F218" s="773" t="s">
        <v>9166</v>
      </c>
      <c r="G218" s="108">
        <f t="shared" si="3"/>
        <v>4</v>
      </c>
      <c r="H218" s="772" t="s">
        <v>8763</v>
      </c>
    </row>
    <row r="219" spans="1:8" ht="15.75">
      <c r="A219" s="108" t="s">
        <v>9093</v>
      </c>
      <c r="B219" s="770" t="s">
        <v>9167</v>
      </c>
      <c r="C219" s="771" t="s">
        <v>9153</v>
      </c>
      <c r="D219" s="771" t="s">
        <v>9154</v>
      </c>
      <c r="E219" s="773" t="s">
        <v>9155</v>
      </c>
      <c r="F219" s="771" t="s">
        <v>9156</v>
      </c>
      <c r="G219" s="108">
        <f t="shared" si="3"/>
        <v>2</v>
      </c>
      <c r="H219" s="772" t="s">
        <v>8764</v>
      </c>
    </row>
    <row r="220" spans="1:8" ht="30">
      <c r="A220" s="108" t="s">
        <v>9093</v>
      </c>
      <c r="B220" s="770" t="s">
        <v>9168</v>
      </c>
      <c r="C220" s="771" t="s">
        <v>4952</v>
      </c>
      <c r="D220" s="771" t="s">
        <v>9169</v>
      </c>
      <c r="E220" s="773" t="s">
        <v>9170</v>
      </c>
      <c r="F220" s="771" t="s">
        <v>4953</v>
      </c>
      <c r="G220" s="108">
        <f t="shared" si="3"/>
        <v>3</v>
      </c>
      <c r="H220" s="772" t="s">
        <v>8766</v>
      </c>
    </row>
    <row r="221" spans="1:8" ht="15.75">
      <c r="A221" s="108" t="s">
        <v>9093</v>
      </c>
      <c r="B221" s="770" t="s">
        <v>9171</v>
      </c>
      <c r="C221" s="771" t="s">
        <v>9169</v>
      </c>
      <c r="D221" s="773" t="s">
        <v>174</v>
      </c>
      <c r="E221" s="771" t="s">
        <v>173</v>
      </c>
      <c r="F221" s="771" t="s">
        <v>9172</v>
      </c>
      <c r="G221" s="108">
        <f t="shared" si="3"/>
        <v>1</v>
      </c>
      <c r="H221" s="772" t="s">
        <v>8761</v>
      </c>
    </row>
    <row r="222" spans="1:8" ht="30">
      <c r="A222" s="108" t="s">
        <v>9093</v>
      </c>
      <c r="B222" s="770" t="s">
        <v>9173</v>
      </c>
      <c r="C222" s="771" t="s">
        <v>9148</v>
      </c>
      <c r="D222" s="771" t="s">
        <v>9149</v>
      </c>
      <c r="E222" s="771" t="s">
        <v>9150</v>
      </c>
      <c r="F222" s="773" t="s">
        <v>9151</v>
      </c>
      <c r="G222" s="108">
        <f t="shared" si="3"/>
        <v>4</v>
      </c>
      <c r="H222" s="772" t="s">
        <v>8763</v>
      </c>
    </row>
    <row r="223" spans="1:8" ht="30">
      <c r="A223" s="108" t="s">
        <v>9093</v>
      </c>
      <c r="B223" s="770" t="s">
        <v>9174</v>
      </c>
      <c r="C223" s="771" t="s">
        <v>9175</v>
      </c>
      <c r="D223" s="771" t="s">
        <v>9176</v>
      </c>
      <c r="E223" s="773" t="s">
        <v>9177</v>
      </c>
      <c r="F223" s="771" t="s">
        <v>9178</v>
      </c>
      <c r="G223" s="108">
        <f t="shared" si="3"/>
        <v>3</v>
      </c>
      <c r="H223" s="772" t="s">
        <v>8766</v>
      </c>
    </row>
    <row r="224" spans="1:8" ht="30">
      <c r="A224" s="108" t="s">
        <v>9093</v>
      </c>
      <c r="B224" s="770" t="s">
        <v>9179</v>
      </c>
      <c r="C224" s="771" t="s">
        <v>5450</v>
      </c>
      <c r="D224" s="773" t="s">
        <v>9180</v>
      </c>
      <c r="E224" s="771" t="s">
        <v>173</v>
      </c>
      <c r="F224" s="771" t="s">
        <v>174</v>
      </c>
      <c r="G224" s="108">
        <f t="shared" si="3"/>
        <v>2</v>
      </c>
      <c r="H224" s="772" t="s">
        <v>8764</v>
      </c>
    </row>
    <row r="225" spans="1:8" ht="30">
      <c r="A225" s="108" t="s">
        <v>9093</v>
      </c>
      <c r="B225" s="770" t="s">
        <v>9181</v>
      </c>
      <c r="C225" s="771" t="s">
        <v>5450</v>
      </c>
      <c r="D225" s="771" t="s">
        <v>9180</v>
      </c>
      <c r="E225" s="773" t="s">
        <v>173</v>
      </c>
      <c r="F225" s="771" t="s">
        <v>174</v>
      </c>
      <c r="G225" s="108">
        <f t="shared" si="3"/>
        <v>3</v>
      </c>
      <c r="H225" s="772" t="s">
        <v>8766</v>
      </c>
    </row>
    <row r="226" spans="1:8" ht="30">
      <c r="A226" s="108" t="s">
        <v>9093</v>
      </c>
      <c r="B226" s="770" t="s">
        <v>9182</v>
      </c>
      <c r="C226" s="771" t="s">
        <v>9183</v>
      </c>
      <c r="D226" s="771" t="s">
        <v>9184</v>
      </c>
      <c r="E226" s="773" t="s">
        <v>9185</v>
      </c>
      <c r="F226" s="771" t="s">
        <v>9186</v>
      </c>
      <c r="G226" s="108">
        <f t="shared" si="3"/>
        <v>3</v>
      </c>
      <c r="H226" s="772" t="s">
        <v>8766</v>
      </c>
    </row>
    <row r="227" spans="1:8" ht="30">
      <c r="A227" s="108" t="s">
        <v>9093</v>
      </c>
      <c r="B227" s="770" t="s">
        <v>9187</v>
      </c>
      <c r="C227" s="771" t="s">
        <v>9153</v>
      </c>
      <c r="D227" s="771" t="s">
        <v>9154</v>
      </c>
      <c r="E227" s="771" t="s">
        <v>9155</v>
      </c>
      <c r="F227" s="773" t="s">
        <v>9188</v>
      </c>
      <c r="G227" s="108">
        <f t="shared" si="3"/>
        <v>4</v>
      </c>
      <c r="H227" s="772" t="s">
        <v>8763</v>
      </c>
    </row>
    <row r="228" spans="1:8" ht="30">
      <c r="A228" s="108" t="s">
        <v>9093</v>
      </c>
      <c r="B228" s="776" t="s">
        <v>9189</v>
      </c>
      <c r="C228" s="777" t="s">
        <v>5450</v>
      </c>
      <c r="D228" s="777" t="s">
        <v>9180</v>
      </c>
      <c r="E228" s="773" t="s">
        <v>173</v>
      </c>
      <c r="F228" s="777" t="s">
        <v>174</v>
      </c>
      <c r="G228" s="108">
        <f t="shared" si="3"/>
        <v>3</v>
      </c>
      <c r="H228" s="772" t="s">
        <v>8766</v>
      </c>
    </row>
    <row r="229" spans="1:8" ht="30">
      <c r="A229" s="108" t="s">
        <v>9093</v>
      </c>
      <c r="B229" s="770" t="s">
        <v>9190</v>
      </c>
      <c r="C229" s="771" t="s">
        <v>9180</v>
      </c>
      <c r="D229" s="771" t="s">
        <v>9191</v>
      </c>
      <c r="E229" s="771" t="s">
        <v>4952</v>
      </c>
      <c r="F229" s="773" t="s">
        <v>4953</v>
      </c>
      <c r="G229" s="108">
        <f t="shared" si="3"/>
        <v>4</v>
      </c>
      <c r="H229" s="772" t="s">
        <v>8763</v>
      </c>
    </row>
    <row r="230" spans="1:8" ht="30">
      <c r="A230" s="108" t="s">
        <v>9093</v>
      </c>
      <c r="B230" s="770" t="s">
        <v>9192</v>
      </c>
      <c r="C230" s="771" t="s">
        <v>4952</v>
      </c>
      <c r="D230" s="771" t="s">
        <v>9172</v>
      </c>
      <c r="E230" s="773" t="s">
        <v>173</v>
      </c>
      <c r="F230" s="771" t="s">
        <v>174</v>
      </c>
      <c r="G230" s="108">
        <f t="shared" si="3"/>
        <v>3</v>
      </c>
      <c r="H230" s="772" t="s">
        <v>8766</v>
      </c>
    </row>
    <row r="231" spans="1:8" ht="15.75">
      <c r="A231" s="108" t="s">
        <v>9093</v>
      </c>
      <c r="B231" s="770" t="s">
        <v>9193</v>
      </c>
      <c r="C231" s="771" t="s">
        <v>5450</v>
      </c>
      <c r="D231" s="771" t="s">
        <v>9180</v>
      </c>
      <c r="E231" s="773" t="s">
        <v>173</v>
      </c>
      <c r="F231" s="771" t="s">
        <v>174</v>
      </c>
      <c r="G231" s="108">
        <f t="shared" si="3"/>
        <v>3</v>
      </c>
      <c r="H231" s="772" t="s">
        <v>8766</v>
      </c>
    </row>
    <row r="232" spans="1:8" ht="38.25">
      <c r="A232" s="108" t="s">
        <v>3633</v>
      </c>
      <c r="B232" s="760" t="s">
        <v>3634</v>
      </c>
      <c r="C232" s="760" t="s">
        <v>3635</v>
      </c>
      <c r="D232" s="758" t="s">
        <v>3636</v>
      </c>
      <c r="E232" s="760" t="s">
        <v>3637</v>
      </c>
      <c r="F232" s="778" t="s">
        <v>3638</v>
      </c>
      <c r="G232" s="108">
        <f t="shared" si="3"/>
        <v>2</v>
      </c>
      <c r="H232" s="779" t="s">
        <v>8764</v>
      </c>
    </row>
    <row r="233" spans="1:8" ht="25.5">
      <c r="A233" s="108" t="s">
        <v>3633</v>
      </c>
      <c r="B233" s="760" t="s">
        <v>3678</v>
      </c>
      <c r="C233" s="760" t="s">
        <v>3679</v>
      </c>
      <c r="D233" s="758" t="s">
        <v>3680</v>
      </c>
      <c r="E233" s="760" t="s">
        <v>3681</v>
      </c>
      <c r="F233" s="760" t="s">
        <v>3682</v>
      </c>
      <c r="G233" s="108">
        <f t="shared" si="3"/>
        <v>2</v>
      </c>
      <c r="H233" s="779" t="s">
        <v>8764</v>
      </c>
    </row>
    <row r="234" spans="1:8" ht="25.5">
      <c r="A234" s="108" t="s">
        <v>3633</v>
      </c>
      <c r="B234" s="760" t="s">
        <v>3683</v>
      </c>
      <c r="C234" s="758" t="s">
        <v>3684</v>
      </c>
      <c r="D234" s="760" t="s">
        <v>3685</v>
      </c>
      <c r="E234" s="760" t="s">
        <v>3686</v>
      </c>
      <c r="F234" s="760" t="s">
        <v>3687</v>
      </c>
      <c r="G234" s="108">
        <f t="shared" si="3"/>
        <v>1</v>
      </c>
      <c r="H234" s="779" t="s">
        <v>8761</v>
      </c>
    </row>
    <row r="235" spans="1:8">
      <c r="A235" s="108" t="s">
        <v>3633</v>
      </c>
      <c r="B235" s="760" t="s">
        <v>3688</v>
      </c>
      <c r="C235" s="760" t="s">
        <v>3689</v>
      </c>
      <c r="D235" s="760" t="s">
        <v>3690</v>
      </c>
      <c r="E235" s="760" t="s">
        <v>3691</v>
      </c>
      <c r="F235" s="758" t="s">
        <v>3692</v>
      </c>
      <c r="G235" s="108">
        <f t="shared" si="3"/>
        <v>4</v>
      </c>
      <c r="H235" s="779" t="s">
        <v>8763</v>
      </c>
    </row>
    <row r="236" spans="1:8">
      <c r="A236" s="108" t="s">
        <v>3633</v>
      </c>
      <c r="B236" s="764" t="s">
        <v>3693</v>
      </c>
      <c r="C236" s="765" t="s">
        <v>3694</v>
      </c>
      <c r="D236" s="765" t="s">
        <v>3695</v>
      </c>
      <c r="E236" s="766" t="s">
        <v>9194</v>
      </c>
      <c r="F236" s="765" t="s">
        <v>3697</v>
      </c>
      <c r="G236" s="108">
        <f t="shared" si="3"/>
        <v>3</v>
      </c>
      <c r="H236" s="780" t="s">
        <v>8766</v>
      </c>
    </row>
    <row r="237" spans="1:8" ht="25.5">
      <c r="A237" s="108" t="s">
        <v>3633</v>
      </c>
      <c r="B237" s="760" t="s">
        <v>9195</v>
      </c>
      <c r="C237" s="760" t="s">
        <v>9196</v>
      </c>
      <c r="D237" s="758" t="s">
        <v>9197</v>
      </c>
      <c r="E237" s="760" t="s">
        <v>9198</v>
      </c>
      <c r="F237" s="760" t="s">
        <v>468</v>
      </c>
      <c r="G237" s="108">
        <f t="shared" si="3"/>
        <v>2</v>
      </c>
      <c r="H237" s="779" t="s">
        <v>8764</v>
      </c>
    </row>
    <row r="238" spans="1:8" ht="51">
      <c r="A238" s="108" t="s">
        <v>3633</v>
      </c>
      <c r="B238" s="760" t="s">
        <v>9199</v>
      </c>
      <c r="C238" s="760" t="s">
        <v>9200</v>
      </c>
      <c r="D238" s="760" t="s">
        <v>3793</v>
      </c>
      <c r="E238" s="758" t="s">
        <v>3792</v>
      </c>
      <c r="F238" s="760" t="s">
        <v>9201</v>
      </c>
      <c r="G238" s="108">
        <f t="shared" si="3"/>
        <v>3</v>
      </c>
      <c r="H238" s="779" t="s">
        <v>8766</v>
      </c>
    </row>
    <row r="239" spans="1:8" ht="38.25">
      <c r="A239" s="108" t="s">
        <v>3633</v>
      </c>
      <c r="B239" s="760" t="s">
        <v>9202</v>
      </c>
      <c r="C239" s="781">
        <v>0.1</v>
      </c>
      <c r="D239" s="782">
        <v>0.12</v>
      </c>
      <c r="E239" s="781">
        <v>0.08</v>
      </c>
      <c r="F239" s="781">
        <v>0.15</v>
      </c>
      <c r="G239" s="108">
        <f t="shared" si="3"/>
        <v>2</v>
      </c>
      <c r="H239" s="779" t="s">
        <v>8764</v>
      </c>
    </row>
    <row r="240" spans="1:8" ht="51">
      <c r="A240" s="108" t="s">
        <v>3633</v>
      </c>
      <c r="B240" s="760" t="s">
        <v>3707</v>
      </c>
      <c r="C240" s="760" t="s">
        <v>76</v>
      </c>
      <c r="D240" s="760" t="s">
        <v>137</v>
      </c>
      <c r="E240" s="758" t="s">
        <v>179</v>
      </c>
      <c r="F240" s="760" t="s">
        <v>3708</v>
      </c>
      <c r="G240" s="108">
        <f t="shared" si="3"/>
        <v>3</v>
      </c>
      <c r="H240" s="779" t="s">
        <v>8766</v>
      </c>
    </row>
    <row r="241" spans="1:8" ht="38.25">
      <c r="A241" s="108" t="s">
        <v>3633</v>
      </c>
      <c r="B241" s="760" t="s">
        <v>3709</v>
      </c>
      <c r="C241" s="760" t="s">
        <v>3710</v>
      </c>
      <c r="D241" s="758" t="s">
        <v>8</v>
      </c>
      <c r="E241" s="760" t="s">
        <v>1599</v>
      </c>
      <c r="F241" s="760" t="s">
        <v>1289</v>
      </c>
      <c r="G241" s="108">
        <f t="shared" si="3"/>
        <v>2</v>
      </c>
      <c r="H241" s="779" t="s">
        <v>8764</v>
      </c>
    </row>
    <row r="242" spans="1:8" ht="63.75">
      <c r="A242" s="108" t="s">
        <v>3633</v>
      </c>
      <c r="B242" s="760" t="s">
        <v>3711</v>
      </c>
      <c r="C242" s="760" t="s">
        <v>3712</v>
      </c>
      <c r="D242" s="758" t="s">
        <v>3713</v>
      </c>
      <c r="E242" s="760" t="s">
        <v>3714</v>
      </c>
      <c r="F242" s="760" t="s">
        <v>3715</v>
      </c>
      <c r="G242" s="108">
        <f t="shared" si="3"/>
        <v>2</v>
      </c>
      <c r="H242" s="779" t="s">
        <v>8764</v>
      </c>
    </row>
    <row r="243" spans="1:8" ht="25.5">
      <c r="A243" s="108" t="s">
        <v>3633</v>
      </c>
      <c r="B243" s="757" t="s">
        <v>9203</v>
      </c>
      <c r="C243" s="783" t="s">
        <v>3699</v>
      </c>
      <c r="D243" s="784" t="s">
        <v>3700</v>
      </c>
      <c r="E243" s="757" t="s">
        <v>9204</v>
      </c>
      <c r="F243" s="785" t="s">
        <v>9205</v>
      </c>
      <c r="G243" s="108">
        <f t="shared" si="3"/>
        <v>2</v>
      </c>
      <c r="H243" s="748" t="s">
        <v>8764</v>
      </c>
    </row>
    <row r="244" spans="1:8" ht="38.25">
      <c r="A244" s="108" t="s">
        <v>3633</v>
      </c>
      <c r="B244" s="757" t="s">
        <v>3716</v>
      </c>
      <c r="C244" s="757" t="s">
        <v>3717</v>
      </c>
      <c r="D244" s="757" t="s">
        <v>3718</v>
      </c>
      <c r="E244" s="757" t="s">
        <v>3719</v>
      </c>
      <c r="F244" s="758" t="s">
        <v>3720</v>
      </c>
      <c r="G244" s="108">
        <f t="shared" si="3"/>
        <v>4</v>
      </c>
      <c r="H244" s="748" t="s">
        <v>8763</v>
      </c>
    </row>
    <row r="245" spans="1:8" ht="63.75">
      <c r="A245" s="108" t="s">
        <v>3633</v>
      </c>
      <c r="B245" s="757" t="s">
        <v>3721</v>
      </c>
      <c r="C245" s="757" t="s">
        <v>3722</v>
      </c>
      <c r="D245" s="757" t="s">
        <v>3723</v>
      </c>
      <c r="E245" s="757" t="s">
        <v>3724</v>
      </c>
      <c r="F245" s="758" t="s">
        <v>9206</v>
      </c>
      <c r="G245" s="108">
        <f t="shared" si="3"/>
        <v>4</v>
      </c>
      <c r="H245" s="748" t="s">
        <v>8763</v>
      </c>
    </row>
    <row r="246" spans="1:8" ht="51">
      <c r="A246" s="108" t="s">
        <v>3633</v>
      </c>
      <c r="B246" s="757" t="s">
        <v>3726</v>
      </c>
      <c r="C246" s="757" t="s">
        <v>3727</v>
      </c>
      <c r="D246" s="786" t="s">
        <v>3728</v>
      </c>
      <c r="E246" s="785" t="s">
        <v>3729</v>
      </c>
      <c r="F246" s="787" t="s">
        <v>3730</v>
      </c>
      <c r="G246" s="108">
        <f t="shared" si="3"/>
        <v>4</v>
      </c>
      <c r="H246" s="748" t="s">
        <v>8763</v>
      </c>
    </row>
    <row r="247" spans="1:8" ht="45">
      <c r="A247" s="108" t="s">
        <v>3633</v>
      </c>
      <c r="B247" s="757" t="s">
        <v>3731</v>
      </c>
      <c r="C247" s="757" t="s">
        <v>9207</v>
      </c>
      <c r="D247" s="757" t="s">
        <v>752</v>
      </c>
      <c r="E247" s="757" t="s">
        <v>3719</v>
      </c>
      <c r="F247" s="758" t="s">
        <v>1895</v>
      </c>
      <c r="G247" s="108">
        <f t="shared" si="3"/>
        <v>4</v>
      </c>
      <c r="H247" s="748" t="s">
        <v>8763</v>
      </c>
    </row>
    <row r="248" spans="1:8" ht="63.75">
      <c r="A248" s="108" t="s">
        <v>3633</v>
      </c>
      <c r="B248" s="788" t="s">
        <v>3733</v>
      </c>
      <c r="C248" s="758" t="s">
        <v>3734</v>
      </c>
      <c r="D248" s="788" t="s">
        <v>3719</v>
      </c>
      <c r="E248" s="788" t="s">
        <v>1895</v>
      </c>
      <c r="F248" s="788" t="s">
        <v>1555</v>
      </c>
      <c r="G248" s="108">
        <f t="shared" si="3"/>
        <v>1</v>
      </c>
      <c r="H248" s="789" t="s">
        <v>8761</v>
      </c>
    </row>
    <row r="249" spans="1:8" ht="38.25">
      <c r="A249" s="108" t="s">
        <v>3633</v>
      </c>
      <c r="B249" s="757" t="s">
        <v>3735</v>
      </c>
      <c r="C249" s="758" t="s">
        <v>3736</v>
      </c>
      <c r="D249" s="786" t="s">
        <v>3737</v>
      </c>
      <c r="E249" s="786" t="s">
        <v>3738</v>
      </c>
      <c r="F249" s="786" t="s">
        <v>154</v>
      </c>
      <c r="G249" s="108">
        <f t="shared" si="3"/>
        <v>4</v>
      </c>
      <c r="H249" s="790" t="s">
        <v>8763</v>
      </c>
    </row>
    <row r="250" spans="1:8" ht="51">
      <c r="A250" s="108" t="s">
        <v>3633</v>
      </c>
      <c r="B250" s="757" t="s">
        <v>3739</v>
      </c>
      <c r="C250" s="757" t="s">
        <v>3740</v>
      </c>
      <c r="D250" s="757" t="s">
        <v>3741</v>
      </c>
      <c r="E250" s="757" t="s">
        <v>3742</v>
      </c>
      <c r="F250" s="758" t="s">
        <v>3743</v>
      </c>
      <c r="G250" s="108">
        <f t="shared" si="3"/>
        <v>4</v>
      </c>
      <c r="H250" s="790" t="s">
        <v>8763</v>
      </c>
    </row>
    <row r="251" spans="1:8" ht="25.5">
      <c r="A251" s="108" t="s">
        <v>3633</v>
      </c>
      <c r="B251" s="757" t="s">
        <v>9208</v>
      </c>
      <c r="C251" s="758" t="s">
        <v>9209</v>
      </c>
      <c r="D251" s="757" t="s">
        <v>9210</v>
      </c>
      <c r="E251" s="757" t="s">
        <v>9211</v>
      </c>
      <c r="F251" s="757" t="s">
        <v>9212</v>
      </c>
      <c r="G251" s="108">
        <f t="shared" si="3"/>
        <v>1</v>
      </c>
      <c r="H251" s="790" t="s">
        <v>8761</v>
      </c>
    </row>
    <row r="252" spans="1:8" ht="51">
      <c r="A252" s="108" t="s">
        <v>3633</v>
      </c>
      <c r="B252" s="757" t="s">
        <v>3744</v>
      </c>
      <c r="C252" s="757" t="s">
        <v>3745</v>
      </c>
      <c r="D252" s="758" t="s">
        <v>3746</v>
      </c>
      <c r="E252" s="757" t="s">
        <v>3747</v>
      </c>
      <c r="F252" s="757" t="s">
        <v>3748</v>
      </c>
      <c r="G252" s="108">
        <f t="shared" si="3"/>
        <v>2</v>
      </c>
      <c r="H252" s="790" t="s">
        <v>8764</v>
      </c>
    </row>
    <row r="253" spans="1:8" ht="38.25">
      <c r="A253" s="108" t="s">
        <v>3633</v>
      </c>
      <c r="B253" s="757" t="s">
        <v>3749</v>
      </c>
      <c r="C253" s="758" t="s">
        <v>3718</v>
      </c>
      <c r="D253" s="757" t="s">
        <v>3750</v>
      </c>
      <c r="E253" s="757" t="s">
        <v>1895</v>
      </c>
      <c r="F253" s="757" t="s">
        <v>3751</v>
      </c>
      <c r="G253" s="108">
        <f t="shared" si="3"/>
        <v>1</v>
      </c>
      <c r="H253" s="748" t="s">
        <v>8761</v>
      </c>
    </row>
    <row r="254" spans="1:8" ht="25.5">
      <c r="A254" s="108" t="s">
        <v>3633</v>
      </c>
      <c r="B254" s="757" t="s">
        <v>3752</v>
      </c>
      <c r="C254" s="757" t="s">
        <v>3753</v>
      </c>
      <c r="D254" s="758" t="s">
        <v>9213</v>
      </c>
      <c r="E254" s="757" t="s">
        <v>3755</v>
      </c>
      <c r="F254" s="757" t="s">
        <v>3756</v>
      </c>
      <c r="G254" s="108">
        <f t="shared" si="3"/>
        <v>2</v>
      </c>
      <c r="H254" s="790" t="s">
        <v>8764</v>
      </c>
    </row>
    <row r="255" spans="1:8" ht="38.25">
      <c r="A255" s="108" t="s">
        <v>3633</v>
      </c>
      <c r="B255" s="757" t="s">
        <v>3757</v>
      </c>
      <c r="C255" s="757" t="s">
        <v>3758</v>
      </c>
      <c r="D255" s="757" t="s">
        <v>3759</v>
      </c>
      <c r="E255" s="757" t="s">
        <v>3760</v>
      </c>
      <c r="F255" s="758" t="s">
        <v>3761</v>
      </c>
      <c r="G255" s="108">
        <f t="shared" si="3"/>
        <v>4</v>
      </c>
      <c r="H255" s="790" t="s">
        <v>8763</v>
      </c>
    </row>
    <row r="256" spans="1:8" ht="51">
      <c r="A256" s="108" t="s">
        <v>3633</v>
      </c>
      <c r="B256" s="757" t="s">
        <v>3771</v>
      </c>
      <c r="C256" s="758" t="s">
        <v>1895</v>
      </c>
      <c r="D256" s="757" t="s">
        <v>3772</v>
      </c>
      <c r="E256" s="757" t="s">
        <v>3773</v>
      </c>
      <c r="F256" s="757" t="s">
        <v>3774</v>
      </c>
      <c r="G256" s="108">
        <f t="shared" si="3"/>
        <v>1</v>
      </c>
      <c r="H256" s="790" t="s">
        <v>8761</v>
      </c>
    </row>
    <row r="257" spans="1:8" ht="60">
      <c r="A257" s="108" t="s">
        <v>3633</v>
      </c>
      <c r="B257" s="757" t="s">
        <v>3775</v>
      </c>
      <c r="C257" s="757" t="s">
        <v>9214</v>
      </c>
      <c r="D257" s="757" t="s">
        <v>4195</v>
      </c>
      <c r="E257" s="778" t="s">
        <v>3778</v>
      </c>
      <c r="F257" s="791" t="s">
        <v>3779</v>
      </c>
      <c r="G257" s="108">
        <f t="shared" si="3"/>
        <v>4</v>
      </c>
      <c r="H257" s="790" t="s">
        <v>8763</v>
      </c>
    </row>
    <row r="258" spans="1:8" ht="51">
      <c r="A258" s="108" t="s">
        <v>3633</v>
      </c>
      <c r="B258" s="757" t="s">
        <v>3780</v>
      </c>
      <c r="C258" s="758" t="s">
        <v>3718</v>
      </c>
      <c r="D258" s="757" t="s">
        <v>3719</v>
      </c>
      <c r="E258" s="757" t="s">
        <v>1895</v>
      </c>
      <c r="F258" s="757" t="s">
        <v>1555</v>
      </c>
      <c r="G258" s="108">
        <f t="shared" si="3"/>
        <v>1</v>
      </c>
      <c r="H258" s="790" t="s">
        <v>8761</v>
      </c>
    </row>
    <row r="259" spans="1:8" ht="38.25">
      <c r="A259" s="108" t="s">
        <v>3633</v>
      </c>
      <c r="B259" s="757" t="s">
        <v>3781</v>
      </c>
      <c r="C259" s="757" t="s">
        <v>3782</v>
      </c>
      <c r="D259" s="757" t="s">
        <v>3783</v>
      </c>
      <c r="E259" s="757" t="s">
        <v>3784</v>
      </c>
      <c r="F259" s="758" t="s">
        <v>3785</v>
      </c>
      <c r="G259" s="108">
        <f t="shared" ref="G259:G322" si="4">IF(H259="A",1,IF(H259="B",2,IF(H259="C",3,IF(H259="D",4,0))))</f>
        <v>4</v>
      </c>
      <c r="H259" s="790" t="s">
        <v>8763</v>
      </c>
    </row>
    <row r="260" spans="1:8" ht="51">
      <c r="A260" s="108" t="s">
        <v>3633</v>
      </c>
      <c r="B260" s="757" t="s">
        <v>9215</v>
      </c>
      <c r="C260" s="758" t="s">
        <v>9216</v>
      </c>
      <c r="D260" s="757" t="s">
        <v>3788</v>
      </c>
      <c r="E260" s="757" t="s">
        <v>3789</v>
      </c>
      <c r="F260" s="757" t="s">
        <v>1363</v>
      </c>
      <c r="G260" s="108">
        <f t="shared" si="4"/>
        <v>1</v>
      </c>
      <c r="H260" s="790" t="s">
        <v>8761</v>
      </c>
    </row>
    <row r="261" spans="1:8" ht="51">
      <c r="A261" s="108" t="s">
        <v>3633</v>
      </c>
      <c r="B261" s="757" t="s">
        <v>9217</v>
      </c>
      <c r="C261" s="758" t="s">
        <v>9201</v>
      </c>
      <c r="D261" s="757" t="s">
        <v>3792</v>
      </c>
      <c r="E261" s="757" t="s">
        <v>3793</v>
      </c>
      <c r="F261" s="757" t="s">
        <v>9218</v>
      </c>
      <c r="G261" s="108">
        <f t="shared" si="4"/>
        <v>1</v>
      </c>
      <c r="H261" s="790" t="s">
        <v>8761</v>
      </c>
    </row>
    <row r="262" spans="1:8" ht="51">
      <c r="A262" s="108" t="s">
        <v>3633</v>
      </c>
      <c r="B262" s="757" t="s">
        <v>9219</v>
      </c>
      <c r="C262" s="757" t="s">
        <v>9220</v>
      </c>
      <c r="D262" s="757" t="s">
        <v>9221</v>
      </c>
      <c r="E262" s="757" t="s">
        <v>9222</v>
      </c>
      <c r="F262" s="758" t="s">
        <v>9223</v>
      </c>
      <c r="G262" s="108">
        <f t="shared" si="4"/>
        <v>4</v>
      </c>
      <c r="H262" s="790" t="s">
        <v>8763</v>
      </c>
    </row>
    <row r="263" spans="1:8" ht="45">
      <c r="A263" s="108" t="s">
        <v>3633</v>
      </c>
      <c r="B263" s="757" t="s">
        <v>3800</v>
      </c>
      <c r="C263" s="792" t="s">
        <v>9224</v>
      </c>
      <c r="D263" s="757" t="s">
        <v>3802</v>
      </c>
      <c r="E263" s="745" t="s">
        <v>9225</v>
      </c>
      <c r="F263" s="757" t="s">
        <v>3804</v>
      </c>
      <c r="G263" s="108">
        <f t="shared" si="4"/>
        <v>1</v>
      </c>
      <c r="H263" s="790" t="s">
        <v>8761</v>
      </c>
    </row>
    <row r="264" spans="1:8" ht="38.25">
      <c r="A264" s="108" t="s">
        <v>3633</v>
      </c>
      <c r="B264" s="757" t="s">
        <v>3805</v>
      </c>
      <c r="C264" s="758" t="s">
        <v>3806</v>
      </c>
      <c r="D264" s="757" t="s">
        <v>3807</v>
      </c>
      <c r="E264" s="757" t="s">
        <v>3808</v>
      </c>
      <c r="F264" s="757" t="s">
        <v>73</v>
      </c>
      <c r="G264" s="108">
        <f t="shared" si="4"/>
        <v>1</v>
      </c>
      <c r="H264" s="790" t="s">
        <v>8761</v>
      </c>
    </row>
    <row r="265" spans="1:8" ht="63.75">
      <c r="A265" s="108" t="s">
        <v>3633</v>
      </c>
      <c r="B265" s="757" t="s">
        <v>3809</v>
      </c>
      <c r="C265" s="757" t="s">
        <v>3810</v>
      </c>
      <c r="D265" s="757" t="s">
        <v>3811</v>
      </c>
      <c r="E265" s="757" t="s">
        <v>3812</v>
      </c>
      <c r="F265" s="758" t="s">
        <v>1000</v>
      </c>
      <c r="G265" s="108">
        <f t="shared" si="4"/>
        <v>4</v>
      </c>
      <c r="H265" s="790" t="s">
        <v>8763</v>
      </c>
    </row>
    <row r="266" spans="1:8" ht="76.5">
      <c r="A266" s="108" t="s">
        <v>3633</v>
      </c>
      <c r="B266" s="757" t="s">
        <v>3813</v>
      </c>
      <c r="C266" s="757" t="s">
        <v>3814</v>
      </c>
      <c r="D266" s="758" t="s">
        <v>3815</v>
      </c>
      <c r="E266" s="757" t="s">
        <v>3816</v>
      </c>
      <c r="F266" s="757" t="s">
        <v>3817</v>
      </c>
      <c r="G266" s="108">
        <f t="shared" si="4"/>
        <v>2</v>
      </c>
      <c r="H266" s="790" t="s">
        <v>8764</v>
      </c>
    </row>
    <row r="267" spans="1:8" ht="38.25">
      <c r="A267" s="108" t="s">
        <v>3633</v>
      </c>
      <c r="B267" s="757" t="s">
        <v>3818</v>
      </c>
      <c r="C267" s="757" t="s">
        <v>3819</v>
      </c>
      <c r="D267" s="757" t="s">
        <v>3820</v>
      </c>
      <c r="E267" s="758" t="s">
        <v>3821</v>
      </c>
      <c r="F267" s="757" t="s">
        <v>61</v>
      </c>
      <c r="G267" s="108">
        <f t="shared" si="4"/>
        <v>3</v>
      </c>
      <c r="H267" s="790" t="s">
        <v>8766</v>
      </c>
    </row>
    <row r="268" spans="1:8" ht="127.5">
      <c r="A268" s="108" t="s">
        <v>3633</v>
      </c>
      <c r="B268" s="757" t="s">
        <v>3822</v>
      </c>
      <c r="C268" s="757" t="s">
        <v>3823</v>
      </c>
      <c r="D268" s="757" t="s">
        <v>3824</v>
      </c>
      <c r="E268" s="757" t="s">
        <v>3825</v>
      </c>
      <c r="F268" s="758" t="s">
        <v>3826</v>
      </c>
      <c r="G268" s="108">
        <f t="shared" si="4"/>
        <v>4</v>
      </c>
      <c r="H268" s="790" t="s">
        <v>8763</v>
      </c>
    </row>
    <row r="269" spans="1:8" ht="25.5">
      <c r="A269" s="108" t="s">
        <v>3633</v>
      </c>
      <c r="B269" s="757" t="s">
        <v>3827</v>
      </c>
      <c r="C269" s="757" t="s">
        <v>3828</v>
      </c>
      <c r="D269" s="758" t="s">
        <v>3829</v>
      </c>
      <c r="E269" s="757" t="s">
        <v>804</v>
      </c>
      <c r="F269" s="757" t="s">
        <v>805</v>
      </c>
      <c r="G269" s="108">
        <f t="shared" si="4"/>
        <v>2</v>
      </c>
      <c r="H269" s="790" t="s">
        <v>8764</v>
      </c>
    </row>
    <row r="270" spans="1:8" ht="25.5">
      <c r="A270" s="108" t="s">
        <v>3633</v>
      </c>
      <c r="B270" s="757" t="s">
        <v>3830</v>
      </c>
      <c r="C270" s="757" t="s">
        <v>74</v>
      </c>
      <c r="D270" s="757" t="s">
        <v>137</v>
      </c>
      <c r="E270" s="758" t="s">
        <v>2473</v>
      </c>
      <c r="F270" s="757" t="s">
        <v>76</v>
      </c>
      <c r="G270" s="108">
        <f t="shared" si="4"/>
        <v>3</v>
      </c>
      <c r="H270" s="790" t="s">
        <v>8766</v>
      </c>
    </row>
    <row r="271" spans="1:8" ht="63.75">
      <c r="A271" s="108" t="s">
        <v>3633</v>
      </c>
      <c r="B271" s="757" t="s">
        <v>3831</v>
      </c>
      <c r="C271" s="758" t="s">
        <v>3832</v>
      </c>
      <c r="D271" s="757" t="s">
        <v>3833</v>
      </c>
      <c r="E271" s="757" t="s">
        <v>3834</v>
      </c>
      <c r="F271" s="757" t="s">
        <v>3835</v>
      </c>
      <c r="G271" s="108">
        <f t="shared" si="4"/>
        <v>1</v>
      </c>
      <c r="H271" s="790" t="s">
        <v>8761</v>
      </c>
    </row>
    <row r="272" spans="1:8" ht="51">
      <c r="A272" s="108" t="s">
        <v>3633</v>
      </c>
      <c r="B272" s="757" t="s">
        <v>3836</v>
      </c>
      <c r="C272" s="757" t="s">
        <v>74</v>
      </c>
      <c r="D272" s="758" t="s">
        <v>73</v>
      </c>
      <c r="E272" s="757" t="s">
        <v>177</v>
      </c>
      <c r="F272" s="757" t="s">
        <v>3476</v>
      </c>
      <c r="G272" s="108">
        <f t="shared" si="4"/>
        <v>2</v>
      </c>
      <c r="H272" s="790" t="s">
        <v>8764</v>
      </c>
    </row>
    <row r="273" spans="1:8" ht="38.25">
      <c r="A273" s="108" t="s">
        <v>3633</v>
      </c>
      <c r="B273" s="757" t="s">
        <v>3837</v>
      </c>
      <c r="C273" s="758" t="s">
        <v>9226</v>
      </c>
      <c r="D273" s="757" t="s">
        <v>3839</v>
      </c>
      <c r="E273" s="757" t="s">
        <v>3840</v>
      </c>
      <c r="F273" s="745" t="s">
        <v>9227</v>
      </c>
      <c r="G273" s="108">
        <f t="shared" si="4"/>
        <v>1</v>
      </c>
      <c r="H273" s="790" t="s">
        <v>8761</v>
      </c>
    </row>
    <row r="274" spans="1:8" ht="45">
      <c r="A274" s="108" t="s">
        <v>3633</v>
      </c>
      <c r="B274" s="757" t="s">
        <v>3842</v>
      </c>
      <c r="C274" s="745" t="s">
        <v>9228</v>
      </c>
      <c r="D274" s="757" t="s">
        <v>3844</v>
      </c>
      <c r="E274" s="792" t="s">
        <v>9229</v>
      </c>
      <c r="F274" s="745" t="s">
        <v>9230</v>
      </c>
      <c r="G274" s="108">
        <f t="shared" si="4"/>
        <v>3</v>
      </c>
      <c r="H274" s="790" t="s">
        <v>8766</v>
      </c>
    </row>
    <row r="275" spans="1:8" ht="38.25">
      <c r="A275" s="108" t="s">
        <v>3633</v>
      </c>
      <c r="B275" s="757" t="s">
        <v>3847</v>
      </c>
      <c r="C275" s="791" t="s">
        <v>3848</v>
      </c>
      <c r="D275" s="757" t="s">
        <v>3849</v>
      </c>
      <c r="E275" s="757" t="s">
        <v>3850</v>
      </c>
      <c r="F275" s="757" t="s">
        <v>3851</v>
      </c>
      <c r="G275" s="108">
        <f t="shared" si="4"/>
        <v>1</v>
      </c>
      <c r="H275" s="790" t="s">
        <v>8761</v>
      </c>
    </row>
    <row r="276" spans="1:8" ht="51">
      <c r="A276" s="108" t="s">
        <v>3633</v>
      </c>
      <c r="B276" s="757" t="s">
        <v>9231</v>
      </c>
      <c r="C276" s="745" t="s">
        <v>9232</v>
      </c>
      <c r="D276" s="757" t="s">
        <v>3854</v>
      </c>
      <c r="E276" s="758" t="s">
        <v>3855</v>
      </c>
      <c r="F276" s="757" t="s">
        <v>3856</v>
      </c>
      <c r="G276" s="108">
        <f t="shared" si="4"/>
        <v>3</v>
      </c>
      <c r="H276" s="790" t="s">
        <v>8766</v>
      </c>
    </row>
    <row r="277" spans="1:8" ht="38.25">
      <c r="A277" s="108" t="s">
        <v>3633</v>
      </c>
      <c r="B277" s="757" t="s">
        <v>3857</v>
      </c>
      <c r="C277" s="758" t="s">
        <v>3858</v>
      </c>
      <c r="D277" s="757" t="s">
        <v>3859</v>
      </c>
      <c r="E277" s="757" t="s">
        <v>3860</v>
      </c>
      <c r="F277" s="757" t="s">
        <v>3861</v>
      </c>
      <c r="G277" s="108">
        <f t="shared" si="4"/>
        <v>1</v>
      </c>
      <c r="H277" s="790" t="s">
        <v>8761</v>
      </c>
    </row>
    <row r="278" spans="1:8" ht="38.25">
      <c r="A278" s="108" t="s">
        <v>3633</v>
      </c>
      <c r="B278" s="757" t="s">
        <v>3862</v>
      </c>
      <c r="C278" s="757" t="s">
        <v>3718</v>
      </c>
      <c r="D278" s="757" t="s">
        <v>3863</v>
      </c>
      <c r="E278" s="757" t="s">
        <v>3864</v>
      </c>
      <c r="F278" s="792" t="s">
        <v>9233</v>
      </c>
      <c r="G278" s="108">
        <f t="shared" si="4"/>
        <v>4</v>
      </c>
      <c r="H278" s="790" t="s">
        <v>8763</v>
      </c>
    </row>
    <row r="279" spans="1:8" ht="38.25">
      <c r="A279" s="108" t="s">
        <v>3633</v>
      </c>
      <c r="B279" s="757" t="s">
        <v>3866</v>
      </c>
      <c r="C279" s="757" t="s">
        <v>3751</v>
      </c>
      <c r="D279" s="758" t="s">
        <v>3718</v>
      </c>
      <c r="E279" s="757" t="s">
        <v>1895</v>
      </c>
      <c r="F279" s="757" t="s">
        <v>3719</v>
      </c>
      <c r="G279" s="108">
        <f t="shared" si="4"/>
        <v>2</v>
      </c>
      <c r="H279" s="790" t="s">
        <v>8764</v>
      </c>
    </row>
    <row r="280" spans="1:8" ht="60">
      <c r="A280" s="108" t="s">
        <v>3633</v>
      </c>
      <c r="B280" s="793" t="s">
        <v>3867</v>
      </c>
      <c r="C280" s="757" t="s">
        <v>3751</v>
      </c>
      <c r="D280" s="745" t="s">
        <v>9207</v>
      </c>
      <c r="E280" s="758" t="s">
        <v>1895</v>
      </c>
      <c r="F280" s="745" t="s">
        <v>9234</v>
      </c>
      <c r="G280" s="108">
        <f t="shared" si="4"/>
        <v>3</v>
      </c>
      <c r="H280" s="790" t="s">
        <v>8766</v>
      </c>
    </row>
    <row r="281" spans="1:8" ht="25.5">
      <c r="A281" s="108" t="s">
        <v>3633</v>
      </c>
      <c r="B281" s="757" t="s">
        <v>3870</v>
      </c>
      <c r="C281" s="757" t="s">
        <v>3751</v>
      </c>
      <c r="D281" s="757" t="s">
        <v>3871</v>
      </c>
      <c r="E281" s="757" t="s">
        <v>1895</v>
      </c>
      <c r="F281" s="758" t="s">
        <v>3719</v>
      </c>
      <c r="G281" s="108">
        <f t="shared" si="4"/>
        <v>4</v>
      </c>
      <c r="H281" s="790" t="s">
        <v>8763</v>
      </c>
    </row>
    <row r="282" spans="1:8" ht="25.5">
      <c r="A282" s="108" t="s">
        <v>3633</v>
      </c>
      <c r="B282" s="757" t="s">
        <v>3872</v>
      </c>
      <c r="C282" s="757" t="s">
        <v>3873</v>
      </c>
      <c r="D282" s="758" t="s">
        <v>3874</v>
      </c>
      <c r="E282" s="757" t="s">
        <v>3875</v>
      </c>
      <c r="F282" s="757" t="s">
        <v>3876</v>
      </c>
      <c r="G282" s="108">
        <f t="shared" si="4"/>
        <v>2</v>
      </c>
      <c r="H282" s="790" t="s">
        <v>8764</v>
      </c>
    </row>
    <row r="283" spans="1:8" ht="102">
      <c r="A283" s="108" t="s">
        <v>3633</v>
      </c>
      <c r="B283" s="757" t="s">
        <v>3877</v>
      </c>
      <c r="C283" s="758" t="s">
        <v>3878</v>
      </c>
      <c r="D283" s="745" t="s">
        <v>9235</v>
      </c>
      <c r="E283" s="745" t="s">
        <v>9236</v>
      </c>
      <c r="F283" s="745" t="s">
        <v>9237</v>
      </c>
      <c r="G283" s="108">
        <f t="shared" si="4"/>
        <v>1</v>
      </c>
      <c r="H283" s="790" t="s">
        <v>8761</v>
      </c>
    </row>
    <row r="284" spans="1:8" ht="76.5">
      <c r="A284" s="108" t="s">
        <v>3633</v>
      </c>
      <c r="B284" s="757" t="s">
        <v>3882</v>
      </c>
      <c r="C284" s="757" t="s">
        <v>3883</v>
      </c>
      <c r="D284" s="757" t="s">
        <v>3884</v>
      </c>
      <c r="E284" s="758" t="s">
        <v>9238</v>
      </c>
      <c r="F284" s="757" t="s">
        <v>9239</v>
      </c>
      <c r="G284" s="108">
        <f t="shared" si="4"/>
        <v>3</v>
      </c>
      <c r="H284" s="790" t="s">
        <v>8766</v>
      </c>
    </row>
    <row r="285" spans="1:8" ht="51">
      <c r="A285" s="108" t="s">
        <v>3633</v>
      </c>
      <c r="B285" s="757" t="s">
        <v>3887</v>
      </c>
      <c r="C285" s="758" t="s">
        <v>3888</v>
      </c>
      <c r="D285" s="757" t="s">
        <v>3889</v>
      </c>
      <c r="E285" s="757" t="s">
        <v>3890</v>
      </c>
      <c r="F285" s="757" t="s">
        <v>3891</v>
      </c>
      <c r="G285" s="108">
        <f t="shared" si="4"/>
        <v>1</v>
      </c>
      <c r="H285" s="790" t="s">
        <v>8761</v>
      </c>
    </row>
    <row r="286" spans="1:8" ht="51">
      <c r="A286" s="108" t="s">
        <v>3633</v>
      </c>
      <c r="B286" s="757" t="s">
        <v>3892</v>
      </c>
      <c r="C286" s="757" t="s">
        <v>417</v>
      </c>
      <c r="D286" s="757" t="s">
        <v>179</v>
      </c>
      <c r="E286" s="757" t="s">
        <v>3807</v>
      </c>
      <c r="F286" s="758" t="s">
        <v>3893</v>
      </c>
      <c r="G286" s="108">
        <f t="shared" si="4"/>
        <v>4</v>
      </c>
      <c r="H286" s="790" t="s">
        <v>8763</v>
      </c>
    </row>
    <row r="287" spans="1:8" ht="38.25">
      <c r="A287" s="108" t="s">
        <v>3633</v>
      </c>
      <c r="B287" s="757" t="s">
        <v>3894</v>
      </c>
      <c r="C287" s="758" t="s">
        <v>3895</v>
      </c>
      <c r="D287" s="757" t="s">
        <v>3896</v>
      </c>
      <c r="E287" s="757" t="s">
        <v>3897</v>
      </c>
      <c r="F287" s="757" t="s">
        <v>3898</v>
      </c>
      <c r="G287" s="108">
        <f t="shared" si="4"/>
        <v>1</v>
      </c>
      <c r="H287" s="790" t="s">
        <v>8761</v>
      </c>
    </row>
    <row r="288" spans="1:8" ht="63.75">
      <c r="A288" s="108" t="s">
        <v>3633</v>
      </c>
      <c r="B288" s="757" t="s">
        <v>3899</v>
      </c>
      <c r="C288" s="758" t="s">
        <v>3900</v>
      </c>
      <c r="D288" s="745" t="s">
        <v>9240</v>
      </c>
      <c r="E288" s="757" t="s">
        <v>3902</v>
      </c>
      <c r="F288" s="745" t="s">
        <v>9241</v>
      </c>
      <c r="G288" s="108">
        <f t="shared" si="4"/>
        <v>1</v>
      </c>
      <c r="H288" s="790" t="s">
        <v>8761</v>
      </c>
    </row>
    <row r="289" spans="1:8" ht="51">
      <c r="A289" s="108" t="s">
        <v>3633</v>
      </c>
      <c r="B289" s="793" t="s">
        <v>9242</v>
      </c>
      <c r="C289" s="757" t="s">
        <v>9243</v>
      </c>
      <c r="D289" s="758" t="s">
        <v>3906</v>
      </c>
      <c r="E289" s="757" t="s">
        <v>3907</v>
      </c>
      <c r="F289" s="757" t="s">
        <v>3908</v>
      </c>
      <c r="G289" s="108">
        <f t="shared" si="4"/>
        <v>2</v>
      </c>
      <c r="H289" s="790" t="s">
        <v>8764</v>
      </c>
    </row>
    <row r="290" spans="1:8" ht="38.25">
      <c r="A290" s="108" t="s">
        <v>3633</v>
      </c>
      <c r="B290" s="757" t="s">
        <v>3909</v>
      </c>
      <c r="C290" s="757" t="s">
        <v>3910</v>
      </c>
      <c r="D290" s="757" t="s">
        <v>3911</v>
      </c>
      <c r="E290" s="758" t="s">
        <v>3912</v>
      </c>
      <c r="F290" s="757" t="s">
        <v>3913</v>
      </c>
      <c r="G290" s="108">
        <f t="shared" si="4"/>
        <v>3</v>
      </c>
      <c r="H290" s="790" t="s">
        <v>8766</v>
      </c>
    </row>
    <row r="291" spans="1:8" ht="38.25">
      <c r="A291" s="108" t="s">
        <v>3633</v>
      </c>
      <c r="B291" s="757" t="s">
        <v>3914</v>
      </c>
      <c r="C291" s="758" t="s">
        <v>3915</v>
      </c>
      <c r="D291" s="757" t="s">
        <v>3916</v>
      </c>
      <c r="E291" s="757" t="s">
        <v>3917</v>
      </c>
      <c r="F291" s="757" t="s">
        <v>3918</v>
      </c>
      <c r="G291" s="108">
        <f t="shared" si="4"/>
        <v>1</v>
      </c>
      <c r="H291" s="790" t="s">
        <v>8761</v>
      </c>
    </row>
    <row r="292" spans="1:8" ht="76.5">
      <c r="A292" s="108" t="s">
        <v>3633</v>
      </c>
      <c r="B292" s="757" t="s">
        <v>9244</v>
      </c>
      <c r="C292" s="757" t="s">
        <v>3920</v>
      </c>
      <c r="D292" s="757" t="s">
        <v>3921</v>
      </c>
      <c r="E292" s="757" t="s">
        <v>3922</v>
      </c>
      <c r="F292" s="758" t="s">
        <v>9245</v>
      </c>
      <c r="G292" s="108">
        <f t="shared" si="4"/>
        <v>4</v>
      </c>
      <c r="H292" s="790" t="s">
        <v>8763</v>
      </c>
    </row>
    <row r="293" spans="1:8" ht="38.25">
      <c r="A293" s="108" t="s">
        <v>3633</v>
      </c>
      <c r="B293" s="757" t="s">
        <v>3924</v>
      </c>
      <c r="C293" s="757" t="s">
        <v>3925</v>
      </c>
      <c r="D293" s="757" t="s">
        <v>3926</v>
      </c>
      <c r="E293" s="757" t="s">
        <v>3927</v>
      </c>
      <c r="F293" s="758" t="s">
        <v>1869</v>
      </c>
      <c r="G293" s="108">
        <f t="shared" si="4"/>
        <v>4</v>
      </c>
      <c r="H293" s="790" t="s">
        <v>8763</v>
      </c>
    </row>
    <row r="294" spans="1:8" ht="140.25">
      <c r="A294" s="108" t="s">
        <v>3633</v>
      </c>
      <c r="B294" s="757" t="s">
        <v>3928</v>
      </c>
      <c r="C294" s="758" t="s">
        <v>3929</v>
      </c>
      <c r="D294" s="757" t="s">
        <v>3930</v>
      </c>
      <c r="E294" s="757" t="s">
        <v>3931</v>
      </c>
      <c r="F294" s="757" t="s">
        <v>3932</v>
      </c>
      <c r="G294" s="108">
        <f t="shared" si="4"/>
        <v>1</v>
      </c>
      <c r="H294" s="790" t="s">
        <v>8761</v>
      </c>
    </row>
    <row r="295" spans="1:8" ht="45">
      <c r="A295" s="108" t="s">
        <v>3633</v>
      </c>
      <c r="B295" s="793" t="s">
        <v>3933</v>
      </c>
      <c r="C295" s="758" t="s">
        <v>179</v>
      </c>
      <c r="D295" s="757" t="s">
        <v>76</v>
      </c>
      <c r="E295" s="757" t="s">
        <v>137</v>
      </c>
      <c r="F295" s="757" t="s">
        <v>74</v>
      </c>
      <c r="G295" s="108">
        <f t="shared" si="4"/>
        <v>1</v>
      </c>
      <c r="H295" s="790" t="s">
        <v>8761</v>
      </c>
    </row>
    <row r="296" spans="1:8" ht="45">
      <c r="A296" s="108" t="s">
        <v>3633</v>
      </c>
      <c r="B296" s="757" t="s">
        <v>3934</v>
      </c>
      <c r="C296" s="757" t="s">
        <v>3935</v>
      </c>
      <c r="D296" s="757" t="s">
        <v>3936</v>
      </c>
      <c r="E296" s="791" t="s">
        <v>9246</v>
      </c>
      <c r="F296" s="778" t="s">
        <v>3938</v>
      </c>
      <c r="G296" s="108">
        <f t="shared" si="4"/>
        <v>3</v>
      </c>
      <c r="H296" s="790" t="s">
        <v>8766</v>
      </c>
    </row>
    <row r="297" spans="1:8" ht="38.25">
      <c r="A297" s="108" t="s">
        <v>3633</v>
      </c>
      <c r="B297" s="757" t="s">
        <v>3939</v>
      </c>
      <c r="C297" s="758" t="s">
        <v>3940</v>
      </c>
      <c r="D297" s="757" t="s">
        <v>3941</v>
      </c>
      <c r="E297" s="757" t="s">
        <v>3942</v>
      </c>
      <c r="F297" s="757" t="s">
        <v>3943</v>
      </c>
      <c r="G297" s="108">
        <f t="shared" si="4"/>
        <v>1</v>
      </c>
      <c r="H297" s="790" t="s">
        <v>8761</v>
      </c>
    </row>
    <row r="298" spans="1:8" ht="25.5">
      <c r="A298" s="108" t="s">
        <v>3633</v>
      </c>
      <c r="B298" s="757" t="s">
        <v>9247</v>
      </c>
      <c r="C298" s="757" t="s">
        <v>9248</v>
      </c>
      <c r="D298" s="758" t="s">
        <v>9249</v>
      </c>
      <c r="E298" s="757" t="s">
        <v>9250</v>
      </c>
      <c r="F298" s="794" t="s">
        <v>9251</v>
      </c>
      <c r="G298" s="108">
        <f t="shared" si="4"/>
        <v>2</v>
      </c>
      <c r="H298" s="790" t="s">
        <v>8764</v>
      </c>
    </row>
    <row r="299" spans="1:8" ht="25.5">
      <c r="A299" s="108" t="s">
        <v>3633</v>
      </c>
      <c r="B299" s="757" t="s">
        <v>9252</v>
      </c>
      <c r="C299" s="794" t="s">
        <v>9248</v>
      </c>
      <c r="D299" s="794" t="s">
        <v>9249</v>
      </c>
      <c r="E299" s="794" t="s">
        <v>9253</v>
      </c>
      <c r="F299" s="758" t="s">
        <v>9254</v>
      </c>
      <c r="G299" s="108">
        <f t="shared" si="4"/>
        <v>4</v>
      </c>
      <c r="H299" s="790" t="s">
        <v>8763</v>
      </c>
    </row>
    <row r="300" spans="1:8" ht="60">
      <c r="A300" s="108" t="s">
        <v>3633</v>
      </c>
      <c r="B300" s="757" t="s">
        <v>9255</v>
      </c>
      <c r="C300" s="758" t="s">
        <v>9256</v>
      </c>
      <c r="D300" s="745" t="s">
        <v>9257</v>
      </c>
      <c r="E300" s="757" t="s">
        <v>9258</v>
      </c>
      <c r="F300" s="757" t="s">
        <v>9259</v>
      </c>
      <c r="G300" s="108">
        <f t="shared" si="4"/>
        <v>1</v>
      </c>
      <c r="H300" s="790" t="s">
        <v>8761</v>
      </c>
    </row>
    <row r="301" spans="1:8" ht="53.25">
      <c r="A301" s="108" t="s">
        <v>3633</v>
      </c>
      <c r="B301" s="757" t="s">
        <v>9260</v>
      </c>
      <c r="C301" s="758" t="s">
        <v>3945</v>
      </c>
      <c r="D301" s="757" t="s">
        <v>3946</v>
      </c>
      <c r="E301" s="757" t="s">
        <v>3947</v>
      </c>
      <c r="F301" s="757" t="s">
        <v>3948</v>
      </c>
      <c r="G301" s="108">
        <f t="shared" si="4"/>
        <v>1</v>
      </c>
      <c r="H301" s="790" t="s">
        <v>8761</v>
      </c>
    </row>
    <row r="302" spans="1:8" ht="38.25">
      <c r="A302" s="108" t="s">
        <v>3633</v>
      </c>
      <c r="B302" s="757" t="s">
        <v>3949</v>
      </c>
      <c r="C302" s="758" t="s">
        <v>557</v>
      </c>
      <c r="D302" s="757" t="s">
        <v>3773</v>
      </c>
      <c r="E302" s="757" t="s">
        <v>3950</v>
      </c>
      <c r="F302" s="757" t="s">
        <v>3951</v>
      </c>
      <c r="G302" s="108">
        <f t="shared" si="4"/>
        <v>1</v>
      </c>
      <c r="H302" s="790" t="s">
        <v>8761</v>
      </c>
    </row>
    <row r="303" spans="1:8" ht="51">
      <c r="A303" s="108" t="s">
        <v>3633</v>
      </c>
      <c r="B303" s="757" t="s">
        <v>3952</v>
      </c>
      <c r="C303" s="758" t="s">
        <v>3953</v>
      </c>
      <c r="D303" s="757" t="s">
        <v>3954</v>
      </c>
      <c r="E303" s="757" t="s">
        <v>3955</v>
      </c>
      <c r="F303" s="757" t="s">
        <v>3956</v>
      </c>
      <c r="G303" s="108">
        <f t="shared" si="4"/>
        <v>1</v>
      </c>
      <c r="H303" s="790" t="s">
        <v>8761</v>
      </c>
    </row>
    <row r="304" spans="1:8" ht="63.75">
      <c r="A304" s="108" t="s">
        <v>3633</v>
      </c>
      <c r="B304" s="757" t="s">
        <v>3957</v>
      </c>
      <c r="C304" s="757" t="s">
        <v>74</v>
      </c>
      <c r="D304" s="757" t="s">
        <v>179</v>
      </c>
      <c r="E304" s="758" t="s">
        <v>3958</v>
      </c>
      <c r="F304" s="757" t="s">
        <v>76</v>
      </c>
      <c r="G304" s="108">
        <f t="shared" si="4"/>
        <v>3</v>
      </c>
      <c r="H304" s="790" t="s">
        <v>8766</v>
      </c>
    </row>
    <row r="305" spans="1:8" ht="30">
      <c r="A305" s="108" t="s">
        <v>3633</v>
      </c>
      <c r="B305" s="778" t="s">
        <v>3959</v>
      </c>
      <c r="C305" s="778" t="s">
        <v>3960</v>
      </c>
      <c r="D305" s="778" t="s">
        <v>3961</v>
      </c>
      <c r="E305" s="791" t="s">
        <v>179</v>
      </c>
      <c r="F305" s="778" t="s">
        <v>557</v>
      </c>
      <c r="G305" s="108">
        <f t="shared" si="4"/>
        <v>3</v>
      </c>
      <c r="H305" s="790" t="s">
        <v>8766</v>
      </c>
    </row>
    <row r="306" spans="1:8" ht="52.5">
      <c r="A306" s="108" t="s">
        <v>3633</v>
      </c>
      <c r="B306" s="796" t="s">
        <v>3962</v>
      </c>
      <c r="C306" s="795" t="s">
        <v>9261</v>
      </c>
      <c r="D306" s="796" t="s">
        <v>9262</v>
      </c>
      <c r="E306" s="796" t="s">
        <v>9263</v>
      </c>
      <c r="F306" s="796" t="s">
        <v>3966</v>
      </c>
      <c r="G306" s="108">
        <f t="shared" si="4"/>
        <v>2</v>
      </c>
      <c r="H306" s="790" t="s">
        <v>8764</v>
      </c>
    </row>
    <row r="307" spans="1:8" ht="45">
      <c r="A307" s="108" t="s">
        <v>3633</v>
      </c>
      <c r="B307" s="778" t="s">
        <v>3967</v>
      </c>
      <c r="C307" s="797" t="s">
        <v>3968</v>
      </c>
      <c r="D307" s="797" t="s">
        <v>3969</v>
      </c>
      <c r="E307" s="180" t="s">
        <v>3970</v>
      </c>
      <c r="F307" s="797" t="s">
        <v>3971</v>
      </c>
      <c r="G307" s="108">
        <f t="shared" si="4"/>
        <v>3</v>
      </c>
      <c r="H307" s="790" t="s">
        <v>8766</v>
      </c>
    </row>
    <row r="308" spans="1:8" ht="45">
      <c r="A308" s="108" t="s">
        <v>3633</v>
      </c>
      <c r="B308" s="778" t="s">
        <v>3972</v>
      </c>
      <c r="C308" s="180" t="s">
        <v>557</v>
      </c>
      <c r="D308" s="797" t="s">
        <v>179</v>
      </c>
      <c r="E308" s="797" t="s">
        <v>3973</v>
      </c>
      <c r="F308" s="797" t="s">
        <v>3974</v>
      </c>
      <c r="G308" s="108">
        <f t="shared" si="4"/>
        <v>1</v>
      </c>
      <c r="H308" s="790" t="s">
        <v>8761</v>
      </c>
    </row>
    <row r="309" spans="1:8" ht="30">
      <c r="A309" s="108" t="s">
        <v>3633</v>
      </c>
      <c r="B309" s="778" t="s">
        <v>3975</v>
      </c>
      <c r="C309" s="797" t="s">
        <v>451</v>
      </c>
      <c r="D309" s="180" t="s">
        <v>9264</v>
      </c>
      <c r="E309" s="797" t="s">
        <v>1490</v>
      </c>
      <c r="F309" s="797" t="s">
        <v>1494</v>
      </c>
      <c r="G309" s="108">
        <f t="shared" si="4"/>
        <v>2</v>
      </c>
      <c r="H309" s="790" t="s">
        <v>8764</v>
      </c>
    </row>
    <row r="310" spans="1:8" ht="30">
      <c r="A310" s="108" t="s">
        <v>3633</v>
      </c>
      <c r="B310" s="778" t="s">
        <v>3977</v>
      </c>
      <c r="C310" s="180" t="s">
        <v>3221</v>
      </c>
      <c r="D310" s="797" t="s">
        <v>3220</v>
      </c>
      <c r="E310" s="797" t="s">
        <v>3978</v>
      </c>
      <c r="F310" s="797" t="s">
        <v>3979</v>
      </c>
      <c r="G310" s="108">
        <f t="shared" si="4"/>
        <v>1</v>
      </c>
      <c r="H310" s="790" t="s">
        <v>8761</v>
      </c>
    </row>
    <row r="311" spans="1:8" ht="30">
      <c r="A311" s="108" t="s">
        <v>3633</v>
      </c>
      <c r="B311" s="778" t="s">
        <v>3980</v>
      </c>
      <c r="C311" s="797">
        <v>4</v>
      </c>
      <c r="D311" s="797">
        <v>5</v>
      </c>
      <c r="E311" s="180">
        <v>6</v>
      </c>
      <c r="F311" s="797">
        <v>3</v>
      </c>
      <c r="G311" s="108">
        <f t="shared" si="4"/>
        <v>3</v>
      </c>
      <c r="H311" s="790" t="s">
        <v>8766</v>
      </c>
    </row>
    <row r="312" spans="1:8" ht="60">
      <c r="A312" s="108" t="s">
        <v>3633</v>
      </c>
      <c r="B312" s="778" t="s">
        <v>3981</v>
      </c>
      <c r="C312" s="797" t="s">
        <v>557</v>
      </c>
      <c r="D312" s="180" t="s">
        <v>179</v>
      </c>
      <c r="E312" s="797" t="s">
        <v>76</v>
      </c>
      <c r="F312" s="797" t="s">
        <v>3982</v>
      </c>
      <c r="G312" s="108">
        <f t="shared" si="4"/>
        <v>2</v>
      </c>
      <c r="H312" s="790" t="s">
        <v>8764</v>
      </c>
    </row>
    <row r="313" spans="1:8" ht="51">
      <c r="A313" s="108" t="s">
        <v>3633</v>
      </c>
      <c r="B313" s="797" t="s">
        <v>3983</v>
      </c>
      <c r="C313" s="797" t="s">
        <v>557</v>
      </c>
      <c r="D313" s="180" t="s">
        <v>76</v>
      </c>
      <c r="E313" s="797" t="s">
        <v>179</v>
      </c>
      <c r="F313" s="797" t="s">
        <v>137</v>
      </c>
      <c r="G313" s="108">
        <f t="shared" si="4"/>
        <v>2</v>
      </c>
      <c r="H313" s="790" t="s">
        <v>8764</v>
      </c>
    </row>
    <row r="314" spans="1:8" ht="51">
      <c r="A314" s="108" t="s">
        <v>3633</v>
      </c>
      <c r="B314" s="797" t="s">
        <v>3984</v>
      </c>
      <c r="C314" s="797" t="s">
        <v>3985</v>
      </c>
      <c r="D314" s="180" t="s">
        <v>3986</v>
      </c>
      <c r="E314" s="797" t="s">
        <v>3987</v>
      </c>
      <c r="F314" s="797" t="s">
        <v>3988</v>
      </c>
      <c r="G314" s="108">
        <f t="shared" si="4"/>
        <v>2</v>
      </c>
      <c r="H314" s="790" t="s">
        <v>8764</v>
      </c>
    </row>
    <row r="315" spans="1:8" ht="25.5">
      <c r="A315" s="108" t="s">
        <v>3633</v>
      </c>
      <c r="B315" s="797" t="s">
        <v>3989</v>
      </c>
      <c r="C315" s="180" t="s">
        <v>76</v>
      </c>
      <c r="D315" s="797" t="s">
        <v>270</v>
      </c>
      <c r="E315" s="797" t="s">
        <v>3990</v>
      </c>
      <c r="F315" s="797" t="s">
        <v>137</v>
      </c>
      <c r="G315" s="108">
        <f t="shared" si="4"/>
        <v>1</v>
      </c>
      <c r="H315" s="790" t="s">
        <v>8761</v>
      </c>
    </row>
    <row r="316" spans="1:8" ht="25.5">
      <c r="A316" s="108" t="s">
        <v>3633</v>
      </c>
      <c r="B316" s="797" t="s">
        <v>9265</v>
      </c>
      <c r="C316" s="797" t="s">
        <v>557</v>
      </c>
      <c r="D316" s="180" t="s">
        <v>179</v>
      </c>
      <c r="E316" s="797" t="s">
        <v>3973</v>
      </c>
      <c r="F316" s="797" t="s">
        <v>3974</v>
      </c>
      <c r="G316" s="108">
        <f t="shared" si="4"/>
        <v>2</v>
      </c>
      <c r="H316" s="790" t="s">
        <v>8764</v>
      </c>
    </row>
    <row r="317" spans="1:8" ht="25.5">
      <c r="A317" s="108" t="s">
        <v>3633</v>
      </c>
      <c r="B317" s="797" t="s">
        <v>3992</v>
      </c>
      <c r="C317" s="797" t="s">
        <v>179</v>
      </c>
      <c r="D317" s="180" t="s">
        <v>2070</v>
      </c>
      <c r="E317" s="797" t="s">
        <v>1230</v>
      </c>
      <c r="F317" s="797" t="s">
        <v>137</v>
      </c>
      <c r="G317" s="108">
        <f t="shared" si="4"/>
        <v>2</v>
      </c>
      <c r="H317" s="790" t="s">
        <v>8764</v>
      </c>
    </row>
    <row r="318" spans="1:8" ht="25.5">
      <c r="A318" s="108" t="s">
        <v>3633</v>
      </c>
      <c r="B318" s="797" t="s">
        <v>3993</v>
      </c>
      <c r="C318" s="797" t="s">
        <v>3994</v>
      </c>
      <c r="D318" s="797" t="s">
        <v>3995</v>
      </c>
      <c r="E318" s="180" t="s">
        <v>3996</v>
      </c>
      <c r="F318" s="797" t="s">
        <v>3997</v>
      </c>
      <c r="G318" s="108">
        <f t="shared" si="4"/>
        <v>3</v>
      </c>
      <c r="H318" s="790" t="s">
        <v>8766</v>
      </c>
    </row>
    <row r="319" spans="1:8" ht="63.75">
      <c r="A319" s="108" t="s">
        <v>3633</v>
      </c>
      <c r="B319" s="797" t="s">
        <v>3998</v>
      </c>
      <c r="C319" s="180" t="s">
        <v>3999</v>
      </c>
      <c r="D319" s="797" t="s">
        <v>4000</v>
      </c>
      <c r="E319" s="797" t="s">
        <v>4001</v>
      </c>
      <c r="F319" s="797" t="s">
        <v>4002</v>
      </c>
      <c r="G319" s="108">
        <f t="shared" si="4"/>
        <v>1</v>
      </c>
      <c r="H319" s="790" t="s">
        <v>8761</v>
      </c>
    </row>
    <row r="320" spans="1:8" ht="25.5">
      <c r="A320" s="108" t="s">
        <v>3633</v>
      </c>
      <c r="B320" s="797" t="s">
        <v>4003</v>
      </c>
      <c r="C320" s="797" t="s">
        <v>4004</v>
      </c>
      <c r="D320" s="797" t="s">
        <v>3961</v>
      </c>
      <c r="E320" s="180" t="s">
        <v>4005</v>
      </c>
      <c r="F320" s="797" t="s">
        <v>9266</v>
      </c>
      <c r="G320" s="108">
        <f t="shared" si="4"/>
        <v>3</v>
      </c>
      <c r="H320" s="790" t="s">
        <v>8766</v>
      </c>
    </row>
    <row r="321" spans="1:8" ht="25.5">
      <c r="A321" s="108" t="s">
        <v>3633</v>
      </c>
      <c r="B321" s="797" t="s">
        <v>4007</v>
      </c>
      <c r="C321" s="797" t="s">
        <v>179</v>
      </c>
      <c r="D321" s="797" t="s">
        <v>76</v>
      </c>
      <c r="E321" s="797" t="s">
        <v>557</v>
      </c>
      <c r="F321" s="180" t="s">
        <v>137</v>
      </c>
      <c r="G321" s="108">
        <f t="shared" si="4"/>
        <v>4</v>
      </c>
      <c r="H321" s="790" t="s">
        <v>8763</v>
      </c>
    </row>
    <row r="322" spans="1:8" ht="38.25">
      <c r="A322" s="108" t="s">
        <v>3633</v>
      </c>
      <c r="B322" s="797" t="s">
        <v>4008</v>
      </c>
      <c r="C322" s="797" t="s">
        <v>4009</v>
      </c>
      <c r="D322" s="180" t="s">
        <v>4010</v>
      </c>
      <c r="E322" s="797" t="s">
        <v>4011</v>
      </c>
      <c r="F322" s="797" t="s">
        <v>4012</v>
      </c>
      <c r="G322" s="108">
        <f t="shared" si="4"/>
        <v>2</v>
      </c>
      <c r="H322" s="790" t="s">
        <v>8764</v>
      </c>
    </row>
    <row r="323" spans="1:8">
      <c r="A323" s="108" t="s">
        <v>3633</v>
      </c>
      <c r="B323" s="797" t="s">
        <v>4200</v>
      </c>
      <c r="C323" s="797" t="s">
        <v>4201</v>
      </c>
      <c r="D323" s="180" t="s">
        <v>9267</v>
      </c>
      <c r="E323" s="797" t="s">
        <v>4203</v>
      </c>
      <c r="F323" s="797" t="s">
        <v>4204</v>
      </c>
      <c r="G323" s="108">
        <f t="shared" ref="G323:G386" si="5">IF(H323="A",1,IF(H323="B",2,IF(H323="C",3,IF(H323="D",4,0))))</f>
        <v>2</v>
      </c>
      <c r="H323" s="790" t="s">
        <v>8764</v>
      </c>
    </row>
    <row r="324" spans="1:8" ht="51">
      <c r="A324" s="108" t="s">
        <v>9268</v>
      </c>
      <c r="B324" s="798" t="s">
        <v>9269</v>
      </c>
      <c r="C324" s="761" t="s">
        <v>5433</v>
      </c>
      <c r="D324" s="102" t="s">
        <v>6789</v>
      </c>
      <c r="E324" s="761" t="s">
        <v>6790</v>
      </c>
      <c r="F324" s="761" t="s">
        <v>6791</v>
      </c>
      <c r="G324" s="108">
        <f t="shared" si="5"/>
        <v>2</v>
      </c>
      <c r="H324" s="799" t="s">
        <v>8764</v>
      </c>
    </row>
    <row r="325" spans="1:8" ht="25.5">
      <c r="A325" s="108" t="s">
        <v>9268</v>
      </c>
      <c r="B325" s="798" t="s">
        <v>9270</v>
      </c>
      <c r="C325" s="761" t="s">
        <v>5433</v>
      </c>
      <c r="D325" s="102" t="s">
        <v>73</v>
      </c>
      <c r="E325" s="761" t="s">
        <v>177</v>
      </c>
      <c r="F325" s="761" t="s">
        <v>6793</v>
      </c>
      <c r="G325" s="108">
        <f t="shared" si="5"/>
        <v>2</v>
      </c>
      <c r="H325" s="799" t="s">
        <v>8764</v>
      </c>
    </row>
    <row r="326" spans="1:8" ht="25.5">
      <c r="A326" s="108" t="s">
        <v>9268</v>
      </c>
      <c r="B326" s="798" t="s">
        <v>9271</v>
      </c>
      <c r="C326" s="761" t="s">
        <v>5433</v>
      </c>
      <c r="D326" s="761" t="s">
        <v>73</v>
      </c>
      <c r="E326" s="102" t="s">
        <v>177</v>
      </c>
      <c r="F326" s="761" t="s">
        <v>6793</v>
      </c>
      <c r="G326" s="108">
        <f t="shared" si="5"/>
        <v>3</v>
      </c>
      <c r="H326" s="799" t="s">
        <v>8766</v>
      </c>
    </row>
    <row r="327" spans="1:8">
      <c r="A327" s="108" t="s">
        <v>9268</v>
      </c>
      <c r="B327" s="798" t="s">
        <v>9272</v>
      </c>
      <c r="C327" s="761" t="s">
        <v>73</v>
      </c>
      <c r="D327" s="761" t="s">
        <v>177</v>
      </c>
      <c r="E327" s="102" t="s">
        <v>5580</v>
      </c>
      <c r="F327" s="761" t="s">
        <v>5409</v>
      </c>
      <c r="G327" s="108">
        <f t="shared" si="5"/>
        <v>3</v>
      </c>
      <c r="H327" s="799" t="s">
        <v>8766</v>
      </c>
    </row>
    <row r="328" spans="1:8">
      <c r="A328" s="108" t="s">
        <v>9268</v>
      </c>
      <c r="B328" s="798" t="s">
        <v>9273</v>
      </c>
      <c r="C328" s="761" t="s">
        <v>6797</v>
      </c>
      <c r="D328" s="102" t="s">
        <v>6798</v>
      </c>
      <c r="E328" s="761" t="s">
        <v>6799</v>
      </c>
      <c r="F328" s="761" t="s">
        <v>6800</v>
      </c>
      <c r="G328" s="108">
        <f t="shared" si="5"/>
        <v>2</v>
      </c>
      <c r="H328" s="799" t="s">
        <v>8764</v>
      </c>
    </row>
    <row r="329" spans="1:8">
      <c r="A329" s="108" t="s">
        <v>9268</v>
      </c>
      <c r="B329" s="798" t="s">
        <v>9274</v>
      </c>
      <c r="C329" s="761" t="s">
        <v>6802</v>
      </c>
      <c r="D329" s="102" t="s">
        <v>6803</v>
      </c>
      <c r="E329" s="761" t="s">
        <v>6804</v>
      </c>
      <c r="F329" s="761" t="s">
        <v>6800</v>
      </c>
      <c r="G329" s="108">
        <f t="shared" si="5"/>
        <v>2</v>
      </c>
      <c r="H329" s="799" t="s">
        <v>8764</v>
      </c>
    </row>
    <row r="330" spans="1:8" ht="25.5">
      <c r="A330" s="108" t="s">
        <v>9268</v>
      </c>
      <c r="B330" s="798" t="s">
        <v>9275</v>
      </c>
      <c r="C330" s="102" t="b">
        <v>1</v>
      </c>
      <c r="D330" s="761" t="b">
        <v>0</v>
      </c>
      <c r="E330" s="761" t="s">
        <v>6806</v>
      </c>
      <c r="F330" s="761" t="s">
        <v>6807</v>
      </c>
      <c r="G330" s="108">
        <f t="shared" si="5"/>
        <v>1</v>
      </c>
      <c r="H330" s="799" t="s">
        <v>8761</v>
      </c>
    </row>
    <row r="331" spans="1:8" ht="25.5">
      <c r="A331" s="108" t="s">
        <v>9268</v>
      </c>
      <c r="B331" s="798" t="s">
        <v>9276</v>
      </c>
      <c r="C331" s="102" t="s">
        <v>9277</v>
      </c>
      <c r="D331" s="761" t="s">
        <v>9278</v>
      </c>
      <c r="E331" s="761" t="s">
        <v>9279</v>
      </c>
      <c r="F331" s="761" t="s">
        <v>5433</v>
      </c>
      <c r="G331" s="108">
        <f t="shared" si="5"/>
        <v>1</v>
      </c>
      <c r="H331" s="799" t="s">
        <v>8761</v>
      </c>
    </row>
    <row r="332" spans="1:8">
      <c r="A332" s="108" t="s">
        <v>9268</v>
      </c>
      <c r="B332" s="798" t="s">
        <v>9280</v>
      </c>
      <c r="C332" s="761" t="s">
        <v>6797</v>
      </c>
      <c r="D332" s="761" t="s">
        <v>6798</v>
      </c>
      <c r="E332" s="102" t="s">
        <v>6799</v>
      </c>
      <c r="F332" s="761" t="s">
        <v>6800</v>
      </c>
      <c r="G332" s="108">
        <f t="shared" si="5"/>
        <v>3</v>
      </c>
      <c r="H332" s="799" t="s">
        <v>8766</v>
      </c>
    </row>
    <row r="333" spans="1:8" ht="25.5">
      <c r="A333" s="108" t="s">
        <v>9268</v>
      </c>
      <c r="B333" s="798" t="s">
        <v>9281</v>
      </c>
      <c r="C333" s="102" t="s">
        <v>6802</v>
      </c>
      <c r="D333" s="761" t="s">
        <v>6798</v>
      </c>
      <c r="E333" s="761" t="s">
        <v>6804</v>
      </c>
      <c r="F333" s="761" t="s">
        <v>6800</v>
      </c>
      <c r="G333" s="108">
        <f t="shared" si="5"/>
        <v>1</v>
      </c>
      <c r="H333" s="799" t="s">
        <v>8761</v>
      </c>
    </row>
    <row r="334" spans="1:8">
      <c r="A334" s="108" t="s">
        <v>9268</v>
      </c>
      <c r="B334" s="798" t="s">
        <v>9282</v>
      </c>
      <c r="C334" s="761" t="s">
        <v>6802</v>
      </c>
      <c r="D334" s="102" t="s">
        <v>6798</v>
      </c>
      <c r="E334" s="761" t="s">
        <v>6804</v>
      </c>
      <c r="F334" s="761" t="s">
        <v>6800</v>
      </c>
      <c r="G334" s="108">
        <f t="shared" si="5"/>
        <v>2</v>
      </c>
      <c r="H334" s="799" t="s">
        <v>8764</v>
      </c>
    </row>
    <row r="335" spans="1:8" ht="25.5">
      <c r="A335" s="108" t="s">
        <v>9268</v>
      </c>
      <c r="B335" s="798" t="s">
        <v>9283</v>
      </c>
      <c r="C335" s="761" t="s">
        <v>76</v>
      </c>
      <c r="D335" s="761" t="s">
        <v>179</v>
      </c>
      <c r="E335" s="761" t="s">
        <v>557</v>
      </c>
      <c r="F335" s="102" t="s">
        <v>9284</v>
      </c>
      <c r="G335" s="108">
        <f t="shared" si="5"/>
        <v>4</v>
      </c>
      <c r="H335" s="799" t="s">
        <v>8763</v>
      </c>
    </row>
    <row r="336" spans="1:8" ht="25.5">
      <c r="A336" s="108" t="s">
        <v>9268</v>
      </c>
      <c r="B336" s="798" t="s">
        <v>9285</v>
      </c>
      <c r="C336" s="761" t="s">
        <v>9286</v>
      </c>
      <c r="D336" s="761" t="s">
        <v>9287</v>
      </c>
      <c r="E336" s="102" t="s">
        <v>9288</v>
      </c>
      <c r="F336" s="761" t="s">
        <v>468</v>
      </c>
      <c r="G336" s="108">
        <f t="shared" si="5"/>
        <v>3</v>
      </c>
      <c r="H336" s="799" t="s">
        <v>8766</v>
      </c>
    </row>
    <row r="337" spans="1:8" ht="63.75">
      <c r="A337" s="108" t="s">
        <v>9268</v>
      </c>
      <c r="B337" s="798" t="s">
        <v>9289</v>
      </c>
      <c r="C337" s="761" t="s">
        <v>9290</v>
      </c>
      <c r="D337" s="102" t="s">
        <v>9291</v>
      </c>
      <c r="E337" s="761" t="s">
        <v>9292</v>
      </c>
      <c r="F337" s="761" t="s">
        <v>9293</v>
      </c>
      <c r="G337" s="108">
        <f t="shared" si="5"/>
        <v>2</v>
      </c>
      <c r="H337" s="799" t="s">
        <v>8764</v>
      </c>
    </row>
    <row r="338" spans="1:8" ht="38.25">
      <c r="A338" s="108" t="s">
        <v>9268</v>
      </c>
      <c r="B338" s="798" t="s">
        <v>9294</v>
      </c>
      <c r="C338" s="761" t="s">
        <v>9295</v>
      </c>
      <c r="D338" s="102" t="s">
        <v>9296</v>
      </c>
      <c r="E338" s="761" t="s">
        <v>9297</v>
      </c>
      <c r="F338" s="761" t="s">
        <v>9298</v>
      </c>
      <c r="G338" s="108">
        <f t="shared" si="5"/>
        <v>2</v>
      </c>
      <c r="H338" s="799" t="s">
        <v>8764</v>
      </c>
    </row>
    <row r="339" spans="1:8">
      <c r="A339" s="108" t="s">
        <v>9268</v>
      </c>
      <c r="B339" s="800" t="s">
        <v>9299</v>
      </c>
      <c r="C339" s="801" t="s">
        <v>7232</v>
      </c>
      <c r="D339" s="802" t="s">
        <v>9300</v>
      </c>
      <c r="E339" s="801" t="s">
        <v>9301</v>
      </c>
      <c r="F339" s="801" t="s">
        <v>1000</v>
      </c>
      <c r="G339" s="108">
        <f t="shared" si="5"/>
        <v>2</v>
      </c>
      <c r="H339" s="962" t="s">
        <v>8764</v>
      </c>
    </row>
    <row r="340" spans="1:8">
      <c r="A340" s="108" t="s">
        <v>9268</v>
      </c>
      <c r="B340" s="800" t="s">
        <v>9302</v>
      </c>
      <c r="C340" s="801" t="s">
        <v>9303</v>
      </c>
      <c r="D340" s="801" t="s">
        <v>9304</v>
      </c>
      <c r="E340" s="801" t="s">
        <v>9305</v>
      </c>
      <c r="F340" s="802" t="s">
        <v>1000</v>
      </c>
      <c r="G340" s="108">
        <f t="shared" si="5"/>
        <v>4</v>
      </c>
      <c r="H340" s="962" t="s">
        <v>8763</v>
      </c>
    </row>
    <row r="341" spans="1:8" ht="25.5">
      <c r="A341" s="108" t="s">
        <v>9268</v>
      </c>
      <c r="B341" s="800" t="s">
        <v>9306</v>
      </c>
      <c r="C341" s="801" t="s">
        <v>9307</v>
      </c>
      <c r="D341" s="801" t="s">
        <v>9308</v>
      </c>
      <c r="E341" s="802" t="s">
        <v>9309</v>
      </c>
      <c r="F341" s="801" t="s">
        <v>9310</v>
      </c>
      <c r="G341" s="108">
        <f t="shared" si="5"/>
        <v>3</v>
      </c>
      <c r="H341" s="962" t="s">
        <v>8766</v>
      </c>
    </row>
    <row r="342" spans="1:8" ht="63.75">
      <c r="A342" s="108" t="s">
        <v>9268</v>
      </c>
      <c r="B342" s="800" t="s">
        <v>9311</v>
      </c>
      <c r="C342" s="802" t="s">
        <v>9312</v>
      </c>
      <c r="D342" s="801" t="s">
        <v>9313</v>
      </c>
      <c r="E342" s="801" t="s">
        <v>9314</v>
      </c>
      <c r="F342" s="801" t="s">
        <v>9315</v>
      </c>
      <c r="G342" s="108">
        <f t="shared" si="5"/>
        <v>1</v>
      </c>
      <c r="H342" s="962" t="s">
        <v>8761</v>
      </c>
    </row>
    <row r="343" spans="1:8" ht="38.25">
      <c r="A343" s="108" t="s">
        <v>9268</v>
      </c>
      <c r="B343" s="800" t="s">
        <v>9316</v>
      </c>
      <c r="C343" s="801" t="s">
        <v>9317</v>
      </c>
      <c r="D343" s="802" t="s">
        <v>9318</v>
      </c>
      <c r="E343" s="801" t="s">
        <v>9319</v>
      </c>
      <c r="F343" s="801" t="s">
        <v>9320</v>
      </c>
      <c r="G343" s="108">
        <f t="shared" si="5"/>
        <v>2</v>
      </c>
      <c r="H343" s="962" t="s">
        <v>8764</v>
      </c>
    </row>
    <row r="344" spans="1:8" ht="25.5">
      <c r="A344" s="108" t="s">
        <v>9268</v>
      </c>
      <c r="B344" s="800" t="s">
        <v>9321</v>
      </c>
      <c r="C344" s="801" t="s">
        <v>9322</v>
      </c>
      <c r="D344" s="802" t="s">
        <v>9323</v>
      </c>
      <c r="E344" s="801" t="s">
        <v>9324</v>
      </c>
      <c r="F344" s="801" t="s">
        <v>1480</v>
      </c>
      <c r="G344" s="108">
        <f t="shared" si="5"/>
        <v>2</v>
      </c>
      <c r="H344" s="962" t="s">
        <v>8764</v>
      </c>
    </row>
    <row r="345" spans="1:8" ht="25.5">
      <c r="A345" s="108" t="s">
        <v>9268</v>
      </c>
      <c r="B345" s="800" t="s">
        <v>9325</v>
      </c>
      <c r="C345" s="801" t="s">
        <v>9326</v>
      </c>
      <c r="D345" s="801" t="s">
        <v>9327</v>
      </c>
      <c r="E345" s="802" t="s">
        <v>9328</v>
      </c>
      <c r="F345" s="801" t="s">
        <v>9329</v>
      </c>
      <c r="G345" s="108">
        <f t="shared" si="5"/>
        <v>3</v>
      </c>
      <c r="H345" s="962" t="s">
        <v>8766</v>
      </c>
    </row>
    <row r="346" spans="1:8">
      <c r="A346" s="108" t="s">
        <v>9268</v>
      </c>
      <c r="B346" s="800" t="s">
        <v>9330</v>
      </c>
      <c r="C346" s="802" t="s">
        <v>9331</v>
      </c>
      <c r="D346" s="801" t="s">
        <v>9332</v>
      </c>
      <c r="E346" s="801" t="s">
        <v>9333</v>
      </c>
      <c r="F346" s="801" t="s">
        <v>9334</v>
      </c>
      <c r="G346" s="108">
        <f t="shared" si="5"/>
        <v>1</v>
      </c>
      <c r="H346" s="962" t="s">
        <v>8761</v>
      </c>
    </row>
    <row r="347" spans="1:8" ht="38.25">
      <c r="A347" s="108" t="s">
        <v>9268</v>
      </c>
      <c r="B347" s="800" t="s">
        <v>9335</v>
      </c>
      <c r="C347" s="801" t="s">
        <v>9336</v>
      </c>
      <c r="D347" s="801" t="s">
        <v>9337</v>
      </c>
      <c r="E347" s="802" t="s">
        <v>73</v>
      </c>
      <c r="F347" s="801" t="s">
        <v>9338</v>
      </c>
      <c r="G347" s="108">
        <f t="shared" si="5"/>
        <v>3</v>
      </c>
      <c r="H347" s="962" t="s">
        <v>8766</v>
      </c>
    </row>
    <row r="348" spans="1:8" ht="25.5">
      <c r="A348" s="108" t="s">
        <v>9268</v>
      </c>
      <c r="B348" s="800" t="s">
        <v>9339</v>
      </c>
      <c r="C348" s="801" t="s">
        <v>9340</v>
      </c>
      <c r="D348" s="802" t="s">
        <v>9341</v>
      </c>
      <c r="E348" s="801" t="s">
        <v>9342</v>
      </c>
      <c r="F348" s="801" t="s">
        <v>9343</v>
      </c>
      <c r="G348" s="108">
        <f t="shared" si="5"/>
        <v>2</v>
      </c>
      <c r="H348" s="962" t="s">
        <v>8764</v>
      </c>
    </row>
    <row r="349" spans="1:8" ht="25.5">
      <c r="A349" s="108" t="s">
        <v>9268</v>
      </c>
      <c r="B349" s="800" t="s">
        <v>9344</v>
      </c>
      <c r="C349" s="801" t="s">
        <v>9345</v>
      </c>
      <c r="D349" s="801" t="s">
        <v>9346</v>
      </c>
      <c r="E349" s="802" t="s">
        <v>9347</v>
      </c>
      <c r="F349" s="801" t="s">
        <v>9348</v>
      </c>
      <c r="G349" s="108">
        <f t="shared" si="5"/>
        <v>3</v>
      </c>
      <c r="H349" s="962" t="s">
        <v>8766</v>
      </c>
    </row>
    <row r="350" spans="1:8" ht="25.5">
      <c r="A350" s="108" t="s">
        <v>9268</v>
      </c>
      <c r="B350" s="800" t="s">
        <v>9349</v>
      </c>
      <c r="C350" s="801" t="s">
        <v>9350</v>
      </c>
      <c r="D350" s="801" t="s">
        <v>9351</v>
      </c>
      <c r="E350" s="801" t="s">
        <v>9352</v>
      </c>
      <c r="F350" s="802" t="s">
        <v>9353</v>
      </c>
      <c r="G350" s="108">
        <f t="shared" si="5"/>
        <v>4</v>
      </c>
      <c r="H350" s="962" t="s">
        <v>8763</v>
      </c>
    </row>
    <row r="351" spans="1:8" ht="38.25">
      <c r="A351" s="108" t="s">
        <v>9268</v>
      </c>
      <c r="B351" s="800" t="s">
        <v>9354</v>
      </c>
      <c r="C351" s="801" t="s">
        <v>9355</v>
      </c>
      <c r="D351" s="801" t="s">
        <v>9356</v>
      </c>
      <c r="E351" s="802" t="s">
        <v>9357</v>
      </c>
      <c r="F351" s="801" t="s">
        <v>9358</v>
      </c>
      <c r="G351" s="108">
        <f t="shared" si="5"/>
        <v>3</v>
      </c>
      <c r="H351" s="962" t="s">
        <v>8766</v>
      </c>
    </row>
    <row r="352" spans="1:8" ht="51">
      <c r="A352" s="108" t="s">
        <v>9359</v>
      </c>
      <c r="B352" s="101" t="s">
        <v>9360</v>
      </c>
      <c r="C352" s="470" t="s">
        <v>9361</v>
      </c>
      <c r="D352" s="470" t="s">
        <v>9362</v>
      </c>
      <c r="E352" s="470" t="s">
        <v>9363</v>
      </c>
      <c r="F352" s="803" t="s">
        <v>4087</v>
      </c>
      <c r="G352" s="108">
        <f t="shared" si="5"/>
        <v>4</v>
      </c>
      <c r="H352" s="114" t="s">
        <v>8763</v>
      </c>
    </row>
    <row r="353" spans="1:8" ht="51">
      <c r="A353" s="108" t="s">
        <v>9359</v>
      </c>
      <c r="B353" s="101" t="s">
        <v>9364</v>
      </c>
      <c r="C353" s="470" t="s">
        <v>9365</v>
      </c>
      <c r="D353" s="470" t="s">
        <v>9366</v>
      </c>
      <c r="E353" s="470" t="s">
        <v>9367</v>
      </c>
      <c r="F353" s="803" t="s">
        <v>9368</v>
      </c>
      <c r="G353" s="108">
        <f t="shared" si="5"/>
        <v>4</v>
      </c>
      <c r="H353" s="114" t="s">
        <v>8763</v>
      </c>
    </row>
    <row r="354" spans="1:8" ht="38.25">
      <c r="A354" s="108" t="s">
        <v>9359</v>
      </c>
      <c r="B354" s="101" t="s">
        <v>9369</v>
      </c>
      <c r="C354" s="470" t="s">
        <v>3581</v>
      </c>
      <c r="D354" s="470" t="s">
        <v>9370</v>
      </c>
      <c r="E354" s="470" t="s">
        <v>420</v>
      </c>
      <c r="F354" s="803" t="s">
        <v>9371</v>
      </c>
      <c r="G354" s="108">
        <f t="shared" si="5"/>
        <v>4</v>
      </c>
      <c r="H354" s="114" t="s">
        <v>8763</v>
      </c>
    </row>
    <row r="355" spans="1:8" ht="25.5">
      <c r="A355" s="108" t="s">
        <v>9359</v>
      </c>
      <c r="B355" s="101" t="s">
        <v>9372</v>
      </c>
      <c r="C355" s="470" t="s">
        <v>9373</v>
      </c>
      <c r="D355" s="470" t="s">
        <v>1289</v>
      </c>
      <c r="E355" s="803" t="s">
        <v>8</v>
      </c>
      <c r="F355" s="470" t="s">
        <v>1320</v>
      </c>
      <c r="G355" s="108">
        <f t="shared" si="5"/>
        <v>3</v>
      </c>
      <c r="H355" s="963" t="s">
        <v>8766</v>
      </c>
    </row>
    <row r="356" spans="1:8" ht="38.25">
      <c r="A356" s="108" t="s">
        <v>9359</v>
      </c>
      <c r="B356" s="101" t="s">
        <v>9374</v>
      </c>
      <c r="C356" s="803" t="s">
        <v>2736</v>
      </c>
      <c r="D356" s="470" t="s">
        <v>2735</v>
      </c>
      <c r="E356" s="470" t="s">
        <v>9375</v>
      </c>
      <c r="F356" s="470" t="s">
        <v>9376</v>
      </c>
      <c r="G356" s="108">
        <f t="shared" si="5"/>
        <v>1</v>
      </c>
      <c r="H356" s="114" t="s">
        <v>8761</v>
      </c>
    </row>
    <row r="357" spans="1:8" ht="38.25">
      <c r="A357" s="108" t="s">
        <v>9359</v>
      </c>
      <c r="B357" s="101" t="s">
        <v>9377</v>
      </c>
      <c r="C357" s="470" t="s">
        <v>9378</v>
      </c>
      <c r="D357" s="470" t="s">
        <v>9379</v>
      </c>
      <c r="E357" s="803" t="s">
        <v>9380</v>
      </c>
      <c r="F357" s="470" t="s">
        <v>9376</v>
      </c>
      <c r="G357" s="108">
        <f t="shared" si="5"/>
        <v>3</v>
      </c>
      <c r="H357" s="114" t="s">
        <v>8766</v>
      </c>
    </row>
    <row r="358" spans="1:8" ht="38.25">
      <c r="A358" s="108" t="s">
        <v>9359</v>
      </c>
      <c r="B358" s="101" t="s">
        <v>9381</v>
      </c>
      <c r="C358" s="470" t="s">
        <v>421</v>
      </c>
      <c r="D358" s="803" t="s">
        <v>3581</v>
      </c>
      <c r="E358" s="470" t="s">
        <v>9382</v>
      </c>
      <c r="F358" s="470" t="s">
        <v>420</v>
      </c>
      <c r="G358" s="108">
        <f t="shared" si="5"/>
        <v>2</v>
      </c>
      <c r="H358" s="114" t="s">
        <v>8764</v>
      </c>
    </row>
    <row r="359" spans="1:8" ht="38.25">
      <c r="A359" s="108" t="s">
        <v>9359</v>
      </c>
      <c r="B359" s="101" t="s">
        <v>9383</v>
      </c>
      <c r="C359" s="470" t="s">
        <v>9384</v>
      </c>
      <c r="D359" s="470" t="s">
        <v>9385</v>
      </c>
      <c r="E359" s="470" t="s">
        <v>9386</v>
      </c>
      <c r="F359" s="803" t="s">
        <v>9387</v>
      </c>
      <c r="G359" s="108">
        <f t="shared" si="5"/>
        <v>4</v>
      </c>
      <c r="H359" s="114" t="s">
        <v>8763</v>
      </c>
    </row>
    <row r="360" spans="1:8" ht="38.25">
      <c r="A360" s="108" t="s">
        <v>9359</v>
      </c>
      <c r="B360" s="101" t="s">
        <v>9388</v>
      </c>
      <c r="C360" s="803" t="s">
        <v>73</v>
      </c>
      <c r="D360" s="470" t="s">
        <v>74</v>
      </c>
      <c r="E360" s="470" t="s">
        <v>9389</v>
      </c>
      <c r="F360" s="470" t="s">
        <v>174</v>
      </c>
      <c r="G360" s="108">
        <f t="shared" si="5"/>
        <v>1</v>
      </c>
      <c r="H360" s="114" t="s">
        <v>8761</v>
      </c>
    </row>
    <row r="361" spans="1:8" ht="38.25">
      <c r="A361" s="108" t="s">
        <v>9359</v>
      </c>
      <c r="B361" s="101" t="s">
        <v>9390</v>
      </c>
      <c r="C361" s="470" t="s">
        <v>3581</v>
      </c>
      <c r="D361" s="470" t="s">
        <v>9391</v>
      </c>
      <c r="E361" s="803" t="s">
        <v>421</v>
      </c>
      <c r="F361" s="470" t="s">
        <v>420</v>
      </c>
      <c r="G361" s="108">
        <f t="shared" si="5"/>
        <v>3</v>
      </c>
      <c r="H361" s="114" t="s">
        <v>8766</v>
      </c>
    </row>
    <row r="362" spans="1:8" ht="25.5">
      <c r="A362" s="108" t="s">
        <v>9359</v>
      </c>
      <c r="B362" s="101" t="s">
        <v>9392</v>
      </c>
      <c r="C362" s="470" t="s">
        <v>73</v>
      </c>
      <c r="D362" s="470" t="s">
        <v>177</v>
      </c>
      <c r="E362" s="803" t="s">
        <v>2204</v>
      </c>
      <c r="F362" s="470" t="s">
        <v>3213</v>
      </c>
      <c r="G362" s="108">
        <f t="shared" si="5"/>
        <v>3</v>
      </c>
      <c r="H362" s="114" t="s">
        <v>8766</v>
      </c>
    </row>
    <row r="363" spans="1:8" ht="38.25">
      <c r="A363" s="108" t="s">
        <v>9359</v>
      </c>
      <c r="B363" s="101" t="s">
        <v>9393</v>
      </c>
      <c r="C363" s="470" t="s">
        <v>9394</v>
      </c>
      <c r="D363" s="803" t="s">
        <v>9395</v>
      </c>
      <c r="E363" s="470" t="s">
        <v>9396</v>
      </c>
      <c r="F363" s="470" t="s">
        <v>9397</v>
      </c>
      <c r="G363" s="108">
        <f t="shared" si="5"/>
        <v>2</v>
      </c>
      <c r="H363" s="114" t="s">
        <v>8764</v>
      </c>
    </row>
    <row r="364" spans="1:8" ht="63.75">
      <c r="A364" s="108" t="s">
        <v>9359</v>
      </c>
      <c r="B364" s="101" t="s">
        <v>9398</v>
      </c>
      <c r="C364" s="470" t="s">
        <v>9399</v>
      </c>
      <c r="D364" s="470" t="s">
        <v>9400</v>
      </c>
      <c r="E364" s="470" t="s">
        <v>9401</v>
      </c>
      <c r="F364" s="803" t="s">
        <v>9402</v>
      </c>
      <c r="G364" s="108">
        <f t="shared" si="5"/>
        <v>4</v>
      </c>
      <c r="H364" s="114" t="s">
        <v>8763</v>
      </c>
    </row>
    <row r="365" spans="1:8" ht="51">
      <c r="A365" s="108" t="s">
        <v>9359</v>
      </c>
      <c r="B365" s="101" t="s">
        <v>9403</v>
      </c>
      <c r="C365" s="803" t="s">
        <v>9404</v>
      </c>
      <c r="D365" s="470" t="s">
        <v>9405</v>
      </c>
      <c r="E365" s="470" t="s">
        <v>9406</v>
      </c>
      <c r="F365" s="470" t="s">
        <v>9407</v>
      </c>
      <c r="G365" s="108">
        <f t="shared" si="5"/>
        <v>1</v>
      </c>
      <c r="H365" s="114" t="s">
        <v>8761</v>
      </c>
    </row>
    <row r="366" spans="1:8" ht="25.5">
      <c r="A366" s="108" t="s">
        <v>9408</v>
      </c>
      <c r="B366" s="798" t="s">
        <v>9409</v>
      </c>
      <c r="C366" s="761" t="s">
        <v>3579</v>
      </c>
      <c r="D366" s="102" t="s">
        <v>3580</v>
      </c>
      <c r="E366" s="761" t="s">
        <v>3581</v>
      </c>
      <c r="F366" s="761" t="s">
        <v>3582</v>
      </c>
      <c r="G366" s="108">
        <f t="shared" si="5"/>
        <v>2</v>
      </c>
      <c r="H366" s="761" t="s">
        <v>8764</v>
      </c>
    </row>
    <row r="367" spans="1:8">
      <c r="A367" s="108" t="s">
        <v>9408</v>
      </c>
      <c r="B367" s="798" t="s">
        <v>9410</v>
      </c>
      <c r="C367" s="761" t="s">
        <v>3584</v>
      </c>
      <c r="D367" s="761" t="s">
        <v>3585</v>
      </c>
      <c r="E367" s="761" t="s">
        <v>3586</v>
      </c>
      <c r="F367" s="102" t="s">
        <v>3587</v>
      </c>
      <c r="G367" s="108">
        <f t="shared" si="5"/>
        <v>4</v>
      </c>
      <c r="H367" s="761" t="s">
        <v>8763</v>
      </c>
    </row>
    <row r="368" spans="1:8">
      <c r="A368" s="108" t="s">
        <v>9408</v>
      </c>
      <c r="B368" s="798" t="s">
        <v>9411</v>
      </c>
      <c r="C368" s="761" t="s">
        <v>9412</v>
      </c>
      <c r="D368" s="761" t="s">
        <v>9413</v>
      </c>
      <c r="E368" s="761" t="s">
        <v>9414</v>
      </c>
      <c r="F368" s="102" t="s">
        <v>9415</v>
      </c>
      <c r="G368" s="108">
        <f t="shared" si="5"/>
        <v>4</v>
      </c>
      <c r="H368" s="761" t="s">
        <v>8763</v>
      </c>
    </row>
    <row r="369" spans="1:8">
      <c r="A369" s="108" t="s">
        <v>9408</v>
      </c>
      <c r="B369" s="798" t="s">
        <v>9416</v>
      </c>
      <c r="C369" s="761" t="s">
        <v>9412</v>
      </c>
      <c r="D369" s="761" t="s">
        <v>9413</v>
      </c>
      <c r="E369" s="102" t="s">
        <v>9414</v>
      </c>
      <c r="F369" s="761" t="s">
        <v>9415</v>
      </c>
      <c r="G369" s="108">
        <f t="shared" si="5"/>
        <v>3</v>
      </c>
      <c r="H369" s="761" t="s">
        <v>8766</v>
      </c>
    </row>
    <row r="370" spans="1:8">
      <c r="A370" s="108" t="s">
        <v>9408</v>
      </c>
      <c r="B370" s="798" t="s">
        <v>9417</v>
      </c>
      <c r="C370" s="761" t="s">
        <v>3416</v>
      </c>
      <c r="D370" s="102" t="s">
        <v>3415</v>
      </c>
      <c r="E370" s="761" t="s">
        <v>3600</v>
      </c>
      <c r="F370" s="761" t="s">
        <v>3601</v>
      </c>
      <c r="G370" s="108">
        <f t="shared" si="5"/>
        <v>2</v>
      </c>
      <c r="H370" s="761" t="s">
        <v>8764</v>
      </c>
    </row>
    <row r="371" spans="1:8" ht="25.5">
      <c r="A371" s="108" t="s">
        <v>9408</v>
      </c>
      <c r="B371" s="798" t="s">
        <v>9418</v>
      </c>
      <c r="C371" s="761" t="s">
        <v>3603</v>
      </c>
      <c r="D371" s="761" t="s">
        <v>3604</v>
      </c>
      <c r="E371" s="102" t="s">
        <v>3448</v>
      </c>
      <c r="F371" s="761" t="s">
        <v>3605</v>
      </c>
      <c r="G371" s="108">
        <f t="shared" si="5"/>
        <v>3</v>
      </c>
      <c r="H371" s="761" t="s">
        <v>8766</v>
      </c>
    </row>
    <row r="372" spans="1:8" ht="25.5">
      <c r="A372" s="108" t="s">
        <v>9408</v>
      </c>
      <c r="B372" s="798" t="s">
        <v>9419</v>
      </c>
      <c r="C372" s="804">
        <v>0.02</v>
      </c>
      <c r="D372" s="804">
        <v>0.01</v>
      </c>
      <c r="E372" s="143">
        <v>0.03</v>
      </c>
      <c r="F372" s="804">
        <v>0.05</v>
      </c>
      <c r="G372" s="108">
        <f t="shared" si="5"/>
        <v>3</v>
      </c>
      <c r="H372" s="761" t="s">
        <v>8766</v>
      </c>
    </row>
    <row r="373" spans="1:8">
      <c r="A373" s="108" t="s">
        <v>9408</v>
      </c>
      <c r="B373" s="798" t="s">
        <v>9420</v>
      </c>
      <c r="C373" s="143">
        <v>0.02</v>
      </c>
      <c r="D373" s="804">
        <v>0.01</v>
      </c>
      <c r="E373" s="804">
        <v>0.03</v>
      </c>
      <c r="F373" s="804">
        <v>0.05</v>
      </c>
      <c r="G373" s="108">
        <f t="shared" si="5"/>
        <v>1</v>
      </c>
      <c r="H373" s="761" t="s">
        <v>8761</v>
      </c>
    </row>
    <row r="374" spans="1:8" ht="25.5">
      <c r="A374" s="108" t="s">
        <v>9408</v>
      </c>
      <c r="B374" s="798" t="s">
        <v>9421</v>
      </c>
      <c r="C374" s="804">
        <v>0.02</v>
      </c>
      <c r="D374" s="805">
        <v>1.4999999999999999E-2</v>
      </c>
      <c r="E374" s="804">
        <v>0.03</v>
      </c>
      <c r="F374" s="804">
        <v>0.05</v>
      </c>
      <c r="G374" s="108">
        <f t="shared" si="5"/>
        <v>2</v>
      </c>
      <c r="H374" s="761" t="s">
        <v>8764</v>
      </c>
    </row>
    <row r="375" spans="1:8" ht="25.5">
      <c r="A375" s="108" t="s">
        <v>9408</v>
      </c>
      <c r="B375" s="798" t="s">
        <v>9422</v>
      </c>
      <c r="C375" s="761" t="s">
        <v>3453</v>
      </c>
      <c r="D375" s="102" t="s">
        <v>3610</v>
      </c>
      <c r="E375" s="761" t="s">
        <v>3611</v>
      </c>
      <c r="F375" s="761" t="s">
        <v>3612</v>
      </c>
      <c r="G375" s="108">
        <f t="shared" si="5"/>
        <v>2</v>
      </c>
      <c r="H375" s="761" t="s">
        <v>8764</v>
      </c>
    </row>
    <row r="376" spans="1:8" ht="25.5">
      <c r="A376" s="108" t="s">
        <v>9408</v>
      </c>
      <c r="B376" s="798" t="s">
        <v>9423</v>
      </c>
      <c r="C376" s="102" t="s">
        <v>3453</v>
      </c>
      <c r="D376" s="761" t="s">
        <v>3610</v>
      </c>
      <c r="E376" s="761" t="s">
        <v>3611</v>
      </c>
      <c r="F376" s="761" t="s">
        <v>3612</v>
      </c>
      <c r="G376" s="108">
        <f t="shared" si="5"/>
        <v>1</v>
      </c>
      <c r="H376" s="761" t="s">
        <v>8761</v>
      </c>
    </row>
    <row r="377" spans="1:8" ht="25.5">
      <c r="A377" s="108" t="s">
        <v>9408</v>
      </c>
      <c r="B377" s="798" t="s">
        <v>9424</v>
      </c>
      <c r="C377" s="806">
        <v>1.4999999999999999E-2</v>
      </c>
      <c r="D377" s="806">
        <v>0.02</v>
      </c>
      <c r="E377" s="806">
        <v>2.5000000000000001E-2</v>
      </c>
      <c r="F377" s="140">
        <v>0.05</v>
      </c>
      <c r="G377" s="108">
        <f t="shared" si="5"/>
        <v>4</v>
      </c>
      <c r="H377" s="761" t="s">
        <v>8763</v>
      </c>
    </row>
    <row r="378" spans="1:8" ht="25.5">
      <c r="A378" s="108" t="s">
        <v>9408</v>
      </c>
      <c r="B378" s="798" t="s">
        <v>9425</v>
      </c>
      <c r="C378" s="806">
        <v>1.4999999999999999E-2</v>
      </c>
      <c r="D378" s="806">
        <v>0.02</v>
      </c>
      <c r="E378" s="140">
        <v>2.5000000000000001E-2</v>
      </c>
      <c r="F378" s="806">
        <v>0.05</v>
      </c>
      <c r="G378" s="108">
        <f t="shared" si="5"/>
        <v>3</v>
      </c>
      <c r="H378" s="761" t="s">
        <v>8766</v>
      </c>
    </row>
    <row r="379" spans="1:8" ht="25.5">
      <c r="A379" s="108" t="s">
        <v>9408</v>
      </c>
      <c r="B379" s="798" t="s">
        <v>9426</v>
      </c>
      <c r="C379" s="806">
        <v>1.4999999999999999E-2</v>
      </c>
      <c r="D379" s="140">
        <v>0.02</v>
      </c>
      <c r="E379" s="806">
        <v>2.5000000000000001E-2</v>
      </c>
      <c r="F379" s="806">
        <v>0.05</v>
      </c>
      <c r="G379" s="108">
        <f t="shared" si="5"/>
        <v>2</v>
      </c>
      <c r="H379" s="761" t="s">
        <v>8764</v>
      </c>
    </row>
    <row r="380" spans="1:8" ht="25.5">
      <c r="A380" s="108" t="s">
        <v>9408</v>
      </c>
      <c r="B380" s="798" t="s">
        <v>9427</v>
      </c>
      <c r="C380" s="140">
        <v>1.4999999999999999E-2</v>
      </c>
      <c r="D380" s="806">
        <v>0.02</v>
      </c>
      <c r="E380" s="806">
        <v>2.5000000000000001E-2</v>
      </c>
      <c r="F380" s="806">
        <v>0.05</v>
      </c>
      <c r="G380" s="108">
        <f t="shared" si="5"/>
        <v>1</v>
      </c>
      <c r="H380" s="761" t="s">
        <v>8761</v>
      </c>
    </row>
    <row r="381" spans="1:8" ht="25.5">
      <c r="A381" s="108" t="s">
        <v>9408</v>
      </c>
      <c r="B381" s="798" t="s">
        <v>9428</v>
      </c>
      <c r="C381" s="761" t="s">
        <v>179</v>
      </c>
      <c r="D381" s="761" t="s">
        <v>557</v>
      </c>
      <c r="E381" s="761" t="s">
        <v>74</v>
      </c>
      <c r="F381" s="102" t="s">
        <v>137</v>
      </c>
      <c r="G381" s="108">
        <f t="shared" si="5"/>
        <v>4</v>
      </c>
      <c r="H381" s="761" t="s">
        <v>8763</v>
      </c>
    </row>
    <row r="382" spans="1:8" ht="25.5">
      <c r="A382" s="108" t="s">
        <v>9408</v>
      </c>
      <c r="B382" s="798" t="s">
        <v>9429</v>
      </c>
      <c r="C382" s="761" t="s">
        <v>179</v>
      </c>
      <c r="D382" s="761" t="s">
        <v>557</v>
      </c>
      <c r="E382" s="761" t="s">
        <v>74</v>
      </c>
      <c r="F382" s="102" t="s">
        <v>137</v>
      </c>
      <c r="G382" s="108">
        <f t="shared" si="5"/>
        <v>4</v>
      </c>
      <c r="H382" s="761" t="s">
        <v>8763</v>
      </c>
    </row>
    <row r="383" spans="1:8" ht="25.5">
      <c r="A383" s="108" t="s">
        <v>9408</v>
      </c>
      <c r="B383" s="798" t="s">
        <v>9430</v>
      </c>
      <c r="C383" s="761" t="s">
        <v>179</v>
      </c>
      <c r="D383" s="102" t="s">
        <v>557</v>
      </c>
      <c r="E383" s="761" t="s">
        <v>74</v>
      </c>
      <c r="F383" s="761" t="s">
        <v>137</v>
      </c>
      <c r="G383" s="108">
        <f t="shared" si="5"/>
        <v>2</v>
      </c>
      <c r="H383" s="761" t="s">
        <v>8764</v>
      </c>
    </row>
    <row r="384" spans="1:8" ht="25.5">
      <c r="A384" s="108" t="s">
        <v>9408</v>
      </c>
      <c r="B384" s="798" t="s">
        <v>3621</v>
      </c>
      <c r="C384" s="761">
        <v>3</v>
      </c>
      <c r="D384" s="102">
        <v>6</v>
      </c>
      <c r="E384" s="761">
        <v>12</v>
      </c>
      <c r="F384" s="761">
        <v>24</v>
      </c>
      <c r="G384" s="108">
        <f t="shared" si="5"/>
        <v>2</v>
      </c>
      <c r="H384" s="761" t="s">
        <v>8764</v>
      </c>
    </row>
    <row r="385" spans="1:8">
      <c r="A385" s="108" t="s">
        <v>9408</v>
      </c>
      <c r="B385" s="798" t="s">
        <v>9431</v>
      </c>
      <c r="C385" s="761" t="s">
        <v>3472</v>
      </c>
      <c r="D385" s="102" t="s">
        <v>3539</v>
      </c>
      <c r="E385" s="761" t="s">
        <v>3466</v>
      </c>
      <c r="F385" s="761" t="s">
        <v>3540</v>
      </c>
      <c r="G385" s="108">
        <f t="shared" si="5"/>
        <v>2</v>
      </c>
      <c r="H385" s="761" t="s">
        <v>8764</v>
      </c>
    </row>
    <row r="386" spans="1:8">
      <c r="A386" s="108" t="s">
        <v>9408</v>
      </c>
      <c r="B386" s="798" t="s">
        <v>9432</v>
      </c>
      <c r="C386" s="761" t="s">
        <v>3472</v>
      </c>
      <c r="D386" s="761" t="s">
        <v>3539</v>
      </c>
      <c r="E386" s="102" t="s">
        <v>3466</v>
      </c>
      <c r="F386" s="761" t="s">
        <v>3540</v>
      </c>
      <c r="G386" s="108">
        <f t="shared" si="5"/>
        <v>3</v>
      </c>
      <c r="H386" s="761" t="s">
        <v>8766</v>
      </c>
    </row>
    <row r="387" spans="1:8" ht="25.5">
      <c r="A387" s="108" t="s">
        <v>9408</v>
      </c>
      <c r="B387" s="798" t="s">
        <v>3542</v>
      </c>
      <c r="C387" s="143" t="s">
        <v>3624</v>
      </c>
      <c r="D387" s="804" t="s">
        <v>3625</v>
      </c>
      <c r="E387" s="804" t="s">
        <v>3626</v>
      </c>
      <c r="F387" s="804" t="s">
        <v>3627</v>
      </c>
      <c r="G387" s="108">
        <f t="shared" ref="G387:G450" si="6">IF(H387="A",1,IF(H387="B",2,IF(H387="C",3,IF(H387="D",4,0))))</f>
        <v>1</v>
      </c>
      <c r="H387" s="761" t="s">
        <v>8761</v>
      </c>
    </row>
    <row r="388" spans="1:8" ht="25.5">
      <c r="A388" s="108" t="s">
        <v>9408</v>
      </c>
      <c r="B388" s="798" t="s">
        <v>3547</v>
      </c>
      <c r="C388" s="804" t="s">
        <v>3624</v>
      </c>
      <c r="D388" s="143" t="s">
        <v>3625</v>
      </c>
      <c r="E388" s="804" t="s">
        <v>3626</v>
      </c>
      <c r="F388" s="804" t="s">
        <v>3627</v>
      </c>
      <c r="G388" s="108">
        <f t="shared" si="6"/>
        <v>2</v>
      </c>
      <c r="H388" s="761" t="s">
        <v>8764</v>
      </c>
    </row>
    <row r="389" spans="1:8" ht="25.5">
      <c r="A389" s="108" t="s">
        <v>9408</v>
      </c>
      <c r="B389" s="798" t="s">
        <v>3548</v>
      </c>
      <c r="C389" s="804" t="s">
        <v>3624</v>
      </c>
      <c r="D389" s="804" t="s">
        <v>3625</v>
      </c>
      <c r="E389" s="143" t="s">
        <v>3626</v>
      </c>
      <c r="F389" s="804" t="s">
        <v>3627</v>
      </c>
      <c r="G389" s="108">
        <f t="shared" si="6"/>
        <v>3</v>
      </c>
      <c r="H389" s="761" t="s">
        <v>8766</v>
      </c>
    </row>
    <row r="390" spans="1:8" ht="25.5">
      <c r="A390" s="108" t="s">
        <v>9408</v>
      </c>
      <c r="B390" s="798" t="s">
        <v>3549</v>
      </c>
      <c r="C390" s="804" t="s">
        <v>3624</v>
      </c>
      <c r="D390" s="804" t="s">
        <v>3625</v>
      </c>
      <c r="E390" s="804" t="s">
        <v>3626</v>
      </c>
      <c r="F390" s="143" t="s">
        <v>3627</v>
      </c>
      <c r="G390" s="108">
        <f t="shared" si="6"/>
        <v>4</v>
      </c>
      <c r="H390" s="761" t="s">
        <v>8763</v>
      </c>
    </row>
    <row r="391" spans="1:8" ht="25.5">
      <c r="A391" s="108" t="s">
        <v>9408</v>
      </c>
      <c r="B391" s="798" t="s">
        <v>9433</v>
      </c>
      <c r="C391" s="761" t="s">
        <v>137</v>
      </c>
      <c r="D391" s="761" t="s">
        <v>76</v>
      </c>
      <c r="E391" s="102" t="s">
        <v>179</v>
      </c>
      <c r="F391" s="761" t="s">
        <v>557</v>
      </c>
      <c r="G391" s="108">
        <f t="shared" si="6"/>
        <v>3</v>
      </c>
      <c r="H391" s="761" t="s">
        <v>8766</v>
      </c>
    </row>
    <row r="392" spans="1:8" ht="30">
      <c r="A392" s="108" t="s">
        <v>9408</v>
      </c>
      <c r="B392" s="497" t="s">
        <v>9434</v>
      </c>
      <c r="C392" s="102" t="s">
        <v>137</v>
      </c>
      <c r="D392" s="761" t="s">
        <v>179</v>
      </c>
      <c r="E392" s="761" t="s">
        <v>557</v>
      </c>
      <c r="F392" s="761" t="s">
        <v>76</v>
      </c>
      <c r="G392" s="108">
        <f t="shared" si="6"/>
        <v>1</v>
      </c>
      <c r="H392" s="761" t="s">
        <v>8761</v>
      </c>
    </row>
    <row r="393" spans="1:8" ht="25.5">
      <c r="A393" s="108" t="s">
        <v>9408</v>
      </c>
      <c r="B393" s="798" t="s">
        <v>9435</v>
      </c>
      <c r="C393" s="102" t="s">
        <v>9436</v>
      </c>
      <c r="D393" s="761" t="s">
        <v>9437</v>
      </c>
      <c r="E393" s="761" t="s">
        <v>9438</v>
      </c>
      <c r="F393" s="761" t="s">
        <v>9439</v>
      </c>
      <c r="G393" s="108">
        <f t="shared" si="6"/>
        <v>1</v>
      </c>
      <c r="H393" s="761" t="s">
        <v>8761</v>
      </c>
    </row>
    <row r="394" spans="1:8" ht="63.75">
      <c r="A394" s="108" t="s">
        <v>9408</v>
      </c>
      <c r="B394" s="798" t="s">
        <v>9440</v>
      </c>
      <c r="C394" s="761" t="s">
        <v>9436</v>
      </c>
      <c r="D394" s="102" t="s">
        <v>9441</v>
      </c>
      <c r="E394" s="761" t="s">
        <v>9442</v>
      </c>
      <c r="F394" s="761" t="s">
        <v>9439</v>
      </c>
      <c r="G394" s="108">
        <f t="shared" si="6"/>
        <v>2</v>
      </c>
      <c r="H394" s="761" t="s">
        <v>8764</v>
      </c>
    </row>
    <row r="395" spans="1:8" ht="63.75">
      <c r="A395" s="108" t="s">
        <v>9408</v>
      </c>
      <c r="B395" s="798" t="s">
        <v>9443</v>
      </c>
      <c r="C395" s="761" t="s">
        <v>9436</v>
      </c>
      <c r="D395" s="761" t="s">
        <v>9441</v>
      </c>
      <c r="E395" s="102" t="s">
        <v>9442</v>
      </c>
      <c r="F395" s="761" t="s">
        <v>9439</v>
      </c>
      <c r="G395" s="108">
        <f t="shared" si="6"/>
        <v>3</v>
      </c>
      <c r="H395" s="761" t="s">
        <v>8766</v>
      </c>
    </row>
    <row r="396" spans="1:8" ht="63.75">
      <c r="A396" s="108" t="s">
        <v>9408</v>
      </c>
      <c r="B396" s="798" t="s">
        <v>9444</v>
      </c>
      <c r="C396" s="761" t="s">
        <v>9436</v>
      </c>
      <c r="D396" s="761" t="s">
        <v>9441</v>
      </c>
      <c r="E396" s="761" t="s">
        <v>9442</v>
      </c>
      <c r="F396" s="102" t="s">
        <v>9439</v>
      </c>
      <c r="G396" s="108">
        <f t="shared" si="6"/>
        <v>4</v>
      </c>
      <c r="H396" s="761" t="s">
        <v>8763</v>
      </c>
    </row>
    <row r="397" spans="1:8" ht="25.5">
      <c r="A397" s="108" t="s">
        <v>9408</v>
      </c>
      <c r="B397" s="798" t="s">
        <v>9445</v>
      </c>
      <c r="C397" s="761" t="s">
        <v>9446</v>
      </c>
      <c r="D397" s="102" t="s">
        <v>9447</v>
      </c>
      <c r="E397" s="761" t="s">
        <v>9448</v>
      </c>
      <c r="F397" s="761" t="s">
        <v>9449</v>
      </c>
      <c r="G397" s="108">
        <f t="shared" si="6"/>
        <v>2</v>
      </c>
      <c r="H397" s="761" t="s">
        <v>8764</v>
      </c>
    </row>
    <row r="398" spans="1:8" ht="25.5">
      <c r="A398" s="108" t="s">
        <v>9408</v>
      </c>
      <c r="B398" s="798" t="s">
        <v>9450</v>
      </c>
      <c r="C398" s="761" t="s">
        <v>74</v>
      </c>
      <c r="D398" s="761" t="s">
        <v>179</v>
      </c>
      <c r="E398" s="761" t="s">
        <v>76</v>
      </c>
      <c r="F398" s="102" t="s">
        <v>137</v>
      </c>
      <c r="G398" s="108">
        <f t="shared" si="6"/>
        <v>4</v>
      </c>
      <c r="H398" s="761" t="s">
        <v>8763</v>
      </c>
    </row>
    <row r="399" spans="1:8" ht="25.5">
      <c r="A399" s="108" t="s">
        <v>9408</v>
      </c>
      <c r="B399" s="798" t="s">
        <v>9451</v>
      </c>
      <c r="C399" s="761" t="s">
        <v>74</v>
      </c>
      <c r="D399" s="761" t="s">
        <v>179</v>
      </c>
      <c r="E399" s="761" t="s">
        <v>76</v>
      </c>
      <c r="F399" s="102" t="s">
        <v>137</v>
      </c>
      <c r="G399" s="108">
        <f t="shared" si="6"/>
        <v>4</v>
      </c>
      <c r="H399" s="761" t="s">
        <v>8763</v>
      </c>
    </row>
    <row r="400" spans="1:8" ht="25.5">
      <c r="A400" s="108" t="s">
        <v>9408</v>
      </c>
      <c r="B400" s="798" t="s">
        <v>9452</v>
      </c>
      <c r="C400" s="761" t="s">
        <v>9453</v>
      </c>
      <c r="D400" s="761" t="s">
        <v>1457</v>
      </c>
      <c r="E400" s="102" t="s">
        <v>6284</v>
      </c>
      <c r="F400" s="761" t="s">
        <v>9454</v>
      </c>
      <c r="G400" s="108">
        <f t="shared" si="6"/>
        <v>3</v>
      </c>
      <c r="H400" s="761" t="s">
        <v>8766</v>
      </c>
    </row>
    <row r="401" spans="1:8" ht="38.25">
      <c r="A401" s="108" t="s">
        <v>9408</v>
      </c>
      <c r="B401" s="798" t="s">
        <v>9455</v>
      </c>
      <c r="C401" s="761" t="s">
        <v>9456</v>
      </c>
      <c r="D401" s="761" t="s">
        <v>9457</v>
      </c>
      <c r="E401" s="761" t="s">
        <v>9458</v>
      </c>
      <c r="F401" s="102" t="s">
        <v>9459</v>
      </c>
      <c r="G401" s="108">
        <f t="shared" si="6"/>
        <v>4</v>
      </c>
      <c r="H401" s="761" t="s">
        <v>8763</v>
      </c>
    </row>
    <row r="402" spans="1:8" ht="38.25">
      <c r="A402" s="108" t="s">
        <v>9408</v>
      </c>
      <c r="B402" s="798" t="s">
        <v>9460</v>
      </c>
      <c r="C402" s="761">
        <v>1</v>
      </c>
      <c r="D402" s="102">
        <v>2</v>
      </c>
      <c r="E402" s="761">
        <v>3</v>
      </c>
      <c r="F402" s="761">
        <v>4</v>
      </c>
      <c r="G402" s="108">
        <f t="shared" si="6"/>
        <v>2</v>
      </c>
      <c r="H402" s="761" t="s">
        <v>8764</v>
      </c>
    </row>
    <row r="403" spans="1:8" ht="25.5">
      <c r="A403" s="108" t="s">
        <v>9408</v>
      </c>
      <c r="B403" s="103" t="s">
        <v>9461</v>
      </c>
      <c r="C403" s="807" t="s">
        <v>9462</v>
      </c>
      <c r="D403" s="183" t="s">
        <v>9463</v>
      </c>
      <c r="E403" s="183" t="s">
        <v>9464</v>
      </c>
      <c r="F403" s="183" t="s">
        <v>61</v>
      </c>
      <c r="G403" s="108">
        <f t="shared" si="6"/>
        <v>1</v>
      </c>
      <c r="H403" s="114" t="s">
        <v>8761</v>
      </c>
    </row>
    <row r="404" spans="1:8" ht="25.5">
      <c r="A404" s="108" t="s">
        <v>9408</v>
      </c>
      <c r="B404" s="103" t="s">
        <v>9465</v>
      </c>
      <c r="C404" s="183" t="s">
        <v>9466</v>
      </c>
      <c r="D404" s="807" t="s">
        <v>4796</v>
      </c>
      <c r="E404" s="183" t="s">
        <v>9467</v>
      </c>
      <c r="F404" s="183" t="s">
        <v>9468</v>
      </c>
      <c r="G404" s="108">
        <f t="shared" si="6"/>
        <v>2</v>
      </c>
      <c r="H404" s="114" t="s">
        <v>8764</v>
      </c>
    </row>
    <row r="405" spans="1:8" ht="51">
      <c r="A405" s="108" t="s">
        <v>9408</v>
      </c>
      <c r="B405" s="103" t="s">
        <v>9469</v>
      </c>
      <c r="C405" s="183" t="s">
        <v>9470</v>
      </c>
      <c r="D405" s="807" t="s">
        <v>9471</v>
      </c>
      <c r="E405" s="808" t="s">
        <v>3590</v>
      </c>
      <c r="F405" s="808" t="s">
        <v>9472</v>
      </c>
      <c r="G405" s="108">
        <f t="shared" si="6"/>
        <v>2</v>
      </c>
      <c r="H405" s="114" t="s">
        <v>8764</v>
      </c>
    </row>
    <row r="406" spans="1:8" ht="25.5">
      <c r="A406" s="108" t="s">
        <v>9408</v>
      </c>
      <c r="B406" s="103" t="s">
        <v>9473</v>
      </c>
      <c r="C406" s="183" t="s">
        <v>9474</v>
      </c>
      <c r="D406" s="183" t="s">
        <v>9475</v>
      </c>
      <c r="E406" s="807" t="s">
        <v>9476</v>
      </c>
      <c r="F406" s="183" t="s">
        <v>9477</v>
      </c>
      <c r="G406" s="108">
        <f t="shared" si="6"/>
        <v>3</v>
      </c>
      <c r="H406" s="114" t="s">
        <v>8766</v>
      </c>
    </row>
    <row r="407" spans="1:8" ht="25.5">
      <c r="A407" s="108" t="s">
        <v>9408</v>
      </c>
      <c r="B407" s="103" t="s">
        <v>9478</v>
      </c>
      <c r="C407" s="183" t="s">
        <v>9479</v>
      </c>
      <c r="D407" s="183" t="s">
        <v>9480</v>
      </c>
      <c r="E407" s="807" t="s">
        <v>3444</v>
      </c>
      <c r="F407" s="183" t="s">
        <v>9481</v>
      </c>
      <c r="G407" s="108">
        <f t="shared" si="6"/>
        <v>3</v>
      </c>
      <c r="H407" s="114" t="s">
        <v>8766</v>
      </c>
    </row>
    <row r="408" spans="1:8" ht="25.5">
      <c r="A408" s="108" t="s">
        <v>9408</v>
      </c>
      <c r="B408" s="103" t="s">
        <v>9482</v>
      </c>
      <c r="C408" s="809">
        <v>0.01</v>
      </c>
      <c r="D408" s="810">
        <v>1.4999999999999999E-2</v>
      </c>
      <c r="E408" s="809">
        <v>0.02</v>
      </c>
      <c r="F408" s="809">
        <v>0.03</v>
      </c>
      <c r="G408" s="108">
        <f t="shared" si="6"/>
        <v>2</v>
      </c>
      <c r="H408" s="114" t="s">
        <v>8764</v>
      </c>
    </row>
    <row r="409" spans="1:8" ht="25.5">
      <c r="A409" s="108" t="s">
        <v>9408</v>
      </c>
      <c r="B409" s="103" t="s">
        <v>9483</v>
      </c>
      <c r="C409" s="183" t="s">
        <v>179</v>
      </c>
      <c r="D409" s="183" t="s">
        <v>73</v>
      </c>
      <c r="E409" s="807" t="s">
        <v>137</v>
      </c>
      <c r="F409" s="183" t="s">
        <v>74</v>
      </c>
      <c r="G409" s="108">
        <f t="shared" si="6"/>
        <v>3</v>
      </c>
      <c r="H409" s="114" t="s">
        <v>8766</v>
      </c>
    </row>
    <row r="410" spans="1:8" ht="25.5">
      <c r="A410" s="108" t="s">
        <v>9408</v>
      </c>
      <c r="B410" s="103" t="s">
        <v>9484</v>
      </c>
      <c r="C410" s="807" t="s">
        <v>9485</v>
      </c>
      <c r="D410" s="183" t="s">
        <v>9486</v>
      </c>
      <c r="E410" s="183" t="s">
        <v>9487</v>
      </c>
      <c r="F410" s="183" t="s">
        <v>9488</v>
      </c>
      <c r="G410" s="108">
        <f t="shared" si="6"/>
        <v>1</v>
      </c>
      <c r="H410" s="114" t="s">
        <v>8761</v>
      </c>
    </row>
    <row r="411" spans="1:8" ht="25.5">
      <c r="A411" s="108" t="s">
        <v>9408</v>
      </c>
      <c r="B411" s="103" t="s">
        <v>9489</v>
      </c>
      <c r="C411" s="811" t="s">
        <v>9490</v>
      </c>
      <c r="D411" s="812" t="s">
        <v>9491</v>
      </c>
      <c r="E411" s="183" t="s">
        <v>9488</v>
      </c>
      <c r="F411" s="183" t="s">
        <v>9487</v>
      </c>
      <c r="G411" s="108">
        <f t="shared" si="6"/>
        <v>2</v>
      </c>
      <c r="H411" s="114" t="s">
        <v>8764</v>
      </c>
    </row>
    <row r="412" spans="1:8" ht="39">
      <c r="A412" s="108" t="s">
        <v>9408</v>
      </c>
      <c r="B412" s="103" t="s">
        <v>9492</v>
      </c>
      <c r="C412" s="811" t="s">
        <v>9493</v>
      </c>
      <c r="D412" s="812" t="s">
        <v>9494</v>
      </c>
      <c r="E412" s="183" t="s">
        <v>9495</v>
      </c>
      <c r="F412" s="183" t="s">
        <v>9496</v>
      </c>
      <c r="G412" s="108">
        <f t="shared" si="6"/>
        <v>2</v>
      </c>
      <c r="H412" s="114" t="s">
        <v>8764</v>
      </c>
    </row>
    <row r="413" spans="1:8" ht="25.5">
      <c r="A413" s="108" t="s">
        <v>9408</v>
      </c>
      <c r="B413" s="103" t="s">
        <v>9497</v>
      </c>
      <c r="C413" s="811" t="s">
        <v>177</v>
      </c>
      <c r="D413" s="183" t="s">
        <v>9498</v>
      </c>
      <c r="E413" s="183" t="s">
        <v>74</v>
      </c>
      <c r="F413" s="807" t="s">
        <v>557</v>
      </c>
      <c r="G413" s="108">
        <f t="shared" si="6"/>
        <v>4</v>
      </c>
      <c r="H413" s="114" t="s">
        <v>8763</v>
      </c>
    </row>
    <row r="414" spans="1:8" ht="38.25">
      <c r="A414" s="108" t="s">
        <v>9408</v>
      </c>
      <c r="B414" s="103" t="s">
        <v>9499</v>
      </c>
      <c r="C414" s="183" t="s">
        <v>9500</v>
      </c>
      <c r="D414" s="807" t="s">
        <v>9501</v>
      </c>
      <c r="E414" s="183" t="s">
        <v>9502</v>
      </c>
      <c r="F414" s="183" t="s">
        <v>66</v>
      </c>
      <c r="G414" s="108">
        <f t="shared" si="6"/>
        <v>2</v>
      </c>
      <c r="H414" s="114" t="s">
        <v>8764</v>
      </c>
    </row>
    <row r="415" spans="1:8" ht="25.5">
      <c r="A415" s="108" t="s">
        <v>9408</v>
      </c>
      <c r="B415" s="103" t="s">
        <v>9503</v>
      </c>
      <c r="C415" s="183" t="s">
        <v>204</v>
      </c>
      <c r="D415" s="183" t="s">
        <v>3519</v>
      </c>
      <c r="E415" s="183" t="s">
        <v>9504</v>
      </c>
      <c r="F415" s="807" t="s">
        <v>203</v>
      </c>
      <c r="G415" s="108">
        <f t="shared" si="6"/>
        <v>4</v>
      </c>
      <c r="H415" s="114" t="s">
        <v>8763</v>
      </c>
    </row>
    <row r="416" spans="1:8" ht="38.25">
      <c r="A416" s="108" t="s">
        <v>9408</v>
      </c>
      <c r="B416" s="103" t="s">
        <v>9505</v>
      </c>
      <c r="C416" s="183" t="s">
        <v>74</v>
      </c>
      <c r="D416" s="183" t="s">
        <v>179</v>
      </c>
      <c r="E416" s="183" t="s">
        <v>174</v>
      </c>
      <c r="F416" s="807" t="s">
        <v>137</v>
      </c>
      <c r="G416" s="108">
        <f t="shared" si="6"/>
        <v>4</v>
      </c>
      <c r="H416" s="114" t="s">
        <v>8763</v>
      </c>
    </row>
    <row r="417" spans="1:8" ht="38.25">
      <c r="A417" s="108" t="s">
        <v>9408</v>
      </c>
      <c r="B417" s="103" t="s">
        <v>9506</v>
      </c>
      <c r="C417" s="183" t="s">
        <v>9507</v>
      </c>
      <c r="D417" s="183" t="s">
        <v>9508</v>
      </c>
      <c r="E417" s="807" t="s">
        <v>9509</v>
      </c>
      <c r="F417" s="183" t="s">
        <v>9510</v>
      </c>
      <c r="G417" s="108">
        <f t="shared" si="6"/>
        <v>3</v>
      </c>
      <c r="H417" s="114" t="s">
        <v>8766</v>
      </c>
    </row>
    <row r="418" spans="1:8" ht="25.5">
      <c r="A418" s="108" t="s">
        <v>9408</v>
      </c>
      <c r="B418" s="103" t="s">
        <v>9511</v>
      </c>
      <c r="C418" s="183" t="s">
        <v>9512</v>
      </c>
      <c r="D418" s="183" t="s">
        <v>9513</v>
      </c>
      <c r="E418" s="807" t="s">
        <v>9514</v>
      </c>
      <c r="F418" s="183" t="s">
        <v>9515</v>
      </c>
      <c r="G418" s="108">
        <f t="shared" si="6"/>
        <v>3</v>
      </c>
      <c r="H418" s="114" t="s">
        <v>8766</v>
      </c>
    </row>
    <row r="419" spans="1:8" ht="51">
      <c r="A419" s="108" t="s">
        <v>9408</v>
      </c>
      <c r="B419" s="103" t="s">
        <v>9516</v>
      </c>
      <c r="C419" s="183" t="s">
        <v>9512</v>
      </c>
      <c r="D419" s="183" t="s">
        <v>9513</v>
      </c>
      <c r="E419" s="183" t="s">
        <v>9514</v>
      </c>
      <c r="F419" s="807" t="s">
        <v>9517</v>
      </c>
      <c r="G419" s="108">
        <f t="shared" si="6"/>
        <v>4</v>
      </c>
      <c r="H419" s="114" t="s">
        <v>8763</v>
      </c>
    </row>
    <row r="420" spans="1:8" ht="25.5">
      <c r="A420" s="108" t="s">
        <v>9408</v>
      </c>
      <c r="B420" s="103" t="s">
        <v>9518</v>
      </c>
      <c r="C420" s="183" t="s">
        <v>9519</v>
      </c>
      <c r="D420" s="807" t="s">
        <v>9520</v>
      </c>
      <c r="E420" s="183" t="s">
        <v>9521</v>
      </c>
      <c r="F420" s="183" t="s">
        <v>9522</v>
      </c>
      <c r="G420" s="108">
        <f t="shared" si="6"/>
        <v>2</v>
      </c>
      <c r="H420" s="114" t="s">
        <v>8764</v>
      </c>
    </row>
    <row r="421" spans="1:8" ht="38.25">
      <c r="A421" s="108" t="s">
        <v>9408</v>
      </c>
      <c r="B421" s="103" t="s">
        <v>9523</v>
      </c>
      <c r="C421" s="183" t="s">
        <v>9524</v>
      </c>
      <c r="D421" s="183" t="s">
        <v>9525</v>
      </c>
      <c r="E421" s="807" t="s">
        <v>9526</v>
      </c>
      <c r="F421" s="183" t="s">
        <v>9527</v>
      </c>
      <c r="G421" s="108">
        <f t="shared" si="6"/>
        <v>3</v>
      </c>
      <c r="H421" s="114" t="s">
        <v>8766</v>
      </c>
    </row>
    <row r="422" spans="1:8" ht="25.5">
      <c r="A422" s="108" t="s">
        <v>9408</v>
      </c>
      <c r="B422" s="103" t="s">
        <v>9528</v>
      </c>
      <c r="C422" s="813" t="s">
        <v>9524</v>
      </c>
      <c r="D422" s="814" t="s">
        <v>9525</v>
      </c>
      <c r="E422" s="814" t="s">
        <v>9529</v>
      </c>
      <c r="F422" s="814" t="s">
        <v>9530</v>
      </c>
      <c r="G422" s="108">
        <f t="shared" si="6"/>
        <v>1</v>
      </c>
      <c r="H422" s="114" t="s">
        <v>8761</v>
      </c>
    </row>
    <row r="423" spans="1:8" ht="25.5">
      <c r="A423" s="108" t="s">
        <v>9408</v>
      </c>
      <c r="B423" s="103" t="s">
        <v>9531</v>
      </c>
      <c r="C423" s="183" t="s">
        <v>137</v>
      </c>
      <c r="D423" s="807" t="s">
        <v>179</v>
      </c>
      <c r="E423" s="183" t="s">
        <v>73</v>
      </c>
      <c r="F423" s="183" t="s">
        <v>557</v>
      </c>
      <c r="G423" s="108">
        <f t="shared" si="6"/>
        <v>2</v>
      </c>
      <c r="H423" s="114" t="s">
        <v>8764</v>
      </c>
    </row>
    <row r="424" spans="1:8" ht="25.5">
      <c r="A424" s="108" t="s">
        <v>9408</v>
      </c>
      <c r="B424" s="103" t="s">
        <v>9532</v>
      </c>
      <c r="C424" s="183" t="s">
        <v>9533</v>
      </c>
      <c r="D424" s="183" t="s">
        <v>9534</v>
      </c>
      <c r="E424" s="807" t="s">
        <v>9535</v>
      </c>
      <c r="F424" s="183" t="s">
        <v>9536</v>
      </c>
      <c r="G424" s="108">
        <f t="shared" si="6"/>
        <v>3</v>
      </c>
      <c r="H424" s="114" t="s">
        <v>8766</v>
      </c>
    </row>
    <row r="425" spans="1:8" ht="25.5">
      <c r="A425" s="108" t="s">
        <v>9408</v>
      </c>
      <c r="B425" s="103" t="s">
        <v>9537</v>
      </c>
      <c r="C425" s="183" t="s">
        <v>420</v>
      </c>
      <c r="D425" s="183" t="s">
        <v>9538</v>
      </c>
      <c r="E425" s="183" t="s">
        <v>3581</v>
      </c>
      <c r="F425" s="807" t="s">
        <v>9539</v>
      </c>
      <c r="G425" s="108">
        <f t="shared" si="6"/>
        <v>4</v>
      </c>
      <c r="H425" s="114" t="s">
        <v>8763</v>
      </c>
    </row>
    <row r="426" spans="1:8" ht="38.25">
      <c r="A426" s="108" t="s">
        <v>9408</v>
      </c>
      <c r="B426" s="103" t="s">
        <v>9540</v>
      </c>
      <c r="C426" s="807" t="s">
        <v>9541</v>
      </c>
      <c r="D426" s="183" t="s">
        <v>9542</v>
      </c>
      <c r="E426" s="183" t="s">
        <v>9543</v>
      </c>
      <c r="F426" s="183" t="s">
        <v>9544</v>
      </c>
      <c r="G426" s="108">
        <f t="shared" si="6"/>
        <v>1</v>
      </c>
      <c r="H426" s="114" t="s">
        <v>8761</v>
      </c>
    </row>
    <row r="427" spans="1:8" ht="30">
      <c r="A427" s="108" t="s">
        <v>9408</v>
      </c>
      <c r="B427" s="815" t="s">
        <v>9545</v>
      </c>
      <c r="C427" s="816" t="s">
        <v>74</v>
      </c>
      <c r="D427" s="817" t="s">
        <v>9546</v>
      </c>
      <c r="E427" s="816" t="s">
        <v>3231</v>
      </c>
      <c r="F427" s="816" t="s">
        <v>9547</v>
      </c>
      <c r="G427" s="108">
        <f t="shared" si="6"/>
        <v>2</v>
      </c>
      <c r="H427" s="964" t="s">
        <v>8764</v>
      </c>
    </row>
    <row r="428" spans="1:8" ht="30">
      <c r="A428" s="108" t="s">
        <v>9408</v>
      </c>
      <c r="B428" s="815" t="s">
        <v>9548</v>
      </c>
      <c r="C428" s="816" t="s">
        <v>9549</v>
      </c>
      <c r="D428" s="816" t="s">
        <v>9550</v>
      </c>
      <c r="E428" s="817" t="s">
        <v>9551</v>
      </c>
      <c r="F428" s="816" t="s">
        <v>9552</v>
      </c>
      <c r="G428" s="108">
        <f t="shared" si="6"/>
        <v>3</v>
      </c>
      <c r="H428" s="964" t="s">
        <v>8766</v>
      </c>
    </row>
    <row r="429" spans="1:8" ht="45">
      <c r="A429" s="108" t="s">
        <v>9408</v>
      </c>
      <c r="B429" s="815" t="s">
        <v>9553</v>
      </c>
      <c r="C429" s="816" t="s">
        <v>74</v>
      </c>
      <c r="D429" s="817" t="s">
        <v>9546</v>
      </c>
      <c r="E429" s="816" t="s">
        <v>9554</v>
      </c>
      <c r="F429" s="816" t="s">
        <v>9547</v>
      </c>
      <c r="G429" s="108">
        <f t="shared" si="6"/>
        <v>2</v>
      </c>
      <c r="H429" s="964" t="s">
        <v>8764</v>
      </c>
    </row>
    <row r="430" spans="1:8" ht="75">
      <c r="A430" s="108" t="s">
        <v>9408</v>
      </c>
      <c r="B430" s="818" t="s">
        <v>9555</v>
      </c>
      <c r="C430" s="819" t="s">
        <v>9556</v>
      </c>
      <c r="D430" s="820" t="s">
        <v>9557</v>
      </c>
      <c r="E430" s="819" t="s">
        <v>9558</v>
      </c>
      <c r="F430" s="819" t="s">
        <v>9559</v>
      </c>
      <c r="G430" s="108">
        <f t="shared" si="6"/>
        <v>2</v>
      </c>
      <c r="H430" s="821" t="s">
        <v>8764</v>
      </c>
    </row>
    <row r="431" spans="1:8" ht="45">
      <c r="A431" s="108" t="s">
        <v>9408</v>
      </c>
      <c r="B431" s="818" t="s">
        <v>9560</v>
      </c>
      <c r="C431" s="819" t="s">
        <v>9561</v>
      </c>
      <c r="D431" s="819" t="s">
        <v>9562</v>
      </c>
      <c r="E431" s="820" t="s">
        <v>9563</v>
      </c>
      <c r="F431" s="819" t="s">
        <v>9564</v>
      </c>
      <c r="G431" s="108">
        <f t="shared" si="6"/>
        <v>3</v>
      </c>
      <c r="H431" s="821" t="s">
        <v>8766</v>
      </c>
    </row>
    <row r="432" spans="1:8" ht="30">
      <c r="A432" s="108" t="s">
        <v>9408</v>
      </c>
      <c r="B432" s="818" t="s">
        <v>9565</v>
      </c>
      <c r="C432" s="965" t="s">
        <v>9566</v>
      </c>
      <c r="D432" s="965" t="s">
        <v>9567</v>
      </c>
      <c r="E432" s="820" t="s">
        <v>9568</v>
      </c>
      <c r="F432" s="819" t="s">
        <v>9569</v>
      </c>
      <c r="G432" s="108">
        <f t="shared" si="6"/>
        <v>3</v>
      </c>
      <c r="H432" s="821" t="s">
        <v>8766</v>
      </c>
    </row>
    <row r="433" spans="1:8" ht="51">
      <c r="A433" s="108" t="s">
        <v>9408</v>
      </c>
      <c r="B433" s="818" t="s">
        <v>9570</v>
      </c>
      <c r="C433" s="820" t="s">
        <v>9571</v>
      </c>
      <c r="D433" s="819" t="s">
        <v>9572</v>
      </c>
      <c r="E433" s="819" t="s">
        <v>9573</v>
      </c>
      <c r="F433" s="819" t="s">
        <v>9574</v>
      </c>
      <c r="G433" s="108">
        <f t="shared" si="6"/>
        <v>1</v>
      </c>
      <c r="H433" s="821" t="s">
        <v>8761</v>
      </c>
    </row>
    <row r="434" spans="1:8" ht="102">
      <c r="A434" s="108" t="s">
        <v>9408</v>
      </c>
      <c r="B434" s="818" t="s">
        <v>9575</v>
      </c>
      <c r="C434" s="819" t="s">
        <v>9576</v>
      </c>
      <c r="D434" s="820" t="s">
        <v>9577</v>
      </c>
      <c r="E434" s="819" t="s">
        <v>9578</v>
      </c>
      <c r="F434" s="819" t="s">
        <v>9579</v>
      </c>
      <c r="G434" s="108">
        <f t="shared" si="6"/>
        <v>2</v>
      </c>
      <c r="H434" s="821" t="s">
        <v>8764</v>
      </c>
    </row>
    <row r="435" spans="1:8" ht="25.5">
      <c r="A435" s="108" t="s">
        <v>9408</v>
      </c>
      <c r="B435" s="818" t="s">
        <v>9580</v>
      </c>
      <c r="C435" s="819" t="s">
        <v>9581</v>
      </c>
      <c r="D435" s="819" t="s">
        <v>9582</v>
      </c>
      <c r="E435" s="820" t="s">
        <v>9583</v>
      </c>
      <c r="F435" s="819" t="s">
        <v>9584</v>
      </c>
      <c r="G435" s="108">
        <f t="shared" si="6"/>
        <v>3</v>
      </c>
      <c r="H435" s="821" t="s">
        <v>8766</v>
      </c>
    </row>
    <row r="436" spans="1:8" ht="25.5">
      <c r="A436" s="108" t="s">
        <v>9408</v>
      </c>
      <c r="B436" s="818" t="s">
        <v>9585</v>
      </c>
      <c r="C436" s="819" t="s">
        <v>9586</v>
      </c>
      <c r="D436" s="819" t="s">
        <v>420</v>
      </c>
      <c r="E436" s="819" t="s">
        <v>9382</v>
      </c>
      <c r="F436" s="820" t="s">
        <v>421</v>
      </c>
      <c r="G436" s="108">
        <f t="shared" si="6"/>
        <v>4</v>
      </c>
      <c r="H436" s="821" t="s">
        <v>8763</v>
      </c>
    </row>
    <row r="437" spans="1:8" ht="51">
      <c r="A437" s="108" t="s">
        <v>9408</v>
      </c>
      <c r="B437" s="818" t="s">
        <v>9587</v>
      </c>
      <c r="C437" s="820" t="s">
        <v>9588</v>
      </c>
      <c r="D437" s="819" t="s">
        <v>9589</v>
      </c>
      <c r="E437" s="819" t="s">
        <v>9590</v>
      </c>
      <c r="F437" s="819" t="s">
        <v>9591</v>
      </c>
      <c r="G437" s="108">
        <f t="shared" si="6"/>
        <v>1</v>
      </c>
      <c r="H437" s="821" t="s">
        <v>8761</v>
      </c>
    </row>
    <row r="438" spans="1:8" ht="30">
      <c r="A438" s="108" t="s">
        <v>9408</v>
      </c>
      <c r="B438" s="818" t="s">
        <v>9592</v>
      </c>
      <c r="C438" s="820" t="s">
        <v>9593</v>
      </c>
      <c r="D438" s="819" t="s">
        <v>9594</v>
      </c>
      <c r="E438" s="819" t="s">
        <v>9595</v>
      </c>
      <c r="F438" s="819" t="s">
        <v>9596</v>
      </c>
      <c r="G438" s="108">
        <f t="shared" si="6"/>
        <v>1</v>
      </c>
      <c r="H438" s="821" t="s">
        <v>8761</v>
      </c>
    </row>
    <row r="439" spans="1:8" ht="25.5">
      <c r="A439" s="108" t="s">
        <v>9408</v>
      </c>
      <c r="B439" s="818" t="s">
        <v>9597</v>
      </c>
      <c r="C439" s="819" t="s">
        <v>9598</v>
      </c>
      <c r="D439" s="819" t="s">
        <v>9599</v>
      </c>
      <c r="E439" s="820" t="s">
        <v>9600</v>
      </c>
      <c r="F439" s="819" t="s">
        <v>9601</v>
      </c>
      <c r="G439" s="108">
        <f t="shared" si="6"/>
        <v>3</v>
      </c>
      <c r="H439" s="821" t="s">
        <v>8766</v>
      </c>
    </row>
    <row r="440" spans="1:8" ht="38.25">
      <c r="A440" s="108" t="s">
        <v>9408</v>
      </c>
      <c r="B440" s="818" t="s">
        <v>9602</v>
      </c>
      <c r="C440" s="819" t="s">
        <v>9603</v>
      </c>
      <c r="D440" s="820" t="s">
        <v>9604</v>
      </c>
      <c r="E440" s="819" t="s">
        <v>9605</v>
      </c>
      <c r="F440" s="819" t="s">
        <v>9606</v>
      </c>
      <c r="G440" s="108">
        <f t="shared" si="6"/>
        <v>2</v>
      </c>
      <c r="H440" s="821" t="s">
        <v>8764</v>
      </c>
    </row>
    <row r="441" spans="1:8" ht="25.5">
      <c r="A441" s="108" t="s">
        <v>9408</v>
      </c>
      <c r="B441" s="818" t="s">
        <v>9607</v>
      </c>
      <c r="C441" s="819" t="s">
        <v>9608</v>
      </c>
      <c r="D441" s="819" t="s">
        <v>9609</v>
      </c>
      <c r="E441" s="819" t="s">
        <v>9610</v>
      </c>
      <c r="F441" s="820" t="s">
        <v>5673</v>
      </c>
      <c r="G441" s="108">
        <f t="shared" si="6"/>
        <v>4</v>
      </c>
      <c r="H441" s="821" t="s">
        <v>8763</v>
      </c>
    </row>
    <row r="442" spans="1:8" ht="25.5">
      <c r="A442" s="108" t="s">
        <v>9408</v>
      </c>
      <c r="B442" s="818" t="s">
        <v>9611</v>
      </c>
      <c r="C442" s="819" t="s">
        <v>9612</v>
      </c>
      <c r="D442" s="819" t="s">
        <v>9613</v>
      </c>
      <c r="E442" s="819" t="s">
        <v>5615</v>
      </c>
      <c r="F442" s="820" t="s">
        <v>9614</v>
      </c>
      <c r="G442" s="108">
        <f t="shared" si="6"/>
        <v>4</v>
      </c>
      <c r="H442" s="821" t="s">
        <v>8763</v>
      </c>
    </row>
    <row r="443" spans="1:8" ht="25.5">
      <c r="A443" s="108" t="s">
        <v>9408</v>
      </c>
      <c r="B443" s="818" t="s">
        <v>9615</v>
      </c>
      <c r="C443" s="819" t="s">
        <v>9616</v>
      </c>
      <c r="D443" s="819" t="s">
        <v>9613</v>
      </c>
      <c r="E443" s="819" t="s">
        <v>9617</v>
      </c>
      <c r="F443" s="820" t="s">
        <v>9618</v>
      </c>
      <c r="G443" s="108">
        <f t="shared" si="6"/>
        <v>4</v>
      </c>
      <c r="H443" s="821" t="s">
        <v>8763</v>
      </c>
    </row>
    <row r="444" spans="1:8" ht="38.25">
      <c r="A444" s="108" t="s">
        <v>9408</v>
      </c>
      <c r="B444" s="818" t="s">
        <v>9619</v>
      </c>
      <c r="C444" s="820" t="s">
        <v>9620</v>
      </c>
      <c r="D444" s="819" t="s">
        <v>9621</v>
      </c>
      <c r="E444" s="819" t="s">
        <v>9622</v>
      </c>
      <c r="F444" s="819" t="s">
        <v>9623</v>
      </c>
      <c r="G444" s="108">
        <f t="shared" si="6"/>
        <v>1</v>
      </c>
      <c r="H444" s="821" t="s">
        <v>8761</v>
      </c>
    </row>
    <row r="445" spans="1:8" ht="38.25">
      <c r="A445" s="108" t="s">
        <v>9408</v>
      </c>
      <c r="B445" s="818" t="s">
        <v>9624</v>
      </c>
      <c r="C445" s="819" t="s">
        <v>9620</v>
      </c>
      <c r="D445" s="819" t="s">
        <v>9623</v>
      </c>
      <c r="E445" s="819" t="s">
        <v>9622</v>
      </c>
      <c r="F445" s="820" t="s">
        <v>9625</v>
      </c>
      <c r="G445" s="108">
        <f t="shared" si="6"/>
        <v>4</v>
      </c>
      <c r="H445" s="821" t="s">
        <v>8763</v>
      </c>
    </row>
    <row r="446" spans="1:8" ht="25.5">
      <c r="A446" s="108" t="s">
        <v>9408</v>
      </c>
      <c r="B446" s="818" t="s">
        <v>9626</v>
      </c>
      <c r="C446" s="819" t="s">
        <v>9586</v>
      </c>
      <c r="D446" s="820" t="s">
        <v>5555</v>
      </c>
      <c r="E446" s="819" t="s">
        <v>420</v>
      </c>
      <c r="F446" s="819" t="s">
        <v>9370</v>
      </c>
      <c r="G446" s="108">
        <f t="shared" si="6"/>
        <v>2</v>
      </c>
      <c r="H446" s="821" t="s">
        <v>8764</v>
      </c>
    </row>
    <row r="447" spans="1:8" ht="30">
      <c r="A447" s="108" t="s">
        <v>9408</v>
      </c>
      <c r="B447" s="818" t="s">
        <v>9627</v>
      </c>
      <c r="C447" s="819" t="s">
        <v>9628</v>
      </c>
      <c r="D447" s="819" t="s">
        <v>9629</v>
      </c>
      <c r="E447" s="820" t="s">
        <v>3950</v>
      </c>
      <c r="F447" s="819" t="s">
        <v>9572</v>
      </c>
      <c r="G447" s="108">
        <f t="shared" si="6"/>
        <v>3</v>
      </c>
      <c r="H447" s="821" t="s">
        <v>8766</v>
      </c>
    </row>
    <row r="448" spans="1:8" ht="38.25">
      <c r="A448" s="108" t="s">
        <v>9408</v>
      </c>
      <c r="B448" s="818" t="s">
        <v>9630</v>
      </c>
      <c r="C448" s="820" t="s">
        <v>9631</v>
      </c>
      <c r="D448" s="819" t="s">
        <v>9632</v>
      </c>
      <c r="E448" s="819" t="s">
        <v>9633</v>
      </c>
      <c r="F448" s="819" t="s">
        <v>7292</v>
      </c>
      <c r="G448" s="108">
        <f t="shared" si="6"/>
        <v>1</v>
      </c>
      <c r="H448" s="821" t="s">
        <v>8761</v>
      </c>
    </row>
    <row r="449" spans="1:8" ht="38.25">
      <c r="A449" s="108" t="s">
        <v>9408</v>
      </c>
      <c r="B449" s="818" t="s">
        <v>9634</v>
      </c>
      <c r="C449" s="820" t="s">
        <v>9635</v>
      </c>
      <c r="D449" s="819" t="s">
        <v>9636</v>
      </c>
      <c r="E449" s="819" t="s">
        <v>9637</v>
      </c>
      <c r="F449" s="819" t="s">
        <v>9638</v>
      </c>
      <c r="G449" s="108">
        <f t="shared" si="6"/>
        <v>1</v>
      </c>
      <c r="H449" s="821" t="s">
        <v>8761</v>
      </c>
    </row>
    <row r="450" spans="1:8" ht="38.25">
      <c r="A450" s="108" t="s">
        <v>9408</v>
      </c>
      <c r="B450" s="818" t="s">
        <v>9639</v>
      </c>
      <c r="C450" s="822">
        <v>0.1</v>
      </c>
      <c r="D450" s="823">
        <v>0.05</v>
      </c>
      <c r="E450" s="822">
        <v>0.03</v>
      </c>
      <c r="F450" s="966">
        <v>0.08</v>
      </c>
      <c r="G450" s="108">
        <f t="shared" si="6"/>
        <v>4</v>
      </c>
      <c r="H450" s="821" t="s">
        <v>8763</v>
      </c>
    </row>
    <row r="451" spans="1:8" ht="38.25">
      <c r="A451" s="108" t="s">
        <v>9408</v>
      </c>
      <c r="B451" s="818" t="s">
        <v>9640</v>
      </c>
      <c r="C451" s="819" t="s">
        <v>9635</v>
      </c>
      <c r="D451" s="819" t="s">
        <v>9641</v>
      </c>
      <c r="E451" s="819" t="s">
        <v>9642</v>
      </c>
      <c r="F451" s="820" t="s">
        <v>9637</v>
      </c>
      <c r="G451" s="108">
        <f t="shared" ref="G451:G514" si="7">IF(H451="A",1,IF(H451="B",2,IF(H451="C",3,IF(H451="D",4,0))))</f>
        <v>4</v>
      </c>
      <c r="H451" s="821" t="s">
        <v>8763</v>
      </c>
    </row>
    <row r="452" spans="1:8" ht="45.75">
      <c r="A452" s="108" t="s">
        <v>9643</v>
      </c>
      <c r="B452" s="824" t="s">
        <v>9644</v>
      </c>
      <c r="C452" s="825" t="s">
        <v>6931</v>
      </c>
      <c r="D452" s="824" t="s">
        <v>6932</v>
      </c>
      <c r="E452" s="824" t="s">
        <v>6933</v>
      </c>
      <c r="F452" s="824" t="s">
        <v>6934</v>
      </c>
      <c r="G452" s="108">
        <f t="shared" si="7"/>
        <v>1</v>
      </c>
      <c r="H452" s="826" t="s">
        <v>8761</v>
      </c>
    </row>
    <row r="453" spans="1:8" ht="30.75">
      <c r="A453" s="108" t="s">
        <v>9643</v>
      </c>
      <c r="B453" s="824" t="s">
        <v>6935</v>
      </c>
      <c r="C453" s="824" t="s">
        <v>6932</v>
      </c>
      <c r="D453" s="825" t="s">
        <v>6936</v>
      </c>
      <c r="E453" s="824" t="s">
        <v>6933</v>
      </c>
      <c r="F453" s="824" t="s">
        <v>6937</v>
      </c>
      <c r="G453" s="108">
        <f t="shared" si="7"/>
        <v>2</v>
      </c>
      <c r="H453" s="826" t="s">
        <v>8764</v>
      </c>
    </row>
    <row r="454" spans="1:8" ht="45.75">
      <c r="A454" s="108" t="s">
        <v>9643</v>
      </c>
      <c r="B454" s="824" t="s">
        <v>6938</v>
      </c>
      <c r="C454" s="824" t="s">
        <v>6939</v>
      </c>
      <c r="D454" s="824" t="s">
        <v>6940</v>
      </c>
      <c r="E454" s="825" t="s">
        <v>6941</v>
      </c>
      <c r="F454" s="824" t="s">
        <v>6942</v>
      </c>
      <c r="G454" s="108">
        <f t="shared" si="7"/>
        <v>3</v>
      </c>
      <c r="H454" s="826" t="s">
        <v>8766</v>
      </c>
    </row>
    <row r="455" spans="1:8" ht="30.75">
      <c r="A455" s="108" t="s">
        <v>9643</v>
      </c>
      <c r="B455" s="827" t="s">
        <v>6943</v>
      </c>
      <c r="C455" s="827" t="s">
        <v>6944</v>
      </c>
      <c r="D455" s="825" t="s">
        <v>6945</v>
      </c>
      <c r="E455" s="827" t="s">
        <v>6937</v>
      </c>
      <c r="F455" s="827" t="s">
        <v>9645</v>
      </c>
      <c r="G455" s="108">
        <f t="shared" si="7"/>
        <v>2</v>
      </c>
      <c r="H455" s="828" t="s">
        <v>8764</v>
      </c>
    </row>
    <row r="456" spans="1:8" ht="45.75">
      <c r="A456" s="108" t="s">
        <v>9643</v>
      </c>
      <c r="B456" s="824" t="s">
        <v>6947</v>
      </c>
      <c r="C456" s="824" t="s">
        <v>6945</v>
      </c>
      <c r="D456" s="825" t="s">
        <v>6948</v>
      </c>
      <c r="E456" s="824" t="s">
        <v>6937</v>
      </c>
      <c r="F456" s="824" t="s">
        <v>6946</v>
      </c>
      <c r="G456" s="108">
        <f t="shared" si="7"/>
        <v>2</v>
      </c>
      <c r="H456" s="826" t="s">
        <v>8764</v>
      </c>
    </row>
    <row r="457" spans="1:8" ht="30.75">
      <c r="A457" s="108" t="s">
        <v>9643</v>
      </c>
      <c r="B457" s="824" t="s">
        <v>6949</v>
      </c>
      <c r="C457" s="824" t="s">
        <v>6950</v>
      </c>
      <c r="D457" s="824" t="s">
        <v>6951</v>
      </c>
      <c r="E457" s="825" t="s">
        <v>6952</v>
      </c>
      <c r="F457" s="824" t="s">
        <v>6953</v>
      </c>
      <c r="G457" s="108">
        <f t="shared" si="7"/>
        <v>3</v>
      </c>
      <c r="H457" s="826" t="s">
        <v>8766</v>
      </c>
    </row>
    <row r="458" spans="1:8" ht="45.75">
      <c r="A458" s="108" t="s">
        <v>9643</v>
      </c>
      <c r="B458" s="824" t="s">
        <v>6954</v>
      </c>
      <c r="C458" s="824" t="s">
        <v>6955</v>
      </c>
      <c r="D458" s="824" t="s">
        <v>6956</v>
      </c>
      <c r="E458" s="825" t="s">
        <v>6957</v>
      </c>
      <c r="F458" s="824" t="s">
        <v>6958</v>
      </c>
      <c r="G458" s="108">
        <f t="shared" si="7"/>
        <v>3</v>
      </c>
      <c r="H458" s="826" t="s">
        <v>8766</v>
      </c>
    </row>
    <row r="459" spans="1:8" ht="45.75">
      <c r="A459" s="108" t="s">
        <v>9643</v>
      </c>
      <c r="B459" s="824" t="s">
        <v>6959</v>
      </c>
      <c r="C459" s="824" t="s">
        <v>6960</v>
      </c>
      <c r="D459" s="825" t="s">
        <v>6961</v>
      </c>
      <c r="E459" s="824" t="s">
        <v>6962</v>
      </c>
      <c r="F459" s="824" t="s">
        <v>6963</v>
      </c>
      <c r="G459" s="108">
        <f t="shared" si="7"/>
        <v>2</v>
      </c>
      <c r="H459" s="826" t="s">
        <v>8764</v>
      </c>
    </row>
    <row r="460" spans="1:8" ht="45.75">
      <c r="A460" s="108" t="s">
        <v>9643</v>
      </c>
      <c r="B460" s="824" t="s">
        <v>6964</v>
      </c>
      <c r="C460" s="824" t="s">
        <v>6965</v>
      </c>
      <c r="D460" s="824" t="s">
        <v>6966</v>
      </c>
      <c r="E460" s="825" t="s">
        <v>6967</v>
      </c>
      <c r="F460" s="824" t="s">
        <v>6968</v>
      </c>
      <c r="G460" s="108">
        <f t="shared" si="7"/>
        <v>3</v>
      </c>
      <c r="H460" s="826" t="s">
        <v>8766</v>
      </c>
    </row>
    <row r="461" spans="1:8" ht="30.75">
      <c r="A461" s="108" t="s">
        <v>9643</v>
      </c>
      <c r="B461" s="824" t="s">
        <v>6969</v>
      </c>
      <c r="C461" s="824" t="s">
        <v>6970</v>
      </c>
      <c r="D461" s="825" t="s">
        <v>6971</v>
      </c>
      <c r="E461" s="824" t="s">
        <v>6972</v>
      </c>
      <c r="F461" s="824" t="s">
        <v>6973</v>
      </c>
      <c r="G461" s="108">
        <f t="shared" si="7"/>
        <v>2</v>
      </c>
      <c r="H461" s="826" t="s">
        <v>8764</v>
      </c>
    </row>
    <row r="462" spans="1:8" ht="30.75">
      <c r="A462" s="108" t="s">
        <v>9643</v>
      </c>
      <c r="B462" s="824" t="s">
        <v>9646</v>
      </c>
      <c r="C462" s="825" t="s">
        <v>7224</v>
      </c>
      <c r="D462" s="824" t="s">
        <v>7223</v>
      </c>
      <c r="E462" s="824" t="s">
        <v>7191</v>
      </c>
      <c r="F462" s="824" t="s">
        <v>7230</v>
      </c>
      <c r="G462" s="108">
        <f t="shared" si="7"/>
        <v>1</v>
      </c>
      <c r="H462" s="826" t="s">
        <v>8761</v>
      </c>
    </row>
    <row r="463" spans="1:8" ht="30">
      <c r="A463" s="108" t="s">
        <v>9643</v>
      </c>
      <c r="B463" s="344" t="s">
        <v>9647</v>
      </c>
      <c r="C463" s="345" t="s">
        <v>9648</v>
      </c>
      <c r="D463" s="346" t="s">
        <v>9649</v>
      </c>
      <c r="E463" s="345" t="s">
        <v>9650</v>
      </c>
      <c r="F463" s="345" t="s">
        <v>8765</v>
      </c>
      <c r="G463" s="108">
        <f t="shared" si="7"/>
        <v>2</v>
      </c>
      <c r="H463" s="345" t="s">
        <v>8764</v>
      </c>
    </row>
    <row r="464" spans="1:8" ht="30">
      <c r="A464" s="108" t="s">
        <v>9643</v>
      </c>
      <c r="B464" s="829" t="s">
        <v>9651</v>
      </c>
      <c r="C464" s="830" t="s">
        <v>7357</v>
      </c>
      <c r="D464" s="831" t="s">
        <v>9652</v>
      </c>
      <c r="E464" s="831" t="s">
        <v>9653</v>
      </c>
      <c r="F464" s="831" t="s">
        <v>9654</v>
      </c>
      <c r="G464" s="108">
        <f t="shared" si="7"/>
        <v>1</v>
      </c>
      <c r="H464" s="832" t="s">
        <v>8761</v>
      </c>
    </row>
    <row r="465" spans="1:8" ht="30">
      <c r="A465" s="108" t="s">
        <v>9643</v>
      </c>
      <c r="B465" s="344" t="s">
        <v>9655</v>
      </c>
      <c r="C465" s="345" t="s">
        <v>9656</v>
      </c>
      <c r="D465" s="345" t="s">
        <v>9657</v>
      </c>
      <c r="E465" s="345" t="s">
        <v>9658</v>
      </c>
      <c r="F465" s="346" t="s">
        <v>9659</v>
      </c>
      <c r="G465" s="108">
        <f t="shared" si="7"/>
        <v>4</v>
      </c>
      <c r="H465" s="345" t="s">
        <v>8763</v>
      </c>
    </row>
    <row r="466" spans="1:8" ht="90">
      <c r="A466" s="108" t="s">
        <v>9643</v>
      </c>
      <c r="B466" s="344" t="s">
        <v>9660</v>
      </c>
      <c r="C466" s="346" t="s">
        <v>9661</v>
      </c>
      <c r="D466" s="346" t="s">
        <v>9662</v>
      </c>
      <c r="E466" s="345" t="s">
        <v>9663</v>
      </c>
      <c r="F466" s="345" t="s">
        <v>9664</v>
      </c>
      <c r="G466" s="108">
        <f t="shared" si="7"/>
        <v>2</v>
      </c>
      <c r="H466" s="345" t="s">
        <v>8764</v>
      </c>
    </row>
    <row r="467" spans="1:8" ht="90">
      <c r="A467" s="108" t="s">
        <v>9643</v>
      </c>
      <c r="B467" s="735" t="s">
        <v>9665</v>
      </c>
      <c r="C467" s="736" t="s">
        <v>9666</v>
      </c>
      <c r="D467" s="736" t="s">
        <v>9667</v>
      </c>
      <c r="E467" s="346" t="s">
        <v>9668</v>
      </c>
      <c r="F467" s="736" t="s">
        <v>9669</v>
      </c>
      <c r="G467" s="108">
        <f t="shared" si="7"/>
        <v>3</v>
      </c>
      <c r="H467" s="736" t="s">
        <v>8766</v>
      </c>
    </row>
    <row r="468" spans="1:8" ht="30">
      <c r="A468" s="108" t="s">
        <v>9643</v>
      </c>
      <c r="B468" s="344" t="s">
        <v>9670</v>
      </c>
      <c r="C468" s="345" t="s">
        <v>9671</v>
      </c>
      <c r="D468" s="345" t="s">
        <v>9672</v>
      </c>
      <c r="E468" s="345" t="s">
        <v>9673</v>
      </c>
      <c r="F468" s="346" t="s">
        <v>9674</v>
      </c>
      <c r="G468" s="108">
        <f t="shared" si="7"/>
        <v>4</v>
      </c>
      <c r="H468" s="345" t="s">
        <v>8763</v>
      </c>
    </row>
    <row r="469" spans="1:8" ht="30">
      <c r="A469" s="108" t="s">
        <v>9643</v>
      </c>
      <c r="B469" s="344" t="s">
        <v>9675</v>
      </c>
      <c r="C469" s="345" t="s">
        <v>9676</v>
      </c>
      <c r="D469" s="346" t="s">
        <v>6937</v>
      </c>
      <c r="E469" s="345" t="s">
        <v>6932</v>
      </c>
      <c r="F469" s="345" t="s">
        <v>9671</v>
      </c>
      <c r="G469" s="108">
        <f t="shared" si="7"/>
        <v>2</v>
      </c>
      <c r="H469" s="345" t="s">
        <v>8764</v>
      </c>
    </row>
    <row r="470" spans="1:8" ht="30">
      <c r="A470" s="108" t="s">
        <v>9643</v>
      </c>
      <c r="B470" s="344" t="s">
        <v>9677</v>
      </c>
      <c r="C470" s="345" t="s">
        <v>6937</v>
      </c>
      <c r="D470" s="345" t="s">
        <v>9673</v>
      </c>
      <c r="E470" s="346" t="s">
        <v>6932</v>
      </c>
      <c r="F470" s="345" t="s">
        <v>9676</v>
      </c>
      <c r="G470" s="108">
        <f t="shared" si="7"/>
        <v>3</v>
      </c>
      <c r="H470" s="345" t="s">
        <v>8766</v>
      </c>
    </row>
    <row r="471" spans="1:8" ht="30">
      <c r="A471" s="108" t="s">
        <v>9643</v>
      </c>
      <c r="B471" s="344" t="s">
        <v>9678</v>
      </c>
      <c r="C471" s="346" t="s">
        <v>6932</v>
      </c>
      <c r="D471" s="345" t="s">
        <v>9673</v>
      </c>
      <c r="E471" s="345" t="s">
        <v>9676</v>
      </c>
      <c r="F471" s="345" t="s">
        <v>6937</v>
      </c>
      <c r="G471" s="108">
        <f t="shared" si="7"/>
        <v>1</v>
      </c>
      <c r="H471" s="345" t="s">
        <v>8761</v>
      </c>
    </row>
    <row r="472" spans="1:8" ht="45">
      <c r="A472" s="108" t="s">
        <v>9643</v>
      </c>
      <c r="B472" s="344" t="s">
        <v>9679</v>
      </c>
      <c r="C472" s="345" t="s">
        <v>9680</v>
      </c>
      <c r="D472" s="345" t="s">
        <v>9681</v>
      </c>
      <c r="E472" s="346" t="s">
        <v>9682</v>
      </c>
      <c r="F472" s="345" t="s">
        <v>9683</v>
      </c>
      <c r="G472" s="108">
        <f t="shared" si="7"/>
        <v>3</v>
      </c>
      <c r="H472" s="345" t="s">
        <v>8766</v>
      </c>
    </row>
    <row r="473" spans="1:8" ht="120">
      <c r="A473" s="108" t="s">
        <v>9643</v>
      </c>
      <c r="B473" s="769" t="s">
        <v>9684</v>
      </c>
      <c r="C473" s="345" t="s">
        <v>9685</v>
      </c>
      <c r="D473" s="345" t="s">
        <v>9686</v>
      </c>
      <c r="E473" s="346" t="s">
        <v>9687</v>
      </c>
      <c r="F473" s="345" t="s">
        <v>9688</v>
      </c>
      <c r="G473" s="108">
        <f t="shared" si="7"/>
        <v>3</v>
      </c>
      <c r="H473" s="345" t="s">
        <v>8766</v>
      </c>
    </row>
    <row r="474" spans="1:8" ht="60">
      <c r="A474" s="108" t="s">
        <v>9643</v>
      </c>
      <c r="B474" s="769" t="s">
        <v>9689</v>
      </c>
      <c r="C474" s="833">
        <v>1.5</v>
      </c>
      <c r="D474" s="345">
        <v>3</v>
      </c>
      <c r="E474" s="345">
        <v>1</v>
      </c>
      <c r="F474" s="346">
        <v>2</v>
      </c>
      <c r="G474" s="108">
        <f t="shared" si="7"/>
        <v>4</v>
      </c>
      <c r="H474" s="345" t="s">
        <v>8763</v>
      </c>
    </row>
    <row r="475" spans="1:8" ht="90">
      <c r="A475" s="108" t="s">
        <v>9643</v>
      </c>
      <c r="B475" s="769" t="s">
        <v>9690</v>
      </c>
      <c r="C475" s="345" t="s">
        <v>9691</v>
      </c>
      <c r="D475" s="345" t="s">
        <v>9692</v>
      </c>
      <c r="E475" s="346" t="s">
        <v>9693</v>
      </c>
      <c r="F475" s="345" t="s">
        <v>9694</v>
      </c>
      <c r="G475" s="108">
        <f t="shared" si="7"/>
        <v>3</v>
      </c>
      <c r="H475" s="345" t="s">
        <v>8766</v>
      </c>
    </row>
    <row r="476" spans="1:8" ht="45">
      <c r="A476" s="108" t="s">
        <v>9643</v>
      </c>
      <c r="B476" s="769" t="s">
        <v>9695</v>
      </c>
      <c r="C476" s="345" t="s">
        <v>9696</v>
      </c>
      <c r="D476" s="345" t="s">
        <v>9697</v>
      </c>
      <c r="E476" s="345" t="s">
        <v>9698</v>
      </c>
      <c r="F476" s="346" t="s">
        <v>9699</v>
      </c>
      <c r="G476" s="108">
        <f t="shared" si="7"/>
        <v>4</v>
      </c>
      <c r="H476" s="345" t="s">
        <v>8763</v>
      </c>
    </row>
    <row r="477" spans="1:8" ht="30">
      <c r="A477" s="108" t="s">
        <v>9643</v>
      </c>
      <c r="B477" s="769" t="s">
        <v>9700</v>
      </c>
      <c r="C477" s="346" t="s">
        <v>9701</v>
      </c>
      <c r="D477" s="345" t="s">
        <v>9653</v>
      </c>
      <c r="E477" s="345" t="s">
        <v>9702</v>
      </c>
      <c r="F477" s="345" t="s">
        <v>9703</v>
      </c>
      <c r="G477" s="108">
        <f t="shared" si="7"/>
        <v>1</v>
      </c>
      <c r="H477" s="345" t="s">
        <v>8761</v>
      </c>
    </row>
    <row r="478" spans="1:8" ht="45">
      <c r="A478" s="108" t="s">
        <v>9643</v>
      </c>
      <c r="B478" s="732" t="s">
        <v>9704</v>
      </c>
      <c r="C478" s="732" t="s">
        <v>9705</v>
      </c>
      <c r="D478" s="732" t="s">
        <v>9706</v>
      </c>
      <c r="E478" s="834" t="s">
        <v>9707</v>
      </c>
      <c r="F478" s="732" t="s">
        <v>9708</v>
      </c>
      <c r="G478" s="108">
        <f t="shared" si="7"/>
        <v>3</v>
      </c>
      <c r="H478" s="835" t="s">
        <v>8766</v>
      </c>
    </row>
    <row r="479" spans="1:8" ht="30">
      <c r="A479" s="108" t="s">
        <v>9643</v>
      </c>
      <c r="B479" s="732" t="s">
        <v>9709</v>
      </c>
      <c r="C479" s="415" t="s">
        <v>9710</v>
      </c>
      <c r="D479" s="732" t="s">
        <v>9711</v>
      </c>
      <c r="E479" s="344" t="s">
        <v>9712</v>
      </c>
      <c r="F479" s="344" t="s">
        <v>9713</v>
      </c>
      <c r="G479" s="108">
        <f t="shared" si="7"/>
        <v>1</v>
      </c>
      <c r="H479" s="345" t="s">
        <v>8761</v>
      </c>
    </row>
    <row r="480" spans="1:8" ht="60">
      <c r="A480" s="108" t="s">
        <v>9643</v>
      </c>
      <c r="B480" s="732" t="s">
        <v>9714</v>
      </c>
      <c r="C480" s="732" t="s">
        <v>9715</v>
      </c>
      <c r="D480" s="344" t="s">
        <v>9716</v>
      </c>
      <c r="E480" s="415" t="s">
        <v>9717</v>
      </c>
      <c r="F480" s="344" t="s">
        <v>9718</v>
      </c>
      <c r="G480" s="108">
        <f t="shared" si="7"/>
        <v>3</v>
      </c>
      <c r="H480" s="345" t="s">
        <v>8766</v>
      </c>
    </row>
    <row r="481" spans="1:8" ht="45">
      <c r="A481" s="108" t="s">
        <v>9643</v>
      </c>
      <c r="B481" s="344" t="s">
        <v>9719</v>
      </c>
      <c r="C481" s="344" t="s">
        <v>9720</v>
      </c>
      <c r="D481" s="344" t="s">
        <v>9721</v>
      </c>
      <c r="E481" s="344" t="s">
        <v>9722</v>
      </c>
      <c r="F481" s="415" t="s">
        <v>9723</v>
      </c>
      <c r="G481" s="108">
        <f t="shared" si="7"/>
        <v>4</v>
      </c>
      <c r="H481" s="345" t="s">
        <v>8763</v>
      </c>
    </row>
    <row r="482" spans="1:8" ht="30.75">
      <c r="A482" s="108" t="s">
        <v>9643</v>
      </c>
      <c r="B482" s="836" t="s">
        <v>9724</v>
      </c>
      <c r="C482" s="836" t="s">
        <v>9725</v>
      </c>
      <c r="D482" s="345" t="s">
        <v>9726</v>
      </c>
      <c r="E482" s="346" t="s">
        <v>9727</v>
      </c>
      <c r="F482" s="345" t="s">
        <v>9728</v>
      </c>
      <c r="G482" s="108">
        <f t="shared" si="7"/>
        <v>3</v>
      </c>
      <c r="H482" s="345" t="s">
        <v>8766</v>
      </c>
    </row>
    <row r="483" spans="1:8" ht="30.75">
      <c r="A483" s="108" t="s">
        <v>9643</v>
      </c>
      <c r="B483" s="824" t="s">
        <v>9729</v>
      </c>
      <c r="C483" s="837" t="s">
        <v>9730</v>
      </c>
      <c r="D483" s="345" t="s">
        <v>9731</v>
      </c>
      <c r="E483" s="345" t="s">
        <v>9732</v>
      </c>
      <c r="F483" s="345" t="s">
        <v>9733</v>
      </c>
      <c r="G483" s="108">
        <f t="shared" si="7"/>
        <v>1</v>
      </c>
      <c r="H483" s="345" t="s">
        <v>8761</v>
      </c>
    </row>
    <row r="484" spans="1:8" ht="30.75">
      <c r="A484" s="108" t="s">
        <v>9643</v>
      </c>
      <c r="B484" s="836" t="s">
        <v>9734</v>
      </c>
      <c r="C484" s="836" t="s">
        <v>9735</v>
      </c>
      <c r="D484" s="345" t="s">
        <v>9736</v>
      </c>
      <c r="E484" s="345" t="s">
        <v>9737</v>
      </c>
      <c r="F484" s="346" t="s">
        <v>9738</v>
      </c>
      <c r="G484" s="108">
        <f t="shared" si="7"/>
        <v>4</v>
      </c>
      <c r="H484" s="345" t="s">
        <v>8763</v>
      </c>
    </row>
    <row r="485" spans="1:8" ht="30">
      <c r="A485" s="108" t="s">
        <v>9643</v>
      </c>
      <c r="B485" s="344" t="s">
        <v>9739</v>
      </c>
      <c r="C485" s="838" t="s">
        <v>9740</v>
      </c>
      <c r="D485" s="733" t="s">
        <v>9741</v>
      </c>
      <c r="E485" s="346" t="s">
        <v>9742</v>
      </c>
      <c r="F485" s="345" t="s">
        <v>9743</v>
      </c>
      <c r="G485" s="108">
        <f t="shared" si="7"/>
        <v>3</v>
      </c>
      <c r="H485" s="345" t="s">
        <v>8766</v>
      </c>
    </row>
    <row r="486" spans="1:8" ht="30.75">
      <c r="A486" s="108" t="s">
        <v>9643</v>
      </c>
      <c r="B486" s="735" t="s">
        <v>9744</v>
      </c>
      <c r="C486" s="736" t="s">
        <v>9745</v>
      </c>
      <c r="D486" s="825" t="s">
        <v>9746</v>
      </c>
      <c r="E486" s="736" t="s">
        <v>9747</v>
      </c>
      <c r="F486" s="736" t="s">
        <v>9748</v>
      </c>
      <c r="G486" s="108">
        <f t="shared" si="7"/>
        <v>2</v>
      </c>
      <c r="H486" s="736" t="s">
        <v>8764</v>
      </c>
    </row>
    <row r="487" spans="1:8" ht="45">
      <c r="A487" s="108" t="s">
        <v>9643</v>
      </c>
      <c r="B487" s="839" t="s">
        <v>9749</v>
      </c>
      <c r="C487" s="735" t="s">
        <v>9750</v>
      </c>
      <c r="D487" s="839" t="s">
        <v>9751</v>
      </c>
      <c r="E487" s="735" t="s">
        <v>9752</v>
      </c>
      <c r="F487" s="415" t="s">
        <v>9753</v>
      </c>
      <c r="G487" s="108">
        <f t="shared" si="7"/>
        <v>4</v>
      </c>
      <c r="H487" s="736" t="s">
        <v>8763</v>
      </c>
    </row>
    <row r="488" spans="1:8" ht="30">
      <c r="A488" s="108" t="s">
        <v>448</v>
      </c>
      <c r="B488" s="840" t="s">
        <v>9754</v>
      </c>
      <c r="C488" s="841" t="s">
        <v>7103</v>
      </c>
      <c r="D488" s="842" t="s">
        <v>7104</v>
      </c>
      <c r="E488" s="841" t="s">
        <v>7105</v>
      </c>
      <c r="F488" s="841" t="s">
        <v>8765</v>
      </c>
      <c r="G488" s="108">
        <f t="shared" si="7"/>
        <v>2</v>
      </c>
      <c r="H488" s="832" t="s">
        <v>8764</v>
      </c>
    </row>
    <row r="489" spans="1:8" ht="30">
      <c r="A489" s="108" t="s">
        <v>448</v>
      </c>
      <c r="B489" s="502" t="s">
        <v>9755</v>
      </c>
      <c r="C489" s="502" t="s">
        <v>7107</v>
      </c>
      <c r="D489" s="502" t="s">
        <v>7108</v>
      </c>
      <c r="E489" s="107" t="s">
        <v>702</v>
      </c>
      <c r="F489" s="841" t="s">
        <v>8765</v>
      </c>
      <c r="G489" s="108">
        <f t="shared" si="7"/>
        <v>3</v>
      </c>
      <c r="H489" s="843" t="s">
        <v>8766</v>
      </c>
    </row>
    <row r="490" spans="1:8" ht="30">
      <c r="A490" s="108" t="s">
        <v>448</v>
      </c>
      <c r="B490" s="844" t="s">
        <v>9756</v>
      </c>
      <c r="C490" s="845" t="s">
        <v>7110</v>
      </c>
      <c r="D490" s="846" t="s">
        <v>7111</v>
      </c>
      <c r="E490" s="847">
        <v>1</v>
      </c>
      <c r="F490" s="847">
        <v>1.5</v>
      </c>
      <c r="G490" s="108">
        <f t="shared" si="7"/>
        <v>2</v>
      </c>
      <c r="H490" s="848" t="s">
        <v>8764</v>
      </c>
    </row>
    <row r="491" spans="1:8" ht="30">
      <c r="A491" s="108" t="s">
        <v>448</v>
      </c>
      <c r="B491" s="844" t="s">
        <v>9757</v>
      </c>
      <c r="C491" s="845" t="s">
        <v>7113</v>
      </c>
      <c r="D491" s="845" t="s">
        <v>7114</v>
      </c>
      <c r="E491" s="846" t="s">
        <v>9758</v>
      </c>
      <c r="F491" s="845" t="s">
        <v>61</v>
      </c>
      <c r="G491" s="108">
        <f t="shared" si="7"/>
        <v>3</v>
      </c>
      <c r="H491" s="848" t="s">
        <v>8766</v>
      </c>
    </row>
    <row r="492" spans="1:8" ht="30">
      <c r="A492" s="108" t="s">
        <v>448</v>
      </c>
      <c r="B492" s="502" t="s">
        <v>9759</v>
      </c>
      <c r="C492" s="107" t="s">
        <v>7116</v>
      </c>
      <c r="D492" s="502" t="s">
        <v>7117</v>
      </c>
      <c r="E492" s="502" t="s">
        <v>7118</v>
      </c>
      <c r="F492" s="502" t="s">
        <v>7119</v>
      </c>
      <c r="G492" s="108">
        <f t="shared" si="7"/>
        <v>1</v>
      </c>
      <c r="H492" s="843" t="s">
        <v>8761</v>
      </c>
    </row>
    <row r="493" spans="1:8">
      <c r="A493" s="108" t="s">
        <v>448</v>
      </c>
      <c r="B493" s="502" t="s">
        <v>9760</v>
      </c>
      <c r="C493" s="502" t="s">
        <v>7121</v>
      </c>
      <c r="D493" s="107" t="s">
        <v>7122</v>
      </c>
      <c r="E493" s="502" t="s">
        <v>7123</v>
      </c>
      <c r="F493" s="841" t="s">
        <v>8765</v>
      </c>
      <c r="G493" s="108">
        <f t="shared" si="7"/>
        <v>2</v>
      </c>
      <c r="H493" s="843" t="s">
        <v>8764</v>
      </c>
    </row>
    <row r="494" spans="1:8">
      <c r="A494" s="108" t="s">
        <v>448</v>
      </c>
      <c r="B494" s="502" t="s">
        <v>9761</v>
      </c>
      <c r="C494" s="502" t="s">
        <v>7125</v>
      </c>
      <c r="D494" s="107" t="s">
        <v>7126</v>
      </c>
      <c r="E494" s="502" t="s">
        <v>702</v>
      </c>
      <c r="F494" s="841" t="s">
        <v>8765</v>
      </c>
      <c r="G494" s="108">
        <f t="shared" si="7"/>
        <v>2</v>
      </c>
      <c r="H494" s="843" t="s">
        <v>8764</v>
      </c>
    </row>
    <row r="495" spans="1:8" ht="60">
      <c r="A495" s="108" t="s">
        <v>448</v>
      </c>
      <c r="B495" s="844" t="s">
        <v>9762</v>
      </c>
      <c r="C495" s="845" t="s">
        <v>7128</v>
      </c>
      <c r="D495" s="845" t="s">
        <v>7129</v>
      </c>
      <c r="E495" s="845" t="s">
        <v>9763</v>
      </c>
      <c r="F495" s="846" t="s">
        <v>9764</v>
      </c>
      <c r="G495" s="108">
        <f t="shared" si="7"/>
        <v>4</v>
      </c>
      <c r="H495" s="848" t="s">
        <v>8763</v>
      </c>
    </row>
    <row r="496" spans="1:8">
      <c r="A496" s="108" t="s">
        <v>448</v>
      </c>
      <c r="B496" s="502" t="s">
        <v>9765</v>
      </c>
      <c r="C496" s="502" t="s">
        <v>7131</v>
      </c>
      <c r="D496" s="502" t="s">
        <v>7132</v>
      </c>
      <c r="E496" s="107" t="s">
        <v>7133</v>
      </c>
      <c r="F496" s="502" t="s">
        <v>7134</v>
      </c>
      <c r="G496" s="108">
        <f t="shared" si="7"/>
        <v>3</v>
      </c>
      <c r="H496" s="843" t="s">
        <v>8766</v>
      </c>
    </row>
    <row r="497" spans="1:8" ht="30">
      <c r="A497" s="108" t="s">
        <v>448</v>
      </c>
      <c r="B497" s="844" t="s">
        <v>9766</v>
      </c>
      <c r="C497" s="846" t="s">
        <v>7136</v>
      </c>
      <c r="D497" s="845" t="s">
        <v>7137</v>
      </c>
      <c r="E497" s="845" t="s">
        <v>9767</v>
      </c>
      <c r="F497" s="845" t="s">
        <v>8765</v>
      </c>
      <c r="G497" s="108">
        <f t="shared" si="7"/>
        <v>1</v>
      </c>
      <c r="H497" s="848" t="s">
        <v>8761</v>
      </c>
    </row>
    <row r="498" spans="1:8">
      <c r="A498" s="108" t="s">
        <v>448</v>
      </c>
      <c r="B498" s="502" t="s">
        <v>9768</v>
      </c>
      <c r="C498" s="107" t="s">
        <v>7139</v>
      </c>
      <c r="D498" s="502" t="s">
        <v>9769</v>
      </c>
      <c r="E498" s="502" t="s">
        <v>7141</v>
      </c>
      <c r="F498" s="502" t="s">
        <v>7142</v>
      </c>
      <c r="G498" s="108">
        <f t="shared" si="7"/>
        <v>1</v>
      </c>
      <c r="H498" s="843" t="s">
        <v>8761</v>
      </c>
    </row>
    <row r="499" spans="1:8" ht="30">
      <c r="A499" s="108" t="s">
        <v>448</v>
      </c>
      <c r="B499" s="502" t="s">
        <v>9770</v>
      </c>
      <c r="C499" s="502" t="s">
        <v>7144</v>
      </c>
      <c r="D499" s="107" t="s">
        <v>7145</v>
      </c>
      <c r="E499" s="502" t="s">
        <v>7146</v>
      </c>
      <c r="F499" s="841" t="s">
        <v>8765</v>
      </c>
      <c r="G499" s="108">
        <f t="shared" si="7"/>
        <v>2</v>
      </c>
      <c r="H499" s="843" t="s">
        <v>8764</v>
      </c>
    </row>
    <row r="500" spans="1:8">
      <c r="A500" s="108" t="s">
        <v>448</v>
      </c>
      <c r="B500" s="502" t="s">
        <v>9771</v>
      </c>
      <c r="C500" s="502" t="s">
        <v>7148</v>
      </c>
      <c r="D500" s="502" t="s">
        <v>7149</v>
      </c>
      <c r="E500" s="107" t="s">
        <v>702</v>
      </c>
      <c r="F500" s="841" t="s">
        <v>8765</v>
      </c>
      <c r="G500" s="108">
        <f t="shared" si="7"/>
        <v>3</v>
      </c>
      <c r="H500" s="843" t="s">
        <v>8766</v>
      </c>
    </row>
    <row r="501" spans="1:8">
      <c r="A501" s="108" t="s">
        <v>448</v>
      </c>
      <c r="B501" s="331" t="s">
        <v>9772</v>
      </c>
      <c r="C501" s="113" t="s">
        <v>9773</v>
      </c>
      <c r="D501" s="113" t="s">
        <v>9774</v>
      </c>
      <c r="E501" s="115" t="s">
        <v>9775</v>
      </c>
      <c r="F501" s="113" t="s">
        <v>9776</v>
      </c>
      <c r="G501" s="108">
        <f t="shared" si="7"/>
        <v>3</v>
      </c>
      <c r="H501" s="98" t="s">
        <v>8766</v>
      </c>
    </row>
    <row r="502" spans="1:8" ht="30">
      <c r="A502" s="108" t="s">
        <v>448</v>
      </c>
      <c r="B502" s="331" t="s">
        <v>9777</v>
      </c>
      <c r="C502" s="113" t="s">
        <v>9773</v>
      </c>
      <c r="D502" s="113" t="s">
        <v>9774</v>
      </c>
      <c r="E502" s="113" t="s">
        <v>9775</v>
      </c>
      <c r="F502" s="115" t="s">
        <v>9776</v>
      </c>
      <c r="G502" s="108">
        <f t="shared" si="7"/>
        <v>4</v>
      </c>
      <c r="H502" s="98" t="s">
        <v>8763</v>
      </c>
    </row>
    <row r="503" spans="1:8">
      <c r="A503" s="108" t="s">
        <v>448</v>
      </c>
      <c r="B503" s="331" t="s">
        <v>9778</v>
      </c>
      <c r="C503" s="113" t="s">
        <v>9773</v>
      </c>
      <c r="D503" s="113" t="s">
        <v>9774</v>
      </c>
      <c r="E503" s="115" t="s">
        <v>9775</v>
      </c>
      <c r="F503" s="113" t="s">
        <v>9776</v>
      </c>
      <c r="G503" s="108">
        <f t="shared" si="7"/>
        <v>3</v>
      </c>
      <c r="H503" s="98" t="s">
        <v>8766</v>
      </c>
    </row>
    <row r="504" spans="1:8" ht="30">
      <c r="A504" s="108" t="s">
        <v>448</v>
      </c>
      <c r="B504" s="331" t="s">
        <v>9779</v>
      </c>
      <c r="C504" s="113" t="s">
        <v>9780</v>
      </c>
      <c r="D504" s="113" t="s">
        <v>9781</v>
      </c>
      <c r="E504" s="115" t="s">
        <v>9782</v>
      </c>
      <c r="F504" s="113" t="s">
        <v>9783</v>
      </c>
      <c r="G504" s="108">
        <f t="shared" si="7"/>
        <v>3</v>
      </c>
      <c r="H504" s="98" t="s">
        <v>8766</v>
      </c>
    </row>
    <row r="505" spans="1:8" ht="30">
      <c r="A505" s="108" t="s">
        <v>448</v>
      </c>
      <c r="B505" s="331" t="s">
        <v>9784</v>
      </c>
      <c r="C505" s="113" t="s">
        <v>9780</v>
      </c>
      <c r="D505" s="115" t="s">
        <v>9781</v>
      </c>
      <c r="E505" s="113" t="s">
        <v>9782</v>
      </c>
      <c r="F505" s="113" t="s">
        <v>9783</v>
      </c>
      <c r="G505" s="108">
        <f t="shared" si="7"/>
        <v>2</v>
      </c>
      <c r="H505" s="98" t="s">
        <v>8764</v>
      </c>
    </row>
    <row r="506" spans="1:8" ht="30">
      <c r="A506" s="108" t="s">
        <v>448</v>
      </c>
      <c r="B506" s="331" t="s">
        <v>9785</v>
      </c>
      <c r="C506" s="113" t="s">
        <v>9780</v>
      </c>
      <c r="D506" s="113" t="s">
        <v>9781</v>
      </c>
      <c r="E506" s="113" t="s">
        <v>9782</v>
      </c>
      <c r="F506" s="115" t="s">
        <v>9783</v>
      </c>
      <c r="G506" s="108">
        <f t="shared" si="7"/>
        <v>4</v>
      </c>
      <c r="H506" s="98" t="s">
        <v>8763</v>
      </c>
    </row>
    <row r="507" spans="1:8" ht="30">
      <c r="A507" s="108" t="s">
        <v>448</v>
      </c>
      <c r="B507" s="331" t="s">
        <v>9786</v>
      </c>
      <c r="C507" s="115" t="s">
        <v>9780</v>
      </c>
      <c r="D507" s="113" t="s">
        <v>9781</v>
      </c>
      <c r="E507" s="113" t="s">
        <v>9782</v>
      </c>
      <c r="F507" s="113" t="s">
        <v>9783</v>
      </c>
      <c r="G507" s="108">
        <f t="shared" si="7"/>
        <v>1</v>
      </c>
      <c r="H507" s="98" t="s">
        <v>8761</v>
      </c>
    </row>
    <row r="508" spans="1:8" ht="30">
      <c r="A508" s="108" t="s">
        <v>448</v>
      </c>
      <c r="B508" s="331" t="s">
        <v>9787</v>
      </c>
      <c r="C508" s="113" t="s">
        <v>9788</v>
      </c>
      <c r="D508" s="115" t="s">
        <v>9789</v>
      </c>
      <c r="E508" s="113" t="s">
        <v>9790</v>
      </c>
      <c r="F508" s="841" t="s">
        <v>8765</v>
      </c>
      <c r="G508" s="108">
        <f t="shared" si="7"/>
        <v>2</v>
      </c>
      <c r="H508" s="98" t="s">
        <v>8764</v>
      </c>
    </row>
    <row r="509" spans="1:8" ht="30">
      <c r="A509" s="108" t="s">
        <v>448</v>
      </c>
      <c r="B509" s="331" t="s">
        <v>9791</v>
      </c>
      <c r="C509" s="115" t="s">
        <v>9792</v>
      </c>
      <c r="D509" s="113" t="s">
        <v>9793</v>
      </c>
      <c r="E509" s="113" t="s">
        <v>9794</v>
      </c>
      <c r="F509" s="113" t="s">
        <v>1869</v>
      </c>
      <c r="G509" s="108">
        <f t="shared" si="7"/>
        <v>1</v>
      </c>
      <c r="H509" s="98" t="s">
        <v>8761</v>
      </c>
    </row>
    <row r="510" spans="1:8" ht="30">
      <c r="A510" s="108" t="s">
        <v>448</v>
      </c>
      <c r="B510" s="331" t="s">
        <v>9795</v>
      </c>
      <c r="C510" s="113" t="s">
        <v>9796</v>
      </c>
      <c r="D510" s="115" t="s">
        <v>9797</v>
      </c>
      <c r="E510" s="113" t="s">
        <v>9798</v>
      </c>
      <c r="F510" s="841" t="s">
        <v>8765</v>
      </c>
      <c r="G510" s="108">
        <f t="shared" si="7"/>
        <v>2</v>
      </c>
      <c r="H510" s="98" t="s">
        <v>8764</v>
      </c>
    </row>
    <row r="511" spans="1:8">
      <c r="A511" s="108" t="s">
        <v>448</v>
      </c>
      <c r="B511" s="331" t="s">
        <v>9799</v>
      </c>
      <c r="C511" s="113" t="s">
        <v>9800</v>
      </c>
      <c r="D511" s="113" t="s">
        <v>9801</v>
      </c>
      <c r="E511" s="115" t="s">
        <v>9802</v>
      </c>
      <c r="F511" s="113" t="s">
        <v>4071</v>
      </c>
      <c r="G511" s="108">
        <f t="shared" si="7"/>
        <v>3</v>
      </c>
      <c r="H511" s="98" t="s">
        <v>8766</v>
      </c>
    </row>
    <row r="512" spans="1:8">
      <c r="A512" s="108" t="s">
        <v>448</v>
      </c>
      <c r="B512" s="331" t="s">
        <v>9803</v>
      </c>
      <c r="C512" s="113" t="s">
        <v>9804</v>
      </c>
      <c r="D512" s="115" t="s">
        <v>9805</v>
      </c>
      <c r="E512" s="113" t="s">
        <v>9806</v>
      </c>
      <c r="F512" s="113" t="s">
        <v>9807</v>
      </c>
      <c r="G512" s="108">
        <f t="shared" si="7"/>
        <v>2</v>
      </c>
      <c r="H512" s="98" t="s">
        <v>8764</v>
      </c>
    </row>
    <row r="513" spans="1:8" ht="30">
      <c r="A513" s="108" t="s">
        <v>448</v>
      </c>
      <c r="B513" s="331" t="s">
        <v>9808</v>
      </c>
      <c r="C513" s="849" t="s">
        <v>9809</v>
      </c>
      <c r="D513" s="849" t="s">
        <v>9810</v>
      </c>
      <c r="E513" s="850" t="s">
        <v>9811</v>
      </c>
      <c r="F513" s="849" t="s">
        <v>9812</v>
      </c>
      <c r="G513" s="108">
        <f t="shared" si="7"/>
        <v>3</v>
      </c>
      <c r="H513" s="98" t="s">
        <v>8766</v>
      </c>
    </row>
    <row r="514" spans="1:8">
      <c r="A514" s="108" t="s">
        <v>448</v>
      </c>
      <c r="B514" s="331" t="s">
        <v>9813</v>
      </c>
      <c r="C514" s="113" t="s">
        <v>9814</v>
      </c>
      <c r="D514" s="115" t="s">
        <v>9815</v>
      </c>
      <c r="E514" s="113" t="s">
        <v>9816</v>
      </c>
      <c r="F514" s="113" t="s">
        <v>9817</v>
      </c>
      <c r="G514" s="108">
        <f t="shared" si="7"/>
        <v>2</v>
      </c>
      <c r="H514" s="98" t="s">
        <v>8764</v>
      </c>
    </row>
    <row r="515" spans="1:8">
      <c r="A515" s="108" t="s">
        <v>448</v>
      </c>
      <c r="B515" s="331" t="s">
        <v>9818</v>
      </c>
      <c r="C515" s="113" t="s">
        <v>9814</v>
      </c>
      <c r="D515" s="113" t="s">
        <v>9815</v>
      </c>
      <c r="E515" s="115" t="s">
        <v>9816</v>
      </c>
      <c r="F515" s="113" t="s">
        <v>9817</v>
      </c>
      <c r="G515" s="108">
        <f t="shared" ref="G515:G578" si="8">IF(H515="A",1,IF(H515="B",2,IF(H515="C",3,IF(H515="D",4,0))))</f>
        <v>3</v>
      </c>
      <c r="H515" s="98" t="s">
        <v>8766</v>
      </c>
    </row>
    <row r="516" spans="1:8" ht="45">
      <c r="A516" s="108" t="s">
        <v>448</v>
      </c>
      <c r="B516" s="331" t="s">
        <v>9819</v>
      </c>
      <c r="C516" s="113" t="s">
        <v>9820</v>
      </c>
      <c r="D516" s="113" t="s">
        <v>9821</v>
      </c>
      <c r="E516" s="115" t="s">
        <v>9822</v>
      </c>
      <c r="F516" s="113" t="s">
        <v>1869</v>
      </c>
      <c r="G516" s="108">
        <f t="shared" si="8"/>
        <v>3</v>
      </c>
      <c r="H516" s="98" t="s">
        <v>8766</v>
      </c>
    </row>
    <row r="517" spans="1:8" ht="90">
      <c r="A517" s="108" t="s">
        <v>448</v>
      </c>
      <c r="B517" s="851" t="s">
        <v>9823</v>
      </c>
      <c r="C517" s="852" t="s">
        <v>9824</v>
      </c>
      <c r="D517" s="846" t="s">
        <v>9825</v>
      </c>
      <c r="E517" s="853" t="s">
        <v>9826</v>
      </c>
      <c r="F517" s="845" t="s">
        <v>8765</v>
      </c>
      <c r="G517" s="108">
        <f t="shared" si="8"/>
        <v>2</v>
      </c>
      <c r="H517" s="854" t="s">
        <v>8764</v>
      </c>
    </row>
    <row r="518" spans="1:8" ht="75">
      <c r="A518" s="108" t="s">
        <v>448</v>
      </c>
      <c r="B518" s="331" t="s">
        <v>9827</v>
      </c>
      <c r="C518" s="115" t="s">
        <v>9824</v>
      </c>
      <c r="D518" s="113" t="s">
        <v>9825</v>
      </c>
      <c r="E518" s="113" t="s">
        <v>702</v>
      </c>
      <c r="F518" s="841" t="s">
        <v>8765</v>
      </c>
      <c r="G518" s="108">
        <f t="shared" si="8"/>
        <v>1</v>
      </c>
      <c r="H518" s="98" t="s">
        <v>8761</v>
      </c>
    </row>
    <row r="519" spans="1:8" ht="30">
      <c r="A519" s="108" t="s">
        <v>9828</v>
      </c>
      <c r="B519" s="502" t="s">
        <v>9829</v>
      </c>
      <c r="C519" s="502" t="s">
        <v>9830</v>
      </c>
      <c r="D519" s="107" t="s">
        <v>9831</v>
      </c>
      <c r="E519" s="502" t="s">
        <v>9832</v>
      </c>
      <c r="F519" s="502" t="s">
        <v>9833</v>
      </c>
      <c r="G519" s="108">
        <f t="shared" si="8"/>
        <v>2</v>
      </c>
      <c r="H519" s="855" t="s">
        <v>8764</v>
      </c>
    </row>
    <row r="520" spans="1:8" ht="30">
      <c r="A520" s="108" t="s">
        <v>9828</v>
      </c>
      <c r="B520" s="502" t="s">
        <v>9834</v>
      </c>
      <c r="C520" s="856">
        <v>1.2</v>
      </c>
      <c r="D520" s="856">
        <v>0.35</v>
      </c>
      <c r="E520" s="157">
        <v>0.6</v>
      </c>
      <c r="F520" s="856">
        <v>0.95</v>
      </c>
      <c r="G520" s="108">
        <f t="shared" si="8"/>
        <v>3</v>
      </c>
      <c r="H520" s="855" t="s">
        <v>8766</v>
      </c>
    </row>
    <row r="521" spans="1:8" ht="30">
      <c r="A521" s="108" t="s">
        <v>9828</v>
      </c>
      <c r="B521" s="683" t="s">
        <v>9835</v>
      </c>
      <c r="C521" s="683" t="s">
        <v>9836</v>
      </c>
      <c r="D521" s="107" t="s">
        <v>9837</v>
      </c>
      <c r="E521" s="683" t="s">
        <v>9838</v>
      </c>
      <c r="F521" s="683" t="s">
        <v>9839</v>
      </c>
      <c r="G521" s="108">
        <f t="shared" si="8"/>
        <v>2</v>
      </c>
      <c r="H521" s="855" t="s">
        <v>8764</v>
      </c>
    </row>
    <row r="522" spans="1:8" ht="30">
      <c r="A522" s="108" t="s">
        <v>9828</v>
      </c>
      <c r="B522" s="502" t="s">
        <v>9840</v>
      </c>
      <c r="C522" s="107" t="s">
        <v>9841</v>
      </c>
      <c r="D522" s="502" t="s">
        <v>9842</v>
      </c>
      <c r="E522" s="502" t="s">
        <v>9843</v>
      </c>
      <c r="F522" s="502" t="s">
        <v>9844</v>
      </c>
      <c r="G522" s="108">
        <f t="shared" si="8"/>
        <v>1</v>
      </c>
      <c r="H522" s="855" t="s">
        <v>8761</v>
      </c>
    </row>
    <row r="523" spans="1:8" ht="45">
      <c r="A523" s="108" t="s">
        <v>9828</v>
      </c>
      <c r="B523" s="502" t="s">
        <v>9845</v>
      </c>
      <c r="C523" s="502" t="s">
        <v>9846</v>
      </c>
      <c r="D523" s="502" t="s">
        <v>9847</v>
      </c>
      <c r="E523" s="502" t="s">
        <v>9848</v>
      </c>
      <c r="F523" s="107" t="s">
        <v>9849</v>
      </c>
      <c r="G523" s="108">
        <f t="shared" si="8"/>
        <v>4</v>
      </c>
      <c r="H523" s="855" t="s">
        <v>8763</v>
      </c>
    </row>
    <row r="524" spans="1:8" ht="30">
      <c r="A524" s="108" t="s">
        <v>9828</v>
      </c>
      <c r="B524" s="502" t="s">
        <v>9850</v>
      </c>
      <c r="C524" s="502" t="s">
        <v>9830</v>
      </c>
      <c r="D524" s="502" t="s">
        <v>9851</v>
      </c>
      <c r="E524" s="107" t="s">
        <v>9852</v>
      </c>
      <c r="F524" s="502" t="s">
        <v>9833</v>
      </c>
      <c r="G524" s="108">
        <f t="shared" si="8"/>
        <v>3</v>
      </c>
      <c r="H524" s="855" t="s">
        <v>8766</v>
      </c>
    </row>
    <row r="525" spans="1:8" ht="30">
      <c r="A525" s="108" t="s">
        <v>9828</v>
      </c>
      <c r="B525" s="502" t="s">
        <v>9853</v>
      </c>
      <c r="C525" s="107" t="s">
        <v>9854</v>
      </c>
      <c r="D525" s="502" t="s">
        <v>9855</v>
      </c>
      <c r="E525" s="502" t="s">
        <v>9856</v>
      </c>
      <c r="F525" s="502" t="s">
        <v>9857</v>
      </c>
      <c r="G525" s="108">
        <f t="shared" si="8"/>
        <v>1</v>
      </c>
      <c r="H525" s="855" t="s">
        <v>8761</v>
      </c>
    </row>
    <row r="526" spans="1:8" ht="30">
      <c r="A526" s="108" t="s">
        <v>9828</v>
      </c>
      <c r="B526" s="502" t="s">
        <v>9858</v>
      </c>
      <c r="C526" s="107" t="s">
        <v>9859</v>
      </c>
      <c r="D526" s="502" t="s">
        <v>9860</v>
      </c>
      <c r="E526" s="502" t="s">
        <v>9861</v>
      </c>
      <c r="F526" s="502" t="s">
        <v>468</v>
      </c>
      <c r="G526" s="108">
        <f t="shared" si="8"/>
        <v>1</v>
      </c>
      <c r="H526" s="855" t="s">
        <v>8761</v>
      </c>
    </row>
    <row r="527" spans="1:8" ht="30">
      <c r="A527" s="108" t="s">
        <v>9828</v>
      </c>
      <c r="B527" s="502" t="s">
        <v>9862</v>
      </c>
      <c r="C527" s="502" t="s">
        <v>9863</v>
      </c>
      <c r="D527" s="107" t="s">
        <v>9864</v>
      </c>
      <c r="E527" s="502" t="s">
        <v>702</v>
      </c>
      <c r="F527" s="502" t="s">
        <v>468</v>
      </c>
      <c r="G527" s="108">
        <f t="shared" si="8"/>
        <v>2</v>
      </c>
      <c r="H527" s="855" t="s">
        <v>8764</v>
      </c>
    </row>
    <row r="528" spans="1:8" ht="45">
      <c r="A528" s="108" t="s">
        <v>9828</v>
      </c>
      <c r="B528" s="502" t="s">
        <v>9865</v>
      </c>
      <c r="C528" s="502" t="s">
        <v>9866</v>
      </c>
      <c r="D528" s="502" t="s">
        <v>9867</v>
      </c>
      <c r="E528" s="107" t="s">
        <v>9868</v>
      </c>
      <c r="F528" s="502" t="s">
        <v>468</v>
      </c>
      <c r="G528" s="108">
        <f t="shared" si="8"/>
        <v>3</v>
      </c>
      <c r="H528" s="855" t="s">
        <v>8766</v>
      </c>
    </row>
    <row r="529" spans="1:8" ht="60">
      <c r="A529" s="108" t="s">
        <v>9828</v>
      </c>
      <c r="B529" s="502" t="s">
        <v>9869</v>
      </c>
      <c r="C529" s="502" t="s">
        <v>9870</v>
      </c>
      <c r="D529" s="502" t="s">
        <v>9871</v>
      </c>
      <c r="E529" s="502" t="s">
        <v>9872</v>
      </c>
      <c r="F529" s="107" t="s">
        <v>9873</v>
      </c>
      <c r="G529" s="108">
        <f t="shared" si="8"/>
        <v>4</v>
      </c>
      <c r="H529" s="855" t="s">
        <v>8763</v>
      </c>
    </row>
    <row r="530" spans="1:8" ht="30">
      <c r="A530" s="108" t="s">
        <v>9828</v>
      </c>
      <c r="B530" s="502" t="s">
        <v>9874</v>
      </c>
      <c r="C530" s="107" t="s">
        <v>9875</v>
      </c>
      <c r="D530" s="502" t="s">
        <v>9876</v>
      </c>
      <c r="E530" s="502" t="s">
        <v>9877</v>
      </c>
      <c r="F530" s="502" t="s">
        <v>9878</v>
      </c>
      <c r="G530" s="108">
        <f t="shared" si="8"/>
        <v>1</v>
      </c>
      <c r="H530" s="855" t="s">
        <v>8761</v>
      </c>
    </row>
    <row r="531" spans="1:8" ht="30">
      <c r="A531" s="108" t="s">
        <v>9828</v>
      </c>
      <c r="B531" s="502" t="s">
        <v>9879</v>
      </c>
      <c r="C531" s="502" t="s">
        <v>9880</v>
      </c>
      <c r="D531" s="502" t="s">
        <v>9881</v>
      </c>
      <c r="E531" s="107" t="s">
        <v>9882</v>
      </c>
      <c r="F531" s="502" t="s">
        <v>468</v>
      </c>
      <c r="G531" s="108">
        <f t="shared" si="8"/>
        <v>3</v>
      </c>
      <c r="H531" s="855" t="s">
        <v>8766</v>
      </c>
    </row>
    <row r="532" spans="1:8" ht="45">
      <c r="A532" s="108" t="s">
        <v>9828</v>
      </c>
      <c r="B532" s="683" t="s">
        <v>9883</v>
      </c>
      <c r="C532" s="107" t="s">
        <v>9884</v>
      </c>
      <c r="D532" s="683" t="s">
        <v>9885</v>
      </c>
      <c r="E532" s="683" t="s">
        <v>9886</v>
      </c>
      <c r="F532" s="683" t="s">
        <v>468</v>
      </c>
      <c r="G532" s="108">
        <f t="shared" si="8"/>
        <v>1</v>
      </c>
      <c r="H532" s="855" t="s">
        <v>8761</v>
      </c>
    </row>
    <row r="533" spans="1:8" ht="45">
      <c r="A533" s="108" t="s">
        <v>9828</v>
      </c>
      <c r="B533" s="502" t="s">
        <v>9887</v>
      </c>
      <c r="C533" s="502" t="s">
        <v>9888</v>
      </c>
      <c r="D533" s="107" t="s">
        <v>9889</v>
      </c>
      <c r="E533" s="502" t="s">
        <v>9890</v>
      </c>
      <c r="F533" s="502" t="s">
        <v>468</v>
      </c>
      <c r="G533" s="108">
        <f t="shared" si="8"/>
        <v>2</v>
      </c>
      <c r="H533" s="855" t="s">
        <v>8764</v>
      </c>
    </row>
    <row r="534" spans="1:8" ht="45">
      <c r="A534" s="108" t="s">
        <v>9828</v>
      </c>
      <c r="B534" s="502" t="s">
        <v>9891</v>
      </c>
      <c r="C534" s="502" t="s">
        <v>9892</v>
      </c>
      <c r="D534" s="502" t="s">
        <v>9893</v>
      </c>
      <c r="E534" s="107" t="s">
        <v>9894</v>
      </c>
      <c r="F534" s="502" t="s">
        <v>9895</v>
      </c>
      <c r="G534" s="108">
        <f t="shared" si="8"/>
        <v>3</v>
      </c>
      <c r="H534" s="855" t="s">
        <v>8766</v>
      </c>
    </row>
    <row r="535" spans="1:8">
      <c r="A535" s="108" t="s">
        <v>9828</v>
      </c>
      <c r="B535" s="502" t="s">
        <v>9896</v>
      </c>
      <c r="C535" s="502" t="s">
        <v>9897</v>
      </c>
      <c r="D535" s="502" t="s">
        <v>9898</v>
      </c>
      <c r="E535" s="107" t="s">
        <v>9899</v>
      </c>
      <c r="F535" s="502" t="s">
        <v>9900</v>
      </c>
      <c r="G535" s="108">
        <f t="shared" si="8"/>
        <v>2</v>
      </c>
      <c r="H535" s="855" t="s">
        <v>8764</v>
      </c>
    </row>
    <row r="536" spans="1:8" ht="45">
      <c r="A536" s="108" t="s">
        <v>9828</v>
      </c>
      <c r="B536" s="502" t="s">
        <v>9901</v>
      </c>
      <c r="C536" s="502" t="s">
        <v>9902</v>
      </c>
      <c r="D536" s="502" t="s">
        <v>9903</v>
      </c>
      <c r="E536" s="107" t="s">
        <v>9904</v>
      </c>
      <c r="F536" s="502" t="s">
        <v>9905</v>
      </c>
      <c r="G536" s="108">
        <f t="shared" si="8"/>
        <v>3</v>
      </c>
      <c r="H536" s="855" t="s">
        <v>8766</v>
      </c>
    </row>
    <row r="537" spans="1:8" ht="60">
      <c r="A537" s="108" t="s">
        <v>9828</v>
      </c>
      <c r="B537" s="502" t="s">
        <v>9906</v>
      </c>
      <c r="C537" s="502" t="s">
        <v>9907</v>
      </c>
      <c r="D537" s="502" t="s">
        <v>9908</v>
      </c>
      <c r="E537" s="502" t="s">
        <v>9909</v>
      </c>
      <c r="F537" s="107" t="s">
        <v>9910</v>
      </c>
      <c r="G537" s="108">
        <f t="shared" si="8"/>
        <v>4</v>
      </c>
      <c r="H537" s="855" t="s">
        <v>8763</v>
      </c>
    </row>
    <row r="538" spans="1:8" ht="75">
      <c r="A538" s="108" t="s">
        <v>9828</v>
      </c>
      <c r="B538" s="502" t="s">
        <v>9911</v>
      </c>
      <c r="C538" s="107" t="s">
        <v>9903</v>
      </c>
      <c r="D538" s="502" t="s">
        <v>9908</v>
      </c>
      <c r="E538" s="502" t="s">
        <v>9907</v>
      </c>
      <c r="F538" s="502" t="s">
        <v>9910</v>
      </c>
      <c r="G538" s="108">
        <f t="shared" si="8"/>
        <v>1</v>
      </c>
      <c r="H538" s="855" t="s">
        <v>8761</v>
      </c>
    </row>
    <row r="539" spans="1:8">
      <c r="A539" s="108" t="s">
        <v>9828</v>
      </c>
      <c r="B539" s="502" t="s">
        <v>9912</v>
      </c>
      <c r="C539" s="502" t="s">
        <v>9913</v>
      </c>
      <c r="D539" s="502" t="s">
        <v>9914</v>
      </c>
      <c r="E539" s="107" t="s">
        <v>9915</v>
      </c>
      <c r="F539" s="502" t="s">
        <v>9916</v>
      </c>
      <c r="G539" s="108">
        <f t="shared" si="8"/>
        <v>3</v>
      </c>
      <c r="H539" s="855" t="s">
        <v>8766</v>
      </c>
    </row>
    <row r="540" spans="1:8" ht="30">
      <c r="A540" s="108" t="s">
        <v>9828</v>
      </c>
      <c r="B540" s="502" t="s">
        <v>9917</v>
      </c>
      <c r="C540" s="502" t="s">
        <v>9918</v>
      </c>
      <c r="D540" s="107" t="s">
        <v>9919</v>
      </c>
      <c r="E540" s="502" t="s">
        <v>9920</v>
      </c>
      <c r="F540" s="502" t="s">
        <v>9921</v>
      </c>
      <c r="G540" s="108">
        <f t="shared" si="8"/>
        <v>2</v>
      </c>
      <c r="H540" s="855" t="s">
        <v>8764</v>
      </c>
    </row>
    <row r="541" spans="1:8">
      <c r="A541" s="108" t="s">
        <v>9828</v>
      </c>
      <c r="B541" s="502" t="s">
        <v>9922</v>
      </c>
      <c r="C541" s="502" t="s">
        <v>9923</v>
      </c>
      <c r="D541" s="502" t="s">
        <v>9919</v>
      </c>
      <c r="E541" s="502" t="s">
        <v>9924</v>
      </c>
      <c r="F541" s="107" t="s">
        <v>9925</v>
      </c>
      <c r="G541" s="108">
        <f t="shared" si="8"/>
        <v>4</v>
      </c>
      <c r="H541" s="855" t="s">
        <v>8763</v>
      </c>
    </row>
    <row r="542" spans="1:8" ht="30">
      <c r="A542" s="108" t="s">
        <v>9828</v>
      </c>
      <c r="B542" s="502" t="s">
        <v>9926</v>
      </c>
      <c r="C542" s="502" t="s">
        <v>9927</v>
      </c>
      <c r="D542" s="502" t="s">
        <v>9928</v>
      </c>
      <c r="E542" s="502" t="s">
        <v>3139</v>
      </c>
      <c r="F542" s="107" t="s">
        <v>9929</v>
      </c>
      <c r="G542" s="108">
        <f t="shared" si="8"/>
        <v>4</v>
      </c>
      <c r="H542" s="855" t="s">
        <v>8763</v>
      </c>
    </row>
    <row r="543" spans="1:8" ht="30">
      <c r="A543" s="108" t="s">
        <v>9828</v>
      </c>
      <c r="B543" s="502" t="s">
        <v>9930</v>
      </c>
      <c r="C543" s="107" t="s">
        <v>9931</v>
      </c>
      <c r="D543" s="502" t="s">
        <v>9932</v>
      </c>
      <c r="E543" s="502" t="s">
        <v>9933</v>
      </c>
      <c r="F543" s="502" t="s">
        <v>9934</v>
      </c>
      <c r="G543" s="108">
        <f t="shared" si="8"/>
        <v>1</v>
      </c>
      <c r="H543" s="855" t="s">
        <v>8761</v>
      </c>
    </row>
    <row r="544" spans="1:8">
      <c r="A544" s="108" t="s">
        <v>9828</v>
      </c>
      <c r="B544" s="502" t="s">
        <v>9935</v>
      </c>
      <c r="C544" s="502" t="s">
        <v>9936</v>
      </c>
      <c r="D544" s="107" t="s">
        <v>9937</v>
      </c>
      <c r="E544" s="502" t="s">
        <v>9938</v>
      </c>
      <c r="F544" s="502" t="s">
        <v>9939</v>
      </c>
      <c r="G544" s="108">
        <f t="shared" si="8"/>
        <v>2</v>
      </c>
      <c r="H544" s="855" t="s">
        <v>8764</v>
      </c>
    </row>
    <row r="545" spans="1:8" ht="60">
      <c r="A545" s="108" t="s">
        <v>9828</v>
      </c>
      <c r="B545" s="502" t="s">
        <v>9940</v>
      </c>
      <c r="C545" s="502" t="s">
        <v>9941</v>
      </c>
      <c r="D545" s="502" t="s">
        <v>9942</v>
      </c>
      <c r="E545" s="107" t="s">
        <v>9943</v>
      </c>
      <c r="F545" s="502" t="s">
        <v>9944</v>
      </c>
      <c r="G545" s="108">
        <f t="shared" si="8"/>
        <v>3</v>
      </c>
      <c r="H545" s="855" t="s">
        <v>8766</v>
      </c>
    </row>
    <row r="546" spans="1:8" ht="45">
      <c r="A546" s="108" t="s">
        <v>9828</v>
      </c>
      <c r="B546" s="502" t="s">
        <v>9945</v>
      </c>
      <c r="C546" s="683" t="s">
        <v>9946</v>
      </c>
      <c r="D546" s="502" t="s">
        <v>9947</v>
      </c>
      <c r="E546" s="502" t="s">
        <v>9948</v>
      </c>
      <c r="F546" s="107" t="s">
        <v>9949</v>
      </c>
      <c r="G546" s="108">
        <f t="shared" si="8"/>
        <v>4</v>
      </c>
      <c r="H546" s="855" t="s">
        <v>8763</v>
      </c>
    </row>
    <row r="547" spans="1:8" ht="75">
      <c r="A547" s="108" t="s">
        <v>9828</v>
      </c>
      <c r="B547" s="502" t="s">
        <v>9950</v>
      </c>
      <c r="C547" s="502" t="s">
        <v>9951</v>
      </c>
      <c r="D547" s="502" t="s">
        <v>9952</v>
      </c>
      <c r="E547" s="107" t="s">
        <v>9953</v>
      </c>
      <c r="F547" s="502" t="s">
        <v>9954</v>
      </c>
      <c r="G547" s="108">
        <f t="shared" si="8"/>
        <v>3</v>
      </c>
      <c r="H547" s="855" t="s">
        <v>8766</v>
      </c>
    </row>
    <row r="548" spans="1:8" ht="45">
      <c r="A548" s="108" t="s">
        <v>9828</v>
      </c>
      <c r="B548" s="502" t="s">
        <v>9955</v>
      </c>
      <c r="C548" s="502" t="s">
        <v>7317</v>
      </c>
      <c r="D548" s="107" t="s">
        <v>9956</v>
      </c>
      <c r="E548" s="502" t="s">
        <v>9957</v>
      </c>
      <c r="F548" s="502" t="s">
        <v>9958</v>
      </c>
      <c r="G548" s="108">
        <f t="shared" si="8"/>
        <v>2</v>
      </c>
      <c r="H548" s="855" t="s">
        <v>8764</v>
      </c>
    </row>
    <row r="549" spans="1:8" ht="30">
      <c r="A549" s="108" t="s">
        <v>9959</v>
      </c>
      <c r="B549" s="502" t="s">
        <v>9960</v>
      </c>
      <c r="C549" s="502" t="s">
        <v>6847</v>
      </c>
      <c r="D549" s="502" t="s">
        <v>6848</v>
      </c>
      <c r="E549" s="502" t="s">
        <v>6849</v>
      </c>
      <c r="F549" s="107" t="s">
        <v>6850</v>
      </c>
      <c r="G549" s="108">
        <f t="shared" si="8"/>
        <v>4</v>
      </c>
      <c r="H549" s="857" t="s">
        <v>8763</v>
      </c>
    </row>
    <row r="550" spans="1:8" ht="45">
      <c r="A550" s="108" t="s">
        <v>9959</v>
      </c>
      <c r="B550" s="502" t="s">
        <v>9961</v>
      </c>
      <c r="C550" s="107" t="s">
        <v>6852</v>
      </c>
      <c r="D550" s="502" t="s">
        <v>6853</v>
      </c>
      <c r="E550" s="502" t="s">
        <v>9962</v>
      </c>
      <c r="F550" s="502" t="s">
        <v>6855</v>
      </c>
      <c r="G550" s="108">
        <f t="shared" si="8"/>
        <v>1</v>
      </c>
      <c r="H550" s="857" t="s">
        <v>8761</v>
      </c>
    </row>
    <row r="551" spans="1:8" ht="30">
      <c r="A551" s="108" t="s">
        <v>9959</v>
      </c>
      <c r="B551" s="502" t="s">
        <v>9963</v>
      </c>
      <c r="C551" s="107" t="s">
        <v>6857</v>
      </c>
      <c r="D551" s="502" t="s">
        <v>6858</v>
      </c>
      <c r="E551" s="502" t="s">
        <v>6859</v>
      </c>
      <c r="F551" s="502" t="s">
        <v>6860</v>
      </c>
      <c r="G551" s="108">
        <f t="shared" si="8"/>
        <v>1</v>
      </c>
      <c r="H551" s="857" t="s">
        <v>8761</v>
      </c>
    </row>
    <row r="552" spans="1:8" ht="30">
      <c r="A552" s="108" t="s">
        <v>9959</v>
      </c>
      <c r="B552" s="502" t="s">
        <v>9964</v>
      </c>
      <c r="C552" s="502" t="s">
        <v>6862</v>
      </c>
      <c r="D552" s="107" t="s">
        <v>6863</v>
      </c>
      <c r="E552" s="502" t="s">
        <v>6864</v>
      </c>
      <c r="F552" s="502" t="s">
        <v>6865</v>
      </c>
      <c r="G552" s="108">
        <f t="shared" si="8"/>
        <v>2</v>
      </c>
      <c r="H552" s="857" t="s">
        <v>8764</v>
      </c>
    </row>
    <row r="553" spans="1:8" ht="45">
      <c r="A553" s="108" t="s">
        <v>9959</v>
      </c>
      <c r="B553" s="502" t="s">
        <v>9965</v>
      </c>
      <c r="C553" s="502" t="s">
        <v>6867</v>
      </c>
      <c r="D553" s="107" t="s">
        <v>6868</v>
      </c>
      <c r="E553" s="502" t="s">
        <v>6869</v>
      </c>
      <c r="F553" s="502" t="s">
        <v>6870</v>
      </c>
      <c r="G553" s="108">
        <f t="shared" si="8"/>
        <v>2</v>
      </c>
      <c r="H553" s="857" t="s">
        <v>8764</v>
      </c>
    </row>
    <row r="554" spans="1:8" ht="30">
      <c r="A554" s="108" t="s">
        <v>9959</v>
      </c>
      <c r="B554" s="502" t="s">
        <v>9966</v>
      </c>
      <c r="C554" s="502" t="s">
        <v>6872</v>
      </c>
      <c r="D554" s="107" t="s">
        <v>6873</v>
      </c>
      <c r="E554" s="502" t="s">
        <v>6874</v>
      </c>
      <c r="F554" s="502" t="s">
        <v>3638</v>
      </c>
      <c r="G554" s="108">
        <f t="shared" si="8"/>
        <v>2</v>
      </c>
      <c r="H554" s="857" t="s">
        <v>8764</v>
      </c>
    </row>
    <row r="555" spans="1:8" ht="60">
      <c r="A555" s="108" t="s">
        <v>9959</v>
      </c>
      <c r="B555" s="502" t="s">
        <v>9967</v>
      </c>
      <c r="C555" s="502" t="s">
        <v>6876</v>
      </c>
      <c r="D555" s="502" t="s">
        <v>6877</v>
      </c>
      <c r="E555" s="107" t="s">
        <v>6878</v>
      </c>
      <c r="F555" s="502" t="s">
        <v>6879</v>
      </c>
      <c r="G555" s="108">
        <f t="shared" si="8"/>
        <v>3</v>
      </c>
      <c r="H555" s="857" t="s">
        <v>8766</v>
      </c>
    </row>
    <row r="556" spans="1:8" ht="30">
      <c r="A556" s="108" t="s">
        <v>9959</v>
      </c>
      <c r="B556" s="502" t="s">
        <v>9968</v>
      </c>
      <c r="C556" s="107" t="s">
        <v>6881</v>
      </c>
      <c r="D556" s="502" t="s">
        <v>6882</v>
      </c>
      <c r="E556" s="502" t="s">
        <v>6883</v>
      </c>
      <c r="F556" s="502" t="s">
        <v>6884</v>
      </c>
      <c r="G556" s="108">
        <f t="shared" si="8"/>
        <v>1</v>
      </c>
      <c r="H556" s="857" t="s">
        <v>8761</v>
      </c>
    </row>
    <row r="557" spans="1:8" ht="30">
      <c r="A557" s="108" t="s">
        <v>9959</v>
      </c>
      <c r="B557" s="502" t="s">
        <v>6885</v>
      </c>
      <c r="C557" s="502" t="s">
        <v>6886</v>
      </c>
      <c r="D557" s="107" t="s">
        <v>6887</v>
      </c>
      <c r="E557" s="502" t="s">
        <v>6888</v>
      </c>
      <c r="F557" s="502" t="s">
        <v>6889</v>
      </c>
      <c r="G557" s="108">
        <f t="shared" si="8"/>
        <v>2</v>
      </c>
      <c r="H557" s="857" t="s">
        <v>8764</v>
      </c>
    </row>
    <row r="558" spans="1:8" ht="45">
      <c r="A558" s="108" t="s">
        <v>9959</v>
      </c>
      <c r="B558" s="502" t="s">
        <v>9969</v>
      </c>
      <c r="C558" s="107" t="s">
        <v>2682</v>
      </c>
      <c r="D558" s="502" t="s">
        <v>2681</v>
      </c>
      <c r="E558" s="502" t="s">
        <v>6891</v>
      </c>
      <c r="F558" s="502" t="s">
        <v>6892</v>
      </c>
      <c r="G558" s="108">
        <f t="shared" si="8"/>
        <v>1</v>
      </c>
      <c r="H558" s="857" t="s">
        <v>8761</v>
      </c>
    </row>
    <row r="559" spans="1:8" ht="30">
      <c r="A559" s="108" t="s">
        <v>9959</v>
      </c>
      <c r="B559" s="502" t="s">
        <v>6893</v>
      </c>
      <c r="C559" s="858">
        <v>30</v>
      </c>
      <c r="D559" s="858">
        <v>180</v>
      </c>
      <c r="E559" s="858">
        <v>60</v>
      </c>
      <c r="F559" s="153">
        <v>90</v>
      </c>
      <c r="G559" s="108">
        <f t="shared" si="8"/>
        <v>4</v>
      </c>
      <c r="H559" s="857" t="s">
        <v>8763</v>
      </c>
    </row>
    <row r="560" spans="1:8" ht="30">
      <c r="A560" s="108" t="s">
        <v>9959</v>
      </c>
      <c r="B560" s="502" t="s">
        <v>9970</v>
      </c>
      <c r="C560" s="502" t="s">
        <v>2682</v>
      </c>
      <c r="D560" s="107" t="s">
        <v>2681</v>
      </c>
      <c r="E560" s="502" t="s">
        <v>6895</v>
      </c>
      <c r="F560" s="502" t="s">
        <v>6896</v>
      </c>
      <c r="G560" s="108">
        <f t="shared" si="8"/>
        <v>2</v>
      </c>
      <c r="H560" s="857" t="s">
        <v>8764</v>
      </c>
    </row>
    <row r="561" spans="1:8" ht="60">
      <c r="A561" s="108" t="s">
        <v>9959</v>
      </c>
      <c r="B561" s="502" t="s">
        <v>9971</v>
      </c>
      <c r="C561" s="502" t="s">
        <v>6898</v>
      </c>
      <c r="D561" s="107" t="s">
        <v>6899</v>
      </c>
      <c r="E561" s="502" t="s">
        <v>6900</v>
      </c>
      <c r="F561" s="502" t="s">
        <v>6901</v>
      </c>
      <c r="G561" s="108">
        <f t="shared" si="8"/>
        <v>2</v>
      </c>
      <c r="H561" s="857" t="s">
        <v>8764</v>
      </c>
    </row>
    <row r="562" spans="1:8" ht="30">
      <c r="A562" s="108" t="s">
        <v>9959</v>
      </c>
      <c r="B562" s="502" t="s">
        <v>9972</v>
      </c>
      <c r="C562" s="502" t="s">
        <v>6903</v>
      </c>
      <c r="D562" s="107" t="s">
        <v>6904</v>
      </c>
      <c r="E562" s="502" t="s">
        <v>6905</v>
      </c>
      <c r="F562" s="502" t="s">
        <v>6906</v>
      </c>
      <c r="G562" s="108">
        <f t="shared" si="8"/>
        <v>2</v>
      </c>
      <c r="H562" s="857" t="s">
        <v>8764</v>
      </c>
    </row>
    <row r="563" spans="1:8" ht="30">
      <c r="A563" s="108" t="s">
        <v>9959</v>
      </c>
      <c r="B563" s="502" t="s">
        <v>6974</v>
      </c>
      <c r="C563" s="502" t="s">
        <v>6975</v>
      </c>
      <c r="D563" s="107" t="s">
        <v>6976</v>
      </c>
      <c r="E563" s="502" t="s">
        <v>6977</v>
      </c>
      <c r="F563" s="502" t="s">
        <v>6978</v>
      </c>
      <c r="G563" s="108">
        <f t="shared" si="8"/>
        <v>2</v>
      </c>
      <c r="H563" s="857" t="s">
        <v>8764</v>
      </c>
    </row>
    <row r="564" spans="1:8" ht="60">
      <c r="A564" s="108" t="s">
        <v>9959</v>
      </c>
      <c r="B564" s="502" t="s">
        <v>9973</v>
      </c>
      <c r="C564" s="502" t="s">
        <v>6979</v>
      </c>
      <c r="D564" s="502" t="s">
        <v>6980</v>
      </c>
      <c r="E564" s="107" t="s">
        <v>6981</v>
      </c>
      <c r="F564" s="502" t="s">
        <v>6982</v>
      </c>
      <c r="G564" s="108">
        <f t="shared" si="8"/>
        <v>3</v>
      </c>
      <c r="H564" s="857" t="s">
        <v>8766</v>
      </c>
    </row>
    <row r="565" spans="1:8" ht="75">
      <c r="A565" s="108" t="s">
        <v>9959</v>
      </c>
      <c r="B565" s="502" t="s">
        <v>9974</v>
      </c>
      <c r="C565" s="502" t="s">
        <v>6983</v>
      </c>
      <c r="D565" s="502" t="s">
        <v>9975</v>
      </c>
      <c r="E565" s="107" t="s">
        <v>9976</v>
      </c>
      <c r="F565" s="502" t="s">
        <v>6986</v>
      </c>
      <c r="G565" s="108">
        <f t="shared" si="8"/>
        <v>3</v>
      </c>
      <c r="H565" s="857" t="s">
        <v>8766</v>
      </c>
    </row>
    <row r="566" spans="1:8" ht="30">
      <c r="A566" s="108" t="s">
        <v>9959</v>
      </c>
      <c r="B566" s="502" t="s">
        <v>9977</v>
      </c>
      <c r="C566" s="107" t="s">
        <v>6988</v>
      </c>
      <c r="D566" s="502" t="s">
        <v>6989</v>
      </c>
      <c r="E566" s="502" t="s">
        <v>6990</v>
      </c>
      <c r="F566" s="502" t="s">
        <v>6991</v>
      </c>
      <c r="G566" s="108">
        <f t="shared" si="8"/>
        <v>1</v>
      </c>
      <c r="H566" s="857" t="s">
        <v>8761</v>
      </c>
    </row>
    <row r="567" spans="1:8" ht="60">
      <c r="A567" s="108" t="s">
        <v>9959</v>
      </c>
      <c r="B567" s="502" t="s">
        <v>9978</v>
      </c>
      <c r="C567" s="502" t="s">
        <v>6993</v>
      </c>
      <c r="D567" s="107" t="s">
        <v>6994</v>
      </c>
      <c r="E567" s="502" t="s">
        <v>6859</v>
      </c>
      <c r="F567" s="502" t="s">
        <v>6995</v>
      </c>
      <c r="G567" s="108">
        <f t="shared" si="8"/>
        <v>2</v>
      </c>
      <c r="H567" s="857" t="s">
        <v>8764</v>
      </c>
    </row>
    <row r="568" spans="1:8" ht="60">
      <c r="A568" s="108" t="s">
        <v>9959</v>
      </c>
      <c r="B568" s="502" t="s">
        <v>9979</v>
      </c>
      <c r="C568" s="502" t="s">
        <v>6997</v>
      </c>
      <c r="D568" s="107" t="s">
        <v>6998</v>
      </c>
      <c r="E568" s="502" t="s">
        <v>6999</v>
      </c>
      <c r="F568" s="502" t="s">
        <v>7000</v>
      </c>
      <c r="G568" s="108">
        <f t="shared" si="8"/>
        <v>2</v>
      </c>
      <c r="H568" s="857" t="s">
        <v>8764</v>
      </c>
    </row>
    <row r="569" spans="1:8" ht="45">
      <c r="A569" s="108" t="s">
        <v>9959</v>
      </c>
      <c r="B569" s="502" t="s">
        <v>9980</v>
      </c>
      <c r="C569" s="502" t="s">
        <v>7002</v>
      </c>
      <c r="D569" s="502" t="s">
        <v>7003</v>
      </c>
      <c r="E569" s="107" t="s">
        <v>7004</v>
      </c>
      <c r="F569" s="502" t="s">
        <v>3638</v>
      </c>
      <c r="G569" s="108">
        <f t="shared" si="8"/>
        <v>3</v>
      </c>
      <c r="H569" s="857" t="s">
        <v>8766</v>
      </c>
    </row>
    <row r="570" spans="1:8" ht="75">
      <c r="A570" s="108" t="s">
        <v>9959</v>
      </c>
      <c r="B570" s="502" t="s">
        <v>7005</v>
      </c>
      <c r="C570" s="107" t="s">
        <v>7006</v>
      </c>
      <c r="D570" s="502" t="s">
        <v>7007</v>
      </c>
      <c r="E570" s="502" t="s">
        <v>9981</v>
      </c>
      <c r="F570" s="502" t="s">
        <v>9982</v>
      </c>
      <c r="G570" s="108">
        <f t="shared" si="8"/>
        <v>1</v>
      </c>
      <c r="H570" s="857" t="s">
        <v>8761</v>
      </c>
    </row>
    <row r="571" spans="1:8" ht="30">
      <c r="A571" s="108" t="s">
        <v>9959</v>
      </c>
      <c r="B571" s="502" t="s">
        <v>9983</v>
      </c>
      <c r="C571" s="502" t="s">
        <v>7010</v>
      </c>
      <c r="D571" s="502" t="s">
        <v>7011</v>
      </c>
      <c r="E571" s="107" t="s">
        <v>7012</v>
      </c>
      <c r="F571" s="502" t="s">
        <v>9981</v>
      </c>
      <c r="G571" s="108">
        <f t="shared" si="8"/>
        <v>3</v>
      </c>
      <c r="H571" s="857" t="s">
        <v>8766</v>
      </c>
    </row>
    <row r="572" spans="1:8" ht="30">
      <c r="A572" s="108" t="s">
        <v>9959</v>
      </c>
      <c r="B572" s="502" t="s">
        <v>9984</v>
      </c>
      <c r="C572" s="502" t="s">
        <v>7014</v>
      </c>
      <c r="D572" s="502" t="s">
        <v>7015</v>
      </c>
      <c r="E572" s="107" t="s">
        <v>9985</v>
      </c>
      <c r="F572" s="502" t="s">
        <v>9982</v>
      </c>
      <c r="G572" s="108">
        <f t="shared" si="8"/>
        <v>3</v>
      </c>
      <c r="H572" s="857" t="s">
        <v>8766</v>
      </c>
    </row>
    <row r="573" spans="1:8" ht="30">
      <c r="A573" s="108" t="s">
        <v>9959</v>
      </c>
      <c r="B573" s="502" t="s">
        <v>9986</v>
      </c>
      <c r="C573" s="502" t="s">
        <v>7018</v>
      </c>
      <c r="D573" s="502" t="s">
        <v>7019</v>
      </c>
      <c r="E573" s="107" t="s">
        <v>7020</v>
      </c>
      <c r="F573" s="502" t="s">
        <v>3638</v>
      </c>
      <c r="G573" s="108">
        <f t="shared" si="8"/>
        <v>3</v>
      </c>
      <c r="H573" s="857" t="s">
        <v>8766</v>
      </c>
    </row>
    <row r="574" spans="1:8" ht="90">
      <c r="A574" s="108" t="s">
        <v>9959</v>
      </c>
      <c r="B574" s="502" t="s">
        <v>9987</v>
      </c>
      <c r="C574" s="107" t="s">
        <v>9988</v>
      </c>
      <c r="D574" s="502" t="s">
        <v>7023</v>
      </c>
      <c r="E574" s="502" t="s">
        <v>9989</v>
      </c>
      <c r="F574" s="502" t="s">
        <v>3638</v>
      </c>
      <c r="G574" s="108">
        <f t="shared" si="8"/>
        <v>1</v>
      </c>
      <c r="H574" s="857" t="s">
        <v>8761</v>
      </c>
    </row>
    <row r="575" spans="1:8" ht="75">
      <c r="A575" s="108" t="s">
        <v>9959</v>
      </c>
      <c r="B575" s="502" t="s">
        <v>9990</v>
      </c>
      <c r="C575" s="502" t="s">
        <v>7026</v>
      </c>
      <c r="D575" s="107" t="s">
        <v>7027</v>
      </c>
      <c r="E575" s="502" t="s">
        <v>9985</v>
      </c>
      <c r="F575" s="502" t="s">
        <v>9982</v>
      </c>
      <c r="G575" s="108">
        <f t="shared" si="8"/>
        <v>2</v>
      </c>
      <c r="H575" s="857" t="s">
        <v>8764</v>
      </c>
    </row>
    <row r="576" spans="1:8" ht="45">
      <c r="A576" s="108" t="s">
        <v>9959</v>
      </c>
      <c r="B576" s="502" t="s">
        <v>9991</v>
      </c>
      <c r="C576" s="502" t="s">
        <v>7029</v>
      </c>
      <c r="D576" s="502" t="s">
        <v>7030</v>
      </c>
      <c r="E576" s="107" t="s">
        <v>7031</v>
      </c>
      <c r="F576" s="502" t="s">
        <v>3638</v>
      </c>
      <c r="G576" s="108">
        <f t="shared" si="8"/>
        <v>3</v>
      </c>
      <c r="H576" s="857" t="s">
        <v>8766</v>
      </c>
    </row>
    <row r="577" spans="1:8" ht="60">
      <c r="A577" s="108" t="s">
        <v>9959</v>
      </c>
      <c r="B577" s="502" t="s">
        <v>7032</v>
      </c>
      <c r="C577" s="502" t="s">
        <v>9992</v>
      </c>
      <c r="D577" s="502" t="s">
        <v>9993</v>
      </c>
      <c r="E577" s="107" t="s">
        <v>9994</v>
      </c>
      <c r="F577" s="502" t="s">
        <v>3638</v>
      </c>
      <c r="G577" s="108">
        <f t="shared" si="8"/>
        <v>3</v>
      </c>
      <c r="H577" s="857" t="s">
        <v>8766</v>
      </c>
    </row>
    <row r="578" spans="1:8" ht="60">
      <c r="A578" s="108" t="s">
        <v>9959</v>
      </c>
      <c r="B578" s="502" t="s">
        <v>9995</v>
      </c>
      <c r="C578" s="502" t="s">
        <v>7037</v>
      </c>
      <c r="D578" s="107" t="s">
        <v>7038</v>
      </c>
      <c r="E578" s="502" t="s">
        <v>7039</v>
      </c>
      <c r="F578" s="502" t="s">
        <v>3638</v>
      </c>
      <c r="G578" s="108">
        <f t="shared" si="8"/>
        <v>2</v>
      </c>
      <c r="H578" s="857" t="s">
        <v>8764</v>
      </c>
    </row>
    <row r="579" spans="1:8" ht="60">
      <c r="A579" s="108" t="s">
        <v>9959</v>
      </c>
      <c r="B579" s="844" t="s">
        <v>9996</v>
      </c>
      <c r="C579" s="846" t="s">
        <v>9997</v>
      </c>
      <c r="D579" s="845" t="s">
        <v>9998</v>
      </c>
      <c r="E579" s="845" t="s">
        <v>9999</v>
      </c>
      <c r="F579" s="845" t="s">
        <v>61</v>
      </c>
      <c r="G579" s="108">
        <f t="shared" ref="G579:G642" si="9">IF(H579="A",1,IF(H579="B",2,IF(H579="C",3,IF(H579="D",4,0))))</f>
        <v>1</v>
      </c>
      <c r="H579" s="848" t="s">
        <v>8761</v>
      </c>
    </row>
    <row r="580" spans="1:8" ht="45">
      <c r="A580" s="108" t="s">
        <v>9959</v>
      </c>
      <c r="B580" s="502" t="s">
        <v>10000</v>
      </c>
      <c r="C580" s="502" t="s">
        <v>7044</v>
      </c>
      <c r="D580" s="107" t="s">
        <v>7045</v>
      </c>
      <c r="E580" s="502" t="s">
        <v>7046</v>
      </c>
      <c r="F580" s="502" t="s">
        <v>3638</v>
      </c>
      <c r="G580" s="108">
        <f t="shared" si="9"/>
        <v>2</v>
      </c>
      <c r="H580" s="857" t="s">
        <v>8764</v>
      </c>
    </row>
    <row r="581" spans="1:8" ht="45">
      <c r="A581" s="108" t="s">
        <v>9959</v>
      </c>
      <c r="B581" s="502" t="s">
        <v>10001</v>
      </c>
      <c r="C581" s="502" t="s">
        <v>10002</v>
      </c>
      <c r="D581" s="502" t="s">
        <v>10003</v>
      </c>
      <c r="E581" s="107" t="s">
        <v>10004</v>
      </c>
      <c r="F581" s="502" t="s">
        <v>3638</v>
      </c>
      <c r="G581" s="108">
        <f t="shared" si="9"/>
        <v>3</v>
      </c>
      <c r="H581" s="857" t="s">
        <v>8766</v>
      </c>
    </row>
    <row r="582" spans="1:8" ht="45">
      <c r="A582" s="108" t="s">
        <v>9959</v>
      </c>
      <c r="B582" s="502" t="s">
        <v>10005</v>
      </c>
      <c r="C582" s="502" t="s">
        <v>8742</v>
      </c>
      <c r="D582" s="107" t="s">
        <v>8743</v>
      </c>
      <c r="E582" s="502" t="s">
        <v>7016</v>
      </c>
      <c r="F582" s="502" t="s">
        <v>7008</v>
      </c>
      <c r="G582" s="108">
        <f t="shared" si="9"/>
        <v>2</v>
      </c>
      <c r="H582" s="857" t="s">
        <v>8764</v>
      </c>
    </row>
    <row r="583" spans="1:8">
      <c r="A583" s="108" t="s">
        <v>9959</v>
      </c>
      <c r="B583" s="502" t="s">
        <v>10006</v>
      </c>
      <c r="C583" s="856">
        <v>0.15</v>
      </c>
      <c r="D583" s="856">
        <v>0.5</v>
      </c>
      <c r="E583" s="157">
        <v>0.05</v>
      </c>
      <c r="F583" s="859">
        <v>5.0000000000000001E-3</v>
      </c>
      <c r="G583" s="108">
        <f t="shared" si="9"/>
        <v>3</v>
      </c>
      <c r="H583" s="857" t="s">
        <v>8766</v>
      </c>
    </row>
    <row r="584" spans="1:8" ht="30">
      <c r="A584" s="108" t="s">
        <v>9959</v>
      </c>
      <c r="B584" s="502" t="s">
        <v>7052</v>
      </c>
      <c r="C584" s="502" t="s">
        <v>7053</v>
      </c>
      <c r="D584" s="107" t="s">
        <v>7054</v>
      </c>
      <c r="E584" s="502" t="s">
        <v>7055</v>
      </c>
      <c r="F584" s="502" t="s">
        <v>3638</v>
      </c>
      <c r="G584" s="108">
        <f t="shared" si="9"/>
        <v>2</v>
      </c>
      <c r="H584" s="857" t="s">
        <v>8764</v>
      </c>
    </row>
    <row r="585" spans="1:8">
      <c r="A585" s="108" t="s">
        <v>9959</v>
      </c>
      <c r="B585" s="502" t="s">
        <v>10007</v>
      </c>
      <c r="C585" s="502" t="s">
        <v>10008</v>
      </c>
      <c r="D585" s="107" t="s">
        <v>10009</v>
      </c>
      <c r="E585" s="502" t="s">
        <v>10010</v>
      </c>
      <c r="F585" s="502" t="s">
        <v>3638</v>
      </c>
      <c r="G585" s="108">
        <f t="shared" si="9"/>
        <v>2</v>
      </c>
      <c r="H585" s="857" t="s">
        <v>8764</v>
      </c>
    </row>
    <row r="586" spans="1:8" ht="30">
      <c r="A586" s="108" t="s">
        <v>9959</v>
      </c>
      <c r="B586" s="502" t="s">
        <v>10011</v>
      </c>
      <c r="C586" s="502" t="s">
        <v>7061</v>
      </c>
      <c r="D586" s="107" t="s">
        <v>7062</v>
      </c>
      <c r="E586" s="502" t="s">
        <v>10012</v>
      </c>
      <c r="F586" s="502" t="s">
        <v>7064</v>
      </c>
      <c r="G586" s="108">
        <f t="shared" si="9"/>
        <v>2</v>
      </c>
      <c r="H586" s="857" t="s">
        <v>8764</v>
      </c>
    </row>
    <row r="587" spans="1:8" ht="60">
      <c r="A587" s="108" t="s">
        <v>9959</v>
      </c>
      <c r="B587" s="502" t="s">
        <v>10013</v>
      </c>
      <c r="C587" s="107" t="s">
        <v>7392</v>
      </c>
      <c r="D587" s="502" t="s">
        <v>7393</v>
      </c>
      <c r="E587" s="502" t="s">
        <v>702</v>
      </c>
      <c r="F587" s="502" t="s">
        <v>10014</v>
      </c>
      <c r="G587" s="108">
        <f t="shared" si="9"/>
        <v>1</v>
      </c>
      <c r="H587" s="857" t="s">
        <v>8761</v>
      </c>
    </row>
    <row r="588" spans="1:8" ht="45">
      <c r="A588" s="108" t="s">
        <v>9959</v>
      </c>
      <c r="B588" s="502" t="s">
        <v>7396</v>
      </c>
      <c r="C588" s="502" t="s">
        <v>7397</v>
      </c>
      <c r="D588" s="107" t="s">
        <v>7398</v>
      </c>
      <c r="E588" s="502" t="s">
        <v>7399</v>
      </c>
      <c r="F588" s="502" t="s">
        <v>7400</v>
      </c>
      <c r="G588" s="108">
        <f t="shared" si="9"/>
        <v>2</v>
      </c>
      <c r="H588" s="857" t="s">
        <v>8764</v>
      </c>
    </row>
    <row r="589" spans="1:8" ht="60">
      <c r="A589" s="108" t="s">
        <v>9959</v>
      </c>
      <c r="B589" s="502" t="s">
        <v>10015</v>
      </c>
      <c r="C589" s="502" t="s">
        <v>7397</v>
      </c>
      <c r="D589" s="502" t="s">
        <v>3793</v>
      </c>
      <c r="E589" s="107" t="s">
        <v>7401</v>
      </c>
      <c r="F589" s="502" t="s">
        <v>7402</v>
      </c>
      <c r="G589" s="108">
        <f t="shared" si="9"/>
        <v>3</v>
      </c>
      <c r="H589" s="857" t="s">
        <v>8766</v>
      </c>
    </row>
    <row r="590" spans="1:8" ht="45">
      <c r="A590" s="108" t="s">
        <v>9959</v>
      </c>
      <c r="B590" s="502" t="s">
        <v>10016</v>
      </c>
      <c r="C590" s="107" t="s">
        <v>7403</v>
      </c>
      <c r="D590" s="502" t="s">
        <v>1320</v>
      </c>
      <c r="E590" s="502" t="s">
        <v>25</v>
      </c>
      <c r="F590" s="502" t="s">
        <v>7404</v>
      </c>
      <c r="G590" s="108">
        <f t="shared" si="9"/>
        <v>1</v>
      </c>
      <c r="H590" s="857" t="s">
        <v>8761</v>
      </c>
    </row>
    <row r="591" spans="1:8">
      <c r="A591" s="108" t="s">
        <v>9959</v>
      </c>
      <c r="B591" s="860" t="s">
        <v>10017</v>
      </c>
      <c r="C591" s="861">
        <v>3000</v>
      </c>
      <c r="D591" s="861">
        <v>750</v>
      </c>
      <c r="E591" s="701">
        <v>1500</v>
      </c>
      <c r="F591" s="861">
        <v>375</v>
      </c>
      <c r="G591" s="108">
        <f t="shared" si="9"/>
        <v>3</v>
      </c>
      <c r="H591" s="862" t="s">
        <v>8766</v>
      </c>
    </row>
    <row r="592" spans="1:8" ht="30">
      <c r="A592" s="108" t="s">
        <v>9959</v>
      </c>
      <c r="B592" s="860" t="s">
        <v>10018</v>
      </c>
      <c r="C592" s="861">
        <v>375</v>
      </c>
      <c r="D592" s="701">
        <v>187.5</v>
      </c>
      <c r="E592" s="861">
        <v>1500</v>
      </c>
      <c r="F592" s="861">
        <v>3000</v>
      </c>
      <c r="G592" s="108">
        <f t="shared" si="9"/>
        <v>2</v>
      </c>
      <c r="H592" s="862" t="s">
        <v>8764</v>
      </c>
    </row>
    <row r="593" spans="1:8" ht="30">
      <c r="A593" s="108" t="s">
        <v>9959</v>
      </c>
      <c r="B593" s="778" t="s">
        <v>10019</v>
      </c>
      <c r="C593" s="861">
        <v>3000</v>
      </c>
      <c r="D593" s="701">
        <v>2940</v>
      </c>
      <c r="E593" s="861">
        <v>3060</v>
      </c>
      <c r="F593" s="861">
        <v>2880</v>
      </c>
      <c r="G593" s="108">
        <f t="shared" si="9"/>
        <v>2</v>
      </c>
      <c r="H593" s="862" t="s">
        <v>8764</v>
      </c>
    </row>
    <row r="594" spans="1:8" ht="30">
      <c r="A594" s="108" t="s">
        <v>9959</v>
      </c>
      <c r="B594" s="860" t="s">
        <v>10020</v>
      </c>
      <c r="C594" s="701" t="s">
        <v>10021</v>
      </c>
      <c r="D594" s="861" t="s">
        <v>10022</v>
      </c>
      <c r="E594" s="861" t="s">
        <v>10023</v>
      </c>
      <c r="F594" s="861" t="s">
        <v>10024</v>
      </c>
      <c r="G594" s="108">
        <f t="shared" si="9"/>
        <v>1</v>
      </c>
      <c r="H594" s="862" t="s">
        <v>8761</v>
      </c>
    </row>
    <row r="595" spans="1:8" ht="30">
      <c r="A595" s="108" t="s">
        <v>9959</v>
      </c>
      <c r="B595" s="860" t="s">
        <v>10025</v>
      </c>
      <c r="C595" s="863" t="s">
        <v>10026</v>
      </c>
      <c r="D595" s="861" t="s">
        <v>10027</v>
      </c>
      <c r="E595" s="864" t="s">
        <v>10028</v>
      </c>
      <c r="F595" s="864" t="s">
        <v>10029</v>
      </c>
      <c r="G595" s="108">
        <f t="shared" si="9"/>
        <v>1</v>
      </c>
      <c r="H595" s="862" t="s">
        <v>8761</v>
      </c>
    </row>
    <row r="596" spans="1:8" ht="30">
      <c r="A596" s="108" t="s">
        <v>9959</v>
      </c>
      <c r="B596" s="860" t="s">
        <v>10030</v>
      </c>
      <c r="C596" s="701" t="s">
        <v>10031</v>
      </c>
      <c r="D596" s="861" t="s">
        <v>10032</v>
      </c>
      <c r="E596" s="861" t="s">
        <v>7497</v>
      </c>
      <c r="F596" s="861" t="s">
        <v>10033</v>
      </c>
      <c r="G596" s="108">
        <f t="shared" si="9"/>
        <v>1</v>
      </c>
      <c r="H596" s="862" t="s">
        <v>8761</v>
      </c>
    </row>
    <row r="597" spans="1:8" ht="30">
      <c r="A597" s="108" t="s">
        <v>9959</v>
      </c>
      <c r="B597" s="860" t="s">
        <v>10034</v>
      </c>
      <c r="C597" s="861" t="s">
        <v>10035</v>
      </c>
      <c r="D597" s="861" t="s">
        <v>10036</v>
      </c>
      <c r="E597" s="701" t="s">
        <v>10037</v>
      </c>
      <c r="F597" s="861" t="s">
        <v>10038</v>
      </c>
      <c r="G597" s="108">
        <f t="shared" si="9"/>
        <v>3</v>
      </c>
      <c r="H597" s="862" t="s">
        <v>8766</v>
      </c>
    </row>
    <row r="598" spans="1:8" ht="30">
      <c r="A598" s="108" t="s">
        <v>9959</v>
      </c>
      <c r="B598" s="778" t="s">
        <v>10039</v>
      </c>
      <c r="C598" s="861" t="s">
        <v>10040</v>
      </c>
      <c r="D598" s="861" t="s">
        <v>10041</v>
      </c>
      <c r="E598" s="701" t="s">
        <v>10042</v>
      </c>
      <c r="F598" s="861" t="s">
        <v>10043</v>
      </c>
      <c r="G598" s="108">
        <f t="shared" si="9"/>
        <v>3</v>
      </c>
      <c r="H598" s="862" t="s">
        <v>8766</v>
      </c>
    </row>
    <row r="599" spans="1:8" ht="30">
      <c r="A599" s="108" t="s">
        <v>9959</v>
      </c>
      <c r="B599" s="860" t="s">
        <v>10044</v>
      </c>
      <c r="C599" s="861" t="s">
        <v>10045</v>
      </c>
      <c r="D599" s="861" t="s">
        <v>10046</v>
      </c>
      <c r="E599" s="701" t="s">
        <v>6895</v>
      </c>
      <c r="F599" s="861" t="s">
        <v>10047</v>
      </c>
      <c r="G599" s="108">
        <f t="shared" si="9"/>
        <v>3</v>
      </c>
      <c r="H599" s="862" t="s">
        <v>8766</v>
      </c>
    </row>
    <row r="600" spans="1:8" ht="30">
      <c r="A600" s="108" t="s">
        <v>9959</v>
      </c>
      <c r="B600" s="860" t="s">
        <v>10048</v>
      </c>
      <c r="C600" s="861" t="s">
        <v>10049</v>
      </c>
      <c r="D600" s="861" t="s">
        <v>6895</v>
      </c>
      <c r="E600" s="701" t="s">
        <v>10050</v>
      </c>
      <c r="F600" s="861" t="s">
        <v>10051</v>
      </c>
      <c r="G600" s="108">
        <f t="shared" si="9"/>
        <v>3</v>
      </c>
      <c r="H600" s="862" t="s">
        <v>8766</v>
      </c>
    </row>
    <row r="601" spans="1:8" ht="30">
      <c r="A601" s="108" t="s">
        <v>9959</v>
      </c>
      <c r="B601" s="860" t="s">
        <v>10052</v>
      </c>
      <c r="C601" s="861" t="s">
        <v>10053</v>
      </c>
      <c r="D601" s="861" t="s">
        <v>10054</v>
      </c>
      <c r="E601" s="861" t="s">
        <v>10055</v>
      </c>
      <c r="F601" s="701" t="s">
        <v>10056</v>
      </c>
      <c r="G601" s="108">
        <f t="shared" si="9"/>
        <v>4</v>
      </c>
      <c r="H601" s="865" t="s">
        <v>8763</v>
      </c>
    </row>
    <row r="602" spans="1:8" ht="30">
      <c r="A602" s="108" t="s">
        <v>9959</v>
      </c>
      <c r="B602" s="866" t="s">
        <v>10057</v>
      </c>
      <c r="C602" s="701" t="s">
        <v>2682</v>
      </c>
      <c r="D602" s="861" t="s">
        <v>2681</v>
      </c>
      <c r="E602" s="861" t="s">
        <v>6891</v>
      </c>
      <c r="F602" s="502" t="s">
        <v>3638</v>
      </c>
      <c r="G602" s="108">
        <f t="shared" si="9"/>
        <v>1</v>
      </c>
      <c r="H602" s="865" t="s">
        <v>8761</v>
      </c>
    </row>
    <row r="603" spans="1:8" ht="30">
      <c r="A603" s="108" t="s">
        <v>9959</v>
      </c>
      <c r="B603" s="866" t="s">
        <v>10058</v>
      </c>
      <c r="C603" s="861" t="s">
        <v>2681</v>
      </c>
      <c r="D603" s="701" t="s">
        <v>2682</v>
      </c>
      <c r="E603" s="861" t="s">
        <v>6891</v>
      </c>
      <c r="F603" s="502" t="s">
        <v>3638</v>
      </c>
      <c r="G603" s="108">
        <f t="shared" si="9"/>
        <v>2</v>
      </c>
      <c r="H603" s="865" t="s">
        <v>8764</v>
      </c>
    </row>
    <row r="604" spans="1:8" ht="30">
      <c r="A604" s="108" t="s">
        <v>9959</v>
      </c>
      <c r="B604" s="793" t="s">
        <v>10059</v>
      </c>
      <c r="C604" s="861" t="s">
        <v>10060</v>
      </c>
      <c r="D604" s="861" t="s">
        <v>10061</v>
      </c>
      <c r="E604" s="861" t="s">
        <v>10062</v>
      </c>
      <c r="F604" s="115" t="s">
        <v>10063</v>
      </c>
      <c r="G604" s="108">
        <f t="shared" si="9"/>
        <v>4</v>
      </c>
      <c r="H604" s="865" t="s">
        <v>8763</v>
      </c>
    </row>
    <row r="605" spans="1:8" ht="30">
      <c r="A605" s="108" t="s">
        <v>9959</v>
      </c>
      <c r="B605" s="793" t="s">
        <v>10064</v>
      </c>
      <c r="C605" s="701" t="s">
        <v>10065</v>
      </c>
      <c r="D605" s="861" t="s">
        <v>10066</v>
      </c>
      <c r="E605" s="861" t="s">
        <v>10061</v>
      </c>
      <c r="F605" s="861" t="s">
        <v>10067</v>
      </c>
      <c r="G605" s="108">
        <f t="shared" si="9"/>
        <v>1</v>
      </c>
      <c r="H605" s="865" t="s">
        <v>8761</v>
      </c>
    </row>
    <row r="606" spans="1:8" ht="30">
      <c r="A606" s="108" t="s">
        <v>9959</v>
      </c>
      <c r="B606" s="793" t="s">
        <v>10068</v>
      </c>
      <c r="C606" s="861" t="s">
        <v>10060</v>
      </c>
      <c r="D606" s="861" t="s">
        <v>7486</v>
      </c>
      <c r="E606" s="861" t="s">
        <v>10061</v>
      </c>
      <c r="F606" s="701" t="s">
        <v>10067</v>
      </c>
      <c r="G606" s="108">
        <f t="shared" si="9"/>
        <v>4</v>
      </c>
      <c r="H606" s="865" t="s">
        <v>8763</v>
      </c>
    </row>
    <row r="607" spans="1:8" ht="30">
      <c r="A607" s="108" t="s">
        <v>9959</v>
      </c>
      <c r="B607" s="778" t="s">
        <v>10069</v>
      </c>
      <c r="C607" s="861" t="s">
        <v>10070</v>
      </c>
      <c r="D607" s="861" t="s">
        <v>10071</v>
      </c>
      <c r="E607" s="701" t="s">
        <v>10072</v>
      </c>
      <c r="F607" s="861" t="s">
        <v>10073</v>
      </c>
      <c r="G607" s="108">
        <f t="shared" si="9"/>
        <v>3</v>
      </c>
      <c r="H607" s="865" t="s">
        <v>8766</v>
      </c>
    </row>
    <row r="608" spans="1:8" ht="30">
      <c r="A608" s="108" t="s">
        <v>9959</v>
      </c>
      <c r="B608" s="793" t="s">
        <v>10074</v>
      </c>
      <c r="C608" s="861" t="s">
        <v>6955</v>
      </c>
      <c r="D608" s="861" t="s">
        <v>6956</v>
      </c>
      <c r="E608" s="701" t="s">
        <v>6957</v>
      </c>
      <c r="F608" s="861" t="s">
        <v>10075</v>
      </c>
      <c r="G608" s="108">
        <f t="shared" si="9"/>
        <v>3</v>
      </c>
      <c r="H608" s="865" t="s">
        <v>8766</v>
      </c>
    </row>
    <row r="609" spans="1:8" ht="45">
      <c r="A609" s="108" t="s">
        <v>9959</v>
      </c>
      <c r="B609" s="866" t="s">
        <v>10076</v>
      </c>
      <c r="C609" s="867" t="s">
        <v>10077</v>
      </c>
      <c r="D609" s="868" t="s">
        <v>10078</v>
      </c>
      <c r="E609" s="868" t="s">
        <v>10079</v>
      </c>
      <c r="F609" s="868" t="s">
        <v>10080</v>
      </c>
      <c r="G609" s="108">
        <f t="shared" si="9"/>
        <v>1</v>
      </c>
      <c r="H609" s="865" t="s">
        <v>8761</v>
      </c>
    </row>
    <row r="610" spans="1:8" ht="30">
      <c r="A610" s="108" t="s">
        <v>9959</v>
      </c>
      <c r="B610" s="866" t="s">
        <v>10081</v>
      </c>
      <c r="C610" s="861" t="s">
        <v>2496</v>
      </c>
      <c r="D610" s="701" t="s">
        <v>7571</v>
      </c>
      <c r="E610" s="861" t="s">
        <v>10082</v>
      </c>
      <c r="F610" s="861" t="s">
        <v>6869</v>
      </c>
      <c r="G610" s="108">
        <f t="shared" si="9"/>
        <v>2</v>
      </c>
      <c r="H610" s="865" t="s">
        <v>8764</v>
      </c>
    </row>
    <row r="611" spans="1:8" ht="30">
      <c r="A611" s="108" t="s">
        <v>9959</v>
      </c>
      <c r="B611" s="866" t="s">
        <v>10083</v>
      </c>
      <c r="C611" s="861" t="s">
        <v>10084</v>
      </c>
      <c r="D611" s="861" t="s">
        <v>10085</v>
      </c>
      <c r="E611" s="861" t="s">
        <v>10086</v>
      </c>
      <c r="F611" s="701" t="s">
        <v>10087</v>
      </c>
      <c r="G611" s="108">
        <f t="shared" si="9"/>
        <v>4</v>
      </c>
      <c r="H611" s="865" t="s">
        <v>8763</v>
      </c>
    </row>
    <row r="612" spans="1:8" ht="30">
      <c r="A612" s="108" t="s">
        <v>9959</v>
      </c>
      <c r="B612" s="793" t="s">
        <v>10088</v>
      </c>
      <c r="C612" s="693" t="s">
        <v>10089</v>
      </c>
      <c r="D612" s="701" t="s">
        <v>10090</v>
      </c>
      <c r="E612" s="861" t="s">
        <v>10091</v>
      </c>
      <c r="F612" s="861" t="s">
        <v>10092</v>
      </c>
      <c r="G612" s="108">
        <f t="shared" si="9"/>
        <v>2</v>
      </c>
      <c r="H612" s="865" t="s">
        <v>8764</v>
      </c>
    </row>
    <row r="613" spans="1:8" ht="45">
      <c r="A613" s="108" t="s">
        <v>10093</v>
      </c>
      <c r="B613" s="840" t="s">
        <v>10094</v>
      </c>
      <c r="C613" s="842" t="s">
        <v>7066</v>
      </c>
      <c r="D613" s="841" t="s">
        <v>7067</v>
      </c>
      <c r="E613" s="841" t="s">
        <v>10095</v>
      </c>
      <c r="F613" s="841" t="s">
        <v>10096</v>
      </c>
      <c r="G613" s="108">
        <f t="shared" si="9"/>
        <v>1</v>
      </c>
      <c r="H613" s="832" t="s">
        <v>8761</v>
      </c>
    </row>
    <row r="614" spans="1:8" ht="45">
      <c r="A614" s="108" t="s">
        <v>10093</v>
      </c>
      <c r="B614" s="840" t="s">
        <v>10097</v>
      </c>
      <c r="C614" s="841" t="s">
        <v>7069</v>
      </c>
      <c r="D614" s="841" t="s">
        <v>10098</v>
      </c>
      <c r="E614" s="841" t="s">
        <v>7071</v>
      </c>
      <c r="F614" s="842" t="s">
        <v>1869</v>
      </c>
      <c r="G614" s="108">
        <f t="shared" si="9"/>
        <v>4</v>
      </c>
      <c r="H614" s="832" t="s">
        <v>8763</v>
      </c>
    </row>
    <row r="615" spans="1:8" ht="30">
      <c r="A615" s="108" t="s">
        <v>10093</v>
      </c>
      <c r="B615" s="840" t="s">
        <v>10099</v>
      </c>
      <c r="C615" s="841" t="s">
        <v>10100</v>
      </c>
      <c r="D615" s="841" t="s">
        <v>10101</v>
      </c>
      <c r="E615" s="842" t="s">
        <v>10102</v>
      </c>
      <c r="F615" s="841" t="s">
        <v>10103</v>
      </c>
      <c r="G615" s="108">
        <f t="shared" si="9"/>
        <v>3</v>
      </c>
      <c r="H615" s="832" t="s">
        <v>8766</v>
      </c>
    </row>
    <row r="616" spans="1:8" ht="30">
      <c r="A616" s="108" t="s">
        <v>10093</v>
      </c>
      <c r="B616" s="502" t="s">
        <v>10104</v>
      </c>
      <c r="C616" s="502" t="s">
        <v>2427</v>
      </c>
      <c r="D616" s="107" t="s">
        <v>2428</v>
      </c>
      <c r="E616" s="502" t="s">
        <v>7075</v>
      </c>
      <c r="F616" s="502" t="s">
        <v>8765</v>
      </c>
      <c r="G616" s="108">
        <f t="shared" si="9"/>
        <v>2</v>
      </c>
      <c r="H616" s="857" t="s">
        <v>8764</v>
      </c>
    </row>
    <row r="617" spans="1:8" ht="30">
      <c r="A617" s="108" t="s">
        <v>10093</v>
      </c>
      <c r="B617" s="502" t="s">
        <v>10105</v>
      </c>
      <c r="C617" s="107" t="s">
        <v>7078</v>
      </c>
      <c r="D617" s="502" t="s">
        <v>7079</v>
      </c>
      <c r="E617" s="502" t="s">
        <v>6963</v>
      </c>
      <c r="F617" s="502" t="s">
        <v>7080</v>
      </c>
      <c r="G617" s="108">
        <f t="shared" si="9"/>
        <v>1</v>
      </c>
      <c r="H617" s="857" t="s">
        <v>8761</v>
      </c>
    </row>
    <row r="618" spans="1:8" ht="75">
      <c r="A618" s="108" t="s">
        <v>10093</v>
      </c>
      <c r="B618" s="502" t="s">
        <v>10106</v>
      </c>
      <c r="C618" s="502" t="s">
        <v>10107</v>
      </c>
      <c r="D618" s="107" t="s">
        <v>10108</v>
      </c>
      <c r="E618" s="502" t="s">
        <v>7084</v>
      </c>
      <c r="F618" s="502" t="s">
        <v>8765</v>
      </c>
      <c r="G618" s="108">
        <f t="shared" si="9"/>
        <v>2</v>
      </c>
      <c r="H618" s="857" t="s">
        <v>8764</v>
      </c>
    </row>
    <row r="619" spans="1:8" ht="60">
      <c r="A619" s="108" t="s">
        <v>10093</v>
      </c>
      <c r="B619" s="502" t="s">
        <v>10109</v>
      </c>
      <c r="C619" s="502" t="s">
        <v>10107</v>
      </c>
      <c r="D619" s="502" t="s">
        <v>10108</v>
      </c>
      <c r="E619" s="107" t="s">
        <v>7084</v>
      </c>
      <c r="F619" s="502" t="s">
        <v>8765</v>
      </c>
      <c r="G619" s="108">
        <f t="shared" si="9"/>
        <v>3</v>
      </c>
      <c r="H619" s="857" t="s">
        <v>8766</v>
      </c>
    </row>
    <row r="620" spans="1:8" ht="45">
      <c r="A620" s="108" t="s">
        <v>10093</v>
      </c>
      <c r="B620" s="844" t="s">
        <v>10110</v>
      </c>
      <c r="C620" s="846" t="s">
        <v>7087</v>
      </c>
      <c r="D620" s="845" t="s">
        <v>7088</v>
      </c>
      <c r="E620" s="845" t="s">
        <v>10111</v>
      </c>
      <c r="F620" s="845" t="s">
        <v>8765</v>
      </c>
      <c r="G620" s="108">
        <f t="shared" si="9"/>
        <v>1</v>
      </c>
      <c r="H620" s="848" t="s">
        <v>8761</v>
      </c>
    </row>
    <row r="621" spans="1:8" ht="45">
      <c r="A621" s="108" t="s">
        <v>10093</v>
      </c>
      <c r="B621" s="502" t="s">
        <v>10112</v>
      </c>
      <c r="C621" s="502" t="s">
        <v>7088</v>
      </c>
      <c r="D621" s="107" t="s">
        <v>7090</v>
      </c>
      <c r="E621" s="502" t="s">
        <v>7087</v>
      </c>
      <c r="F621" s="502" t="s">
        <v>8765</v>
      </c>
      <c r="G621" s="108">
        <f t="shared" si="9"/>
        <v>2</v>
      </c>
      <c r="H621" s="857" t="s">
        <v>8764</v>
      </c>
    </row>
    <row r="622" spans="1:8" ht="90">
      <c r="A622" s="108" t="s">
        <v>10093</v>
      </c>
      <c r="B622" s="502" t="s">
        <v>10113</v>
      </c>
      <c r="C622" s="502" t="s">
        <v>7092</v>
      </c>
      <c r="D622" s="502" t="s">
        <v>7093</v>
      </c>
      <c r="E622" s="502" t="s">
        <v>7094</v>
      </c>
      <c r="F622" s="107" t="s">
        <v>7095</v>
      </c>
      <c r="G622" s="108">
        <f t="shared" si="9"/>
        <v>4</v>
      </c>
      <c r="H622" s="857" t="s">
        <v>8763</v>
      </c>
    </row>
    <row r="623" spans="1:8">
      <c r="A623" s="108" t="s">
        <v>10093</v>
      </c>
      <c r="B623" s="502" t="s">
        <v>10114</v>
      </c>
      <c r="C623" s="502" t="s">
        <v>7097</v>
      </c>
      <c r="D623" s="502" t="s">
        <v>7098</v>
      </c>
      <c r="E623" s="107" t="s">
        <v>7099</v>
      </c>
      <c r="F623" s="502" t="s">
        <v>1869</v>
      </c>
      <c r="G623" s="108">
        <f t="shared" si="9"/>
        <v>3</v>
      </c>
      <c r="H623" s="857" t="s">
        <v>8766</v>
      </c>
    </row>
    <row r="624" spans="1:8" ht="30">
      <c r="A624" s="108" t="s">
        <v>10093</v>
      </c>
      <c r="B624" s="502" t="s">
        <v>7101</v>
      </c>
      <c r="C624" s="502" t="s">
        <v>7087</v>
      </c>
      <c r="D624" s="107" t="s">
        <v>7088</v>
      </c>
      <c r="E624" s="502" t="s">
        <v>2812</v>
      </c>
      <c r="F624" s="502" t="s">
        <v>8765</v>
      </c>
      <c r="G624" s="108">
        <f t="shared" si="9"/>
        <v>2</v>
      </c>
      <c r="H624" s="857" t="s">
        <v>8764</v>
      </c>
    </row>
    <row r="625" spans="1:8" ht="30">
      <c r="A625" s="108" t="s">
        <v>10093</v>
      </c>
      <c r="B625" s="502" t="s">
        <v>7151</v>
      </c>
      <c r="C625" s="107" t="s">
        <v>7152</v>
      </c>
      <c r="D625" s="502" t="s">
        <v>7153</v>
      </c>
      <c r="E625" s="502" t="s">
        <v>7154</v>
      </c>
      <c r="F625" s="502" t="s">
        <v>7155</v>
      </c>
      <c r="G625" s="108">
        <f t="shared" si="9"/>
        <v>1</v>
      </c>
      <c r="H625" s="857" t="s">
        <v>8761</v>
      </c>
    </row>
    <row r="626" spans="1:8" ht="30">
      <c r="A626" s="108" t="s">
        <v>10093</v>
      </c>
      <c r="B626" s="502" t="s">
        <v>7156</v>
      </c>
      <c r="C626" s="107" t="s">
        <v>7157</v>
      </c>
      <c r="D626" s="502" t="s">
        <v>7158</v>
      </c>
      <c r="E626" s="502" t="s">
        <v>7154</v>
      </c>
      <c r="F626" s="502" t="s">
        <v>7155</v>
      </c>
      <c r="G626" s="108">
        <f t="shared" si="9"/>
        <v>1</v>
      </c>
      <c r="H626" s="857" t="s">
        <v>8761</v>
      </c>
    </row>
    <row r="627" spans="1:8" ht="45">
      <c r="A627" s="108" t="s">
        <v>10093</v>
      </c>
      <c r="B627" s="844" t="s">
        <v>10115</v>
      </c>
      <c r="C627" s="846" t="s">
        <v>10116</v>
      </c>
      <c r="D627" s="845" t="s">
        <v>7161</v>
      </c>
      <c r="E627" s="845" t="s">
        <v>7162</v>
      </c>
      <c r="F627" s="845" t="s">
        <v>7163</v>
      </c>
      <c r="G627" s="108">
        <f t="shared" si="9"/>
        <v>1</v>
      </c>
      <c r="H627" s="848" t="s">
        <v>8761</v>
      </c>
    </row>
    <row r="628" spans="1:8" ht="30">
      <c r="A628" s="108" t="s">
        <v>10093</v>
      </c>
      <c r="B628" s="502" t="s">
        <v>10117</v>
      </c>
      <c r="C628" s="856">
        <v>0.23</v>
      </c>
      <c r="D628" s="856">
        <v>0.87</v>
      </c>
      <c r="E628" s="157">
        <v>0.19</v>
      </c>
      <c r="F628" s="856">
        <v>0.1</v>
      </c>
      <c r="G628" s="108">
        <f t="shared" si="9"/>
        <v>3</v>
      </c>
      <c r="H628" s="857" t="s">
        <v>8766</v>
      </c>
    </row>
    <row r="629" spans="1:8" ht="45">
      <c r="A629" s="108" t="s">
        <v>10093</v>
      </c>
      <c r="B629" s="502" t="s">
        <v>7165</v>
      </c>
      <c r="C629" s="502" t="s">
        <v>10118</v>
      </c>
      <c r="D629" s="107" t="s">
        <v>10119</v>
      </c>
      <c r="E629" s="502" t="s">
        <v>10120</v>
      </c>
      <c r="F629" s="502" t="s">
        <v>10121</v>
      </c>
      <c r="G629" s="108">
        <f t="shared" si="9"/>
        <v>2</v>
      </c>
      <c r="H629" s="857" t="s">
        <v>8764</v>
      </c>
    </row>
    <row r="630" spans="1:8" ht="30">
      <c r="A630" s="108" t="s">
        <v>10093</v>
      </c>
      <c r="B630" s="502" t="s">
        <v>7170</v>
      </c>
      <c r="C630" s="107" t="s">
        <v>7171</v>
      </c>
      <c r="D630" s="502" t="s">
        <v>7172</v>
      </c>
      <c r="E630" s="502" t="s">
        <v>7173</v>
      </c>
      <c r="F630" s="502" t="s">
        <v>8765</v>
      </c>
      <c r="G630" s="108">
        <f t="shared" si="9"/>
        <v>1</v>
      </c>
      <c r="H630" s="857" t="s">
        <v>8761</v>
      </c>
    </row>
    <row r="631" spans="1:8" ht="45">
      <c r="A631" s="108" t="s">
        <v>10093</v>
      </c>
      <c r="B631" s="502" t="s">
        <v>7175</v>
      </c>
      <c r="C631" s="107" t="s">
        <v>7176</v>
      </c>
      <c r="D631" s="502" t="s">
        <v>7177</v>
      </c>
      <c r="E631" s="502" t="s">
        <v>7161</v>
      </c>
      <c r="F631" s="502" t="s">
        <v>8765</v>
      </c>
      <c r="G631" s="108">
        <f t="shared" si="9"/>
        <v>1</v>
      </c>
      <c r="H631" s="857" t="s">
        <v>8761</v>
      </c>
    </row>
    <row r="632" spans="1:8" ht="30">
      <c r="A632" s="108" t="s">
        <v>10093</v>
      </c>
      <c r="B632" s="502" t="s">
        <v>10122</v>
      </c>
      <c r="C632" s="502" t="s">
        <v>7179</v>
      </c>
      <c r="D632" s="107" t="s">
        <v>7180</v>
      </c>
      <c r="E632" s="502" t="s">
        <v>7181</v>
      </c>
      <c r="F632" s="502" t="s">
        <v>7182</v>
      </c>
      <c r="G632" s="108">
        <f t="shared" si="9"/>
        <v>2</v>
      </c>
      <c r="H632" s="857" t="s">
        <v>8764</v>
      </c>
    </row>
    <row r="633" spans="1:8" ht="30">
      <c r="A633" s="108" t="s">
        <v>10093</v>
      </c>
      <c r="B633" s="502" t="s">
        <v>10123</v>
      </c>
      <c r="C633" s="107" t="s">
        <v>7184</v>
      </c>
      <c r="D633" s="502" t="s">
        <v>10124</v>
      </c>
      <c r="E633" s="502" t="s">
        <v>7186</v>
      </c>
      <c r="F633" s="502" t="s">
        <v>7187</v>
      </c>
      <c r="G633" s="108">
        <f t="shared" si="9"/>
        <v>1</v>
      </c>
      <c r="H633" s="857" t="s">
        <v>8761</v>
      </c>
    </row>
    <row r="634" spans="1:8" ht="30">
      <c r="A634" s="108" t="s">
        <v>10093</v>
      </c>
      <c r="B634" s="502" t="s">
        <v>7206</v>
      </c>
      <c r="C634" s="502" t="s">
        <v>7207</v>
      </c>
      <c r="D634" s="107" t="s">
        <v>7208</v>
      </c>
      <c r="E634" s="502" t="s">
        <v>7209</v>
      </c>
      <c r="F634" s="502" t="s">
        <v>8765</v>
      </c>
      <c r="G634" s="108">
        <f t="shared" si="9"/>
        <v>2</v>
      </c>
      <c r="H634" s="857" t="s">
        <v>8764</v>
      </c>
    </row>
    <row r="635" spans="1:8">
      <c r="A635" s="108" t="s">
        <v>10093</v>
      </c>
      <c r="B635" s="502" t="s">
        <v>7210</v>
      </c>
      <c r="C635" s="502" t="s">
        <v>7211</v>
      </c>
      <c r="D635" s="502" t="s">
        <v>7212</v>
      </c>
      <c r="E635" s="107" t="s">
        <v>7213</v>
      </c>
      <c r="F635" s="113" t="s">
        <v>8946</v>
      </c>
      <c r="G635" s="108">
        <f t="shared" si="9"/>
        <v>3</v>
      </c>
      <c r="H635" s="857" t="s">
        <v>8766</v>
      </c>
    </row>
    <row r="636" spans="1:8" ht="60">
      <c r="A636" s="108" t="s">
        <v>10093</v>
      </c>
      <c r="B636" s="502" t="s">
        <v>10125</v>
      </c>
      <c r="C636" s="502" t="s">
        <v>7215</v>
      </c>
      <c r="D636" s="502" t="s">
        <v>7216</v>
      </c>
      <c r="E636" s="107" t="s">
        <v>7217</v>
      </c>
      <c r="F636" s="502" t="s">
        <v>7218</v>
      </c>
      <c r="G636" s="108">
        <f t="shared" si="9"/>
        <v>3</v>
      </c>
      <c r="H636" s="857" t="s">
        <v>8766</v>
      </c>
    </row>
    <row r="637" spans="1:8" ht="30">
      <c r="A637" s="108" t="s">
        <v>10093</v>
      </c>
      <c r="B637" s="502" t="s">
        <v>10126</v>
      </c>
      <c r="C637" s="502" t="s">
        <v>7232</v>
      </c>
      <c r="D637" s="502" t="s">
        <v>7233</v>
      </c>
      <c r="E637" s="107" t="s">
        <v>7234</v>
      </c>
      <c r="F637" s="502" t="s">
        <v>8765</v>
      </c>
      <c r="G637" s="108">
        <f t="shared" si="9"/>
        <v>3</v>
      </c>
      <c r="H637" s="857" t="s">
        <v>8766</v>
      </c>
    </row>
    <row r="638" spans="1:8" ht="30">
      <c r="A638" s="108" t="s">
        <v>10093</v>
      </c>
      <c r="B638" s="502" t="s">
        <v>10127</v>
      </c>
      <c r="C638" s="107" t="s">
        <v>7236</v>
      </c>
      <c r="D638" s="502" t="s">
        <v>7237</v>
      </c>
      <c r="E638" s="502" t="s">
        <v>7238</v>
      </c>
      <c r="F638" s="502" t="s">
        <v>8765</v>
      </c>
      <c r="G638" s="108">
        <f t="shared" si="9"/>
        <v>1</v>
      </c>
      <c r="H638" s="857" t="s">
        <v>8761</v>
      </c>
    </row>
    <row r="639" spans="1:8" ht="30">
      <c r="A639" s="108" t="s">
        <v>10093</v>
      </c>
      <c r="B639" s="844" t="s">
        <v>10128</v>
      </c>
      <c r="C639" s="846" t="s">
        <v>7240</v>
      </c>
      <c r="D639" s="845" t="s">
        <v>7241</v>
      </c>
      <c r="E639" s="845" t="s">
        <v>7242</v>
      </c>
      <c r="F639" s="845" t="s">
        <v>10129</v>
      </c>
      <c r="G639" s="108">
        <f t="shared" si="9"/>
        <v>1</v>
      </c>
      <c r="H639" s="848" t="s">
        <v>8761</v>
      </c>
    </row>
    <row r="640" spans="1:8" ht="30">
      <c r="A640" s="108" t="s">
        <v>10093</v>
      </c>
      <c r="B640" s="502" t="s">
        <v>7243</v>
      </c>
      <c r="C640" s="502" t="s">
        <v>7244</v>
      </c>
      <c r="D640" s="107" t="s">
        <v>7245</v>
      </c>
      <c r="E640" s="502" t="s">
        <v>7246</v>
      </c>
      <c r="F640" s="502" t="s">
        <v>8765</v>
      </c>
      <c r="G640" s="108">
        <f t="shared" si="9"/>
        <v>2</v>
      </c>
      <c r="H640" s="857" t="s">
        <v>8764</v>
      </c>
    </row>
    <row r="641" spans="1:8" ht="30">
      <c r="A641" s="108" t="s">
        <v>10093</v>
      </c>
      <c r="B641" s="106" t="s">
        <v>10130</v>
      </c>
      <c r="C641" s="701" t="s">
        <v>10131</v>
      </c>
      <c r="D641" s="861" t="s">
        <v>10132</v>
      </c>
      <c r="E641" s="861" t="s">
        <v>10133</v>
      </c>
      <c r="F641" s="861" t="s">
        <v>10134</v>
      </c>
      <c r="G641" s="108">
        <f t="shared" si="9"/>
        <v>1</v>
      </c>
      <c r="H641" s="865" t="s">
        <v>8761</v>
      </c>
    </row>
    <row r="642" spans="1:8" ht="30">
      <c r="A642" s="108" t="s">
        <v>10093</v>
      </c>
      <c r="B642" s="106" t="s">
        <v>10135</v>
      </c>
      <c r="C642" s="861" t="s">
        <v>10136</v>
      </c>
      <c r="D642" s="701" t="s">
        <v>10137</v>
      </c>
      <c r="E642" s="861" t="s">
        <v>10138</v>
      </c>
      <c r="F642" s="861" t="s">
        <v>10139</v>
      </c>
      <c r="G642" s="108">
        <f t="shared" si="9"/>
        <v>2</v>
      </c>
      <c r="H642" s="865" t="s">
        <v>8764</v>
      </c>
    </row>
    <row r="643" spans="1:8" ht="30">
      <c r="A643" s="108" t="s">
        <v>10093</v>
      </c>
      <c r="B643" s="106" t="s">
        <v>10140</v>
      </c>
      <c r="C643" s="861" t="s">
        <v>10141</v>
      </c>
      <c r="D643" s="861" t="s">
        <v>10142</v>
      </c>
      <c r="E643" s="861" t="s">
        <v>10143</v>
      </c>
      <c r="F643" s="701" t="s">
        <v>10144</v>
      </c>
      <c r="G643" s="108">
        <f t="shared" ref="G643:G706" si="10">IF(H643="A",1,IF(H643="B",2,IF(H643="C",3,IF(H643="D",4,0))))</f>
        <v>4</v>
      </c>
      <c r="H643" s="865" t="s">
        <v>8763</v>
      </c>
    </row>
    <row r="644" spans="1:8" ht="30">
      <c r="A644" s="108" t="s">
        <v>10093</v>
      </c>
      <c r="B644" s="106" t="s">
        <v>10145</v>
      </c>
      <c r="C644" s="701" t="s">
        <v>10146</v>
      </c>
      <c r="D644" s="861" t="s">
        <v>10147</v>
      </c>
      <c r="E644" s="861" t="s">
        <v>10148</v>
      </c>
      <c r="F644" s="861" t="s">
        <v>10149</v>
      </c>
      <c r="G644" s="108">
        <f t="shared" si="10"/>
        <v>1</v>
      </c>
      <c r="H644" s="865" t="s">
        <v>8761</v>
      </c>
    </row>
    <row r="645" spans="1:8" ht="30">
      <c r="A645" s="108" t="s">
        <v>10093</v>
      </c>
      <c r="B645" s="106" t="s">
        <v>10150</v>
      </c>
      <c r="C645" s="861" t="s">
        <v>10142</v>
      </c>
      <c r="D645" s="701" t="s">
        <v>10143</v>
      </c>
      <c r="E645" s="861" t="s">
        <v>10151</v>
      </c>
      <c r="F645" s="861" t="s">
        <v>10144</v>
      </c>
      <c r="G645" s="108">
        <f t="shared" si="10"/>
        <v>2</v>
      </c>
      <c r="H645" s="865" t="s">
        <v>8764</v>
      </c>
    </row>
    <row r="646" spans="1:8" ht="45">
      <c r="A646" s="108" t="s">
        <v>10093</v>
      </c>
      <c r="B646" s="106" t="s">
        <v>10152</v>
      </c>
      <c r="C646" s="861" t="s">
        <v>10153</v>
      </c>
      <c r="D646" s="861" t="s">
        <v>10154</v>
      </c>
      <c r="E646" s="701" t="s">
        <v>10155</v>
      </c>
      <c r="F646" s="861" t="s">
        <v>10156</v>
      </c>
      <c r="G646" s="108">
        <f t="shared" si="10"/>
        <v>3</v>
      </c>
      <c r="H646" s="865" t="s">
        <v>8766</v>
      </c>
    </row>
    <row r="647" spans="1:8" ht="30">
      <c r="A647" s="108" t="s">
        <v>10093</v>
      </c>
      <c r="B647" s="106" t="s">
        <v>10157</v>
      </c>
      <c r="C647" s="861" t="s">
        <v>10158</v>
      </c>
      <c r="D647" s="701" t="s">
        <v>10159</v>
      </c>
      <c r="E647" s="861" t="s">
        <v>10160</v>
      </c>
      <c r="F647" s="861" t="s">
        <v>10161</v>
      </c>
      <c r="G647" s="108">
        <f t="shared" si="10"/>
        <v>2</v>
      </c>
      <c r="H647" s="865" t="s">
        <v>8764</v>
      </c>
    </row>
    <row r="648" spans="1:8" ht="30">
      <c r="A648" s="108" t="s">
        <v>10093</v>
      </c>
      <c r="B648" s="106" t="s">
        <v>10162</v>
      </c>
      <c r="C648" s="861">
        <v>8</v>
      </c>
      <c r="D648" s="861">
        <v>2</v>
      </c>
      <c r="E648" s="701">
        <v>5</v>
      </c>
      <c r="F648" s="861">
        <v>1.25</v>
      </c>
      <c r="G648" s="108">
        <f t="shared" si="10"/>
        <v>3</v>
      </c>
      <c r="H648" s="865" t="s">
        <v>8766</v>
      </c>
    </row>
    <row r="649" spans="1:8" ht="45">
      <c r="A649" s="108" t="s">
        <v>10093</v>
      </c>
      <c r="B649" s="106" t="s">
        <v>10163</v>
      </c>
      <c r="C649" s="861">
        <v>5</v>
      </c>
      <c r="D649" s="861">
        <v>1</v>
      </c>
      <c r="E649" s="861">
        <v>50</v>
      </c>
      <c r="F649" s="701">
        <v>2</v>
      </c>
      <c r="G649" s="108">
        <f t="shared" si="10"/>
        <v>4</v>
      </c>
      <c r="H649" s="865" t="s">
        <v>8763</v>
      </c>
    </row>
    <row r="650" spans="1:8" ht="45">
      <c r="A650" s="108" t="s">
        <v>10093</v>
      </c>
      <c r="B650" s="683" t="s">
        <v>10164</v>
      </c>
      <c r="C650" s="693">
        <v>220</v>
      </c>
      <c r="D650" s="701">
        <v>400</v>
      </c>
      <c r="E650" s="693">
        <v>100</v>
      </c>
      <c r="F650" s="693">
        <v>40</v>
      </c>
      <c r="G650" s="108">
        <f t="shared" si="10"/>
        <v>2</v>
      </c>
      <c r="H650" s="869" t="s">
        <v>8764</v>
      </c>
    </row>
    <row r="651" spans="1:8" ht="30">
      <c r="A651" s="108" t="s">
        <v>10093</v>
      </c>
      <c r="B651" s="106" t="s">
        <v>10165</v>
      </c>
      <c r="C651" s="701">
        <v>0.2</v>
      </c>
      <c r="D651" s="861">
        <v>0.4</v>
      </c>
      <c r="E651" s="861">
        <v>5</v>
      </c>
      <c r="F651" s="861">
        <v>2</v>
      </c>
      <c r="G651" s="108">
        <f t="shared" si="10"/>
        <v>1</v>
      </c>
      <c r="H651" s="865" t="s">
        <v>8761</v>
      </c>
    </row>
    <row r="652" spans="1:8" ht="30">
      <c r="A652" s="108" t="s">
        <v>10093</v>
      </c>
      <c r="B652" s="106" t="s">
        <v>10166</v>
      </c>
      <c r="C652" s="861">
        <v>0.05</v>
      </c>
      <c r="D652" s="861">
        <v>2</v>
      </c>
      <c r="E652" s="701">
        <v>20</v>
      </c>
      <c r="F652" s="861">
        <v>40</v>
      </c>
      <c r="G652" s="108">
        <f t="shared" si="10"/>
        <v>3</v>
      </c>
      <c r="H652" s="865" t="s">
        <v>8766</v>
      </c>
    </row>
    <row r="653" spans="1:8" ht="30">
      <c r="A653" s="108" t="s">
        <v>10093</v>
      </c>
      <c r="B653" s="106" t="s">
        <v>10167</v>
      </c>
      <c r="C653" s="701" t="s">
        <v>10168</v>
      </c>
      <c r="D653" s="861" t="s">
        <v>10169</v>
      </c>
      <c r="E653" s="861" t="s">
        <v>10170</v>
      </c>
      <c r="F653" s="861" t="s">
        <v>10171</v>
      </c>
      <c r="G653" s="108">
        <f t="shared" si="10"/>
        <v>1</v>
      </c>
      <c r="H653" s="865" t="s">
        <v>8761</v>
      </c>
    </row>
    <row r="654" spans="1:8" ht="45">
      <c r="A654" s="108" t="s">
        <v>10093</v>
      </c>
      <c r="B654" s="106" t="s">
        <v>10172</v>
      </c>
      <c r="C654" s="861">
        <v>400</v>
      </c>
      <c r="D654" s="701">
        <v>404</v>
      </c>
      <c r="E654" s="861">
        <v>396</v>
      </c>
      <c r="F654" s="861">
        <v>412</v>
      </c>
      <c r="G654" s="108">
        <f t="shared" si="10"/>
        <v>2</v>
      </c>
      <c r="H654" s="865" t="s">
        <v>8764</v>
      </c>
    </row>
    <row r="655" spans="1:8" ht="30">
      <c r="A655" s="108" t="s">
        <v>10093</v>
      </c>
      <c r="B655" s="106" t="s">
        <v>10173</v>
      </c>
      <c r="C655" s="861">
        <v>25</v>
      </c>
      <c r="D655" s="861">
        <v>0.25</v>
      </c>
      <c r="E655" s="701">
        <v>2.5</v>
      </c>
      <c r="F655" s="861">
        <v>12.5</v>
      </c>
      <c r="G655" s="108">
        <f t="shared" si="10"/>
        <v>3</v>
      </c>
      <c r="H655" s="865" t="s">
        <v>8766</v>
      </c>
    </row>
    <row r="656" spans="1:8">
      <c r="A656" s="108" t="s">
        <v>10093</v>
      </c>
      <c r="B656" s="106" t="s">
        <v>10174</v>
      </c>
      <c r="C656" s="861" t="s">
        <v>10175</v>
      </c>
      <c r="D656" s="861" t="s">
        <v>10176</v>
      </c>
      <c r="E656" s="861" t="s">
        <v>10177</v>
      </c>
      <c r="F656" s="701" t="s">
        <v>10178</v>
      </c>
      <c r="G656" s="108">
        <f t="shared" si="10"/>
        <v>4</v>
      </c>
      <c r="H656" s="865" t="s">
        <v>8763</v>
      </c>
    </row>
    <row r="657" spans="1:8" ht="30">
      <c r="A657" s="108" t="s">
        <v>10093</v>
      </c>
      <c r="B657" s="684" t="s">
        <v>10179</v>
      </c>
      <c r="C657" s="693">
        <v>45</v>
      </c>
      <c r="D657" s="701">
        <v>90</v>
      </c>
      <c r="E657" s="693">
        <v>135</v>
      </c>
      <c r="F657" s="693">
        <v>180</v>
      </c>
      <c r="G657" s="108">
        <f t="shared" si="10"/>
        <v>2</v>
      </c>
      <c r="H657" s="869" t="s">
        <v>8764</v>
      </c>
    </row>
    <row r="658" spans="1:8" ht="45">
      <c r="A658" s="108" t="s">
        <v>10093</v>
      </c>
      <c r="B658" s="683" t="s">
        <v>10180</v>
      </c>
      <c r="C658" s="693">
        <v>80</v>
      </c>
      <c r="D658" s="701">
        <v>40</v>
      </c>
      <c r="E658" s="693">
        <v>60</v>
      </c>
      <c r="F658" s="693">
        <v>20</v>
      </c>
      <c r="G658" s="108">
        <f t="shared" si="10"/>
        <v>2</v>
      </c>
      <c r="H658" s="869" t="s">
        <v>8764</v>
      </c>
    </row>
    <row r="659" spans="1:8" ht="30">
      <c r="A659" s="108" t="s">
        <v>10093</v>
      </c>
      <c r="B659" s="331" t="s">
        <v>10181</v>
      </c>
      <c r="C659" s="861" t="s">
        <v>10182</v>
      </c>
      <c r="D659" s="861" t="s">
        <v>10183</v>
      </c>
      <c r="E659" s="861" t="s">
        <v>10184</v>
      </c>
      <c r="F659" s="115" t="s">
        <v>8946</v>
      </c>
      <c r="G659" s="108">
        <f t="shared" si="10"/>
        <v>4</v>
      </c>
      <c r="H659" s="865" t="s">
        <v>8763</v>
      </c>
    </row>
    <row r="660" spans="1:8" ht="30">
      <c r="A660" s="108" t="s">
        <v>10093</v>
      </c>
      <c r="B660" s="870" t="s">
        <v>10185</v>
      </c>
      <c r="C660" s="701" t="s">
        <v>10186</v>
      </c>
      <c r="D660" s="861" t="s">
        <v>10187</v>
      </c>
      <c r="E660" s="861" t="s">
        <v>10188</v>
      </c>
      <c r="F660" s="113" t="s">
        <v>8946</v>
      </c>
      <c r="G660" s="108">
        <f t="shared" si="10"/>
        <v>1</v>
      </c>
      <c r="H660" s="865" t="s">
        <v>8761</v>
      </c>
    </row>
    <row r="661" spans="1:8" ht="60">
      <c r="A661" s="108" t="s">
        <v>10093</v>
      </c>
      <c r="B661" s="871" t="s">
        <v>10189</v>
      </c>
      <c r="C661" s="861" t="s">
        <v>10190</v>
      </c>
      <c r="D661" s="861" t="s">
        <v>10191</v>
      </c>
      <c r="E661" s="861" t="s">
        <v>10192</v>
      </c>
      <c r="F661" s="701" t="s">
        <v>7843</v>
      </c>
      <c r="G661" s="108">
        <f t="shared" si="10"/>
        <v>4</v>
      </c>
      <c r="H661" s="865" t="s">
        <v>8763</v>
      </c>
    </row>
    <row r="662" spans="1:8" ht="45">
      <c r="A662" s="108" t="s">
        <v>10093</v>
      </c>
      <c r="B662" s="870" t="s">
        <v>10193</v>
      </c>
      <c r="C662" s="861" t="s">
        <v>10194</v>
      </c>
      <c r="D662" s="861" t="s">
        <v>10195</v>
      </c>
      <c r="E662" s="861" t="s">
        <v>10196</v>
      </c>
      <c r="F662" s="115" t="s">
        <v>8946</v>
      </c>
      <c r="G662" s="108">
        <f t="shared" si="10"/>
        <v>4</v>
      </c>
      <c r="H662" s="865" t="s">
        <v>8763</v>
      </c>
    </row>
    <row r="663" spans="1:8" ht="60">
      <c r="A663" s="108" t="s">
        <v>10093</v>
      </c>
      <c r="B663" s="331" t="s">
        <v>10197</v>
      </c>
      <c r="C663" s="701" t="s">
        <v>10198</v>
      </c>
      <c r="D663" s="861" t="s">
        <v>10199</v>
      </c>
      <c r="E663" s="861" t="s">
        <v>10200</v>
      </c>
      <c r="F663" s="502" t="s">
        <v>8765</v>
      </c>
      <c r="G663" s="108">
        <f t="shared" si="10"/>
        <v>1</v>
      </c>
      <c r="H663" s="865" t="s">
        <v>8761</v>
      </c>
    </row>
    <row r="664" spans="1:8" ht="30">
      <c r="A664" s="108" t="s">
        <v>10093</v>
      </c>
      <c r="B664" s="106" t="s">
        <v>10201</v>
      </c>
      <c r="C664" s="861" t="s">
        <v>10202</v>
      </c>
      <c r="D664" s="701" t="s">
        <v>10203</v>
      </c>
      <c r="E664" s="861" t="s">
        <v>10204</v>
      </c>
      <c r="F664" s="861" t="s">
        <v>10205</v>
      </c>
      <c r="G664" s="108">
        <f t="shared" si="10"/>
        <v>2</v>
      </c>
      <c r="H664" s="865" t="s">
        <v>8764</v>
      </c>
    </row>
    <row r="665" spans="1:8" ht="45">
      <c r="A665" s="108" t="s">
        <v>10093</v>
      </c>
      <c r="B665" s="870" t="s">
        <v>10206</v>
      </c>
      <c r="C665" s="861" t="s">
        <v>10207</v>
      </c>
      <c r="D665" s="701" t="s">
        <v>10208</v>
      </c>
      <c r="E665" s="861" t="s">
        <v>10209</v>
      </c>
      <c r="F665" s="861" t="s">
        <v>10210</v>
      </c>
      <c r="G665" s="108">
        <f t="shared" si="10"/>
        <v>2</v>
      </c>
      <c r="H665" s="865" t="s">
        <v>8764</v>
      </c>
    </row>
    <row r="666" spans="1:8" ht="30">
      <c r="A666" s="108" t="s">
        <v>10093</v>
      </c>
      <c r="B666" s="106" t="s">
        <v>10211</v>
      </c>
      <c r="C666" s="701" t="s">
        <v>10212</v>
      </c>
      <c r="D666" s="861" t="s">
        <v>10082</v>
      </c>
      <c r="E666" s="861" t="s">
        <v>10213</v>
      </c>
      <c r="F666" s="861" t="s">
        <v>10214</v>
      </c>
      <c r="G666" s="108">
        <f t="shared" si="10"/>
        <v>1</v>
      </c>
      <c r="H666" s="865" t="s">
        <v>8761</v>
      </c>
    </row>
    <row r="667" spans="1:8">
      <c r="A667" s="108" t="s">
        <v>10093</v>
      </c>
      <c r="B667" s="106" t="s">
        <v>10215</v>
      </c>
      <c r="C667" s="861" t="s">
        <v>10214</v>
      </c>
      <c r="D667" s="701" t="s">
        <v>10082</v>
      </c>
      <c r="E667" s="861" t="s">
        <v>10213</v>
      </c>
      <c r="F667" s="861" t="s">
        <v>10212</v>
      </c>
      <c r="G667" s="108">
        <f t="shared" si="10"/>
        <v>2</v>
      </c>
      <c r="H667" s="865" t="s">
        <v>8764</v>
      </c>
    </row>
    <row r="668" spans="1:8">
      <c r="A668" s="108" t="s">
        <v>10093</v>
      </c>
      <c r="B668" s="106" t="s">
        <v>10216</v>
      </c>
      <c r="C668" s="861" t="s">
        <v>10214</v>
      </c>
      <c r="D668" s="861" t="s">
        <v>10082</v>
      </c>
      <c r="E668" s="701" t="s">
        <v>10213</v>
      </c>
      <c r="F668" s="861" t="s">
        <v>10212</v>
      </c>
      <c r="G668" s="108">
        <f t="shared" si="10"/>
        <v>3</v>
      </c>
      <c r="H668" s="865" t="s">
        <v>8766</v>
      </c>
    </row>
    <row r="669" spans="1:8" ht="45">
      <c r="A669" s="108" t="s">
        <v>10093</v>
      </c>
      <c r="B669" s="331" t="s">
        <v>10217</v>
      </c>
      <c r="C669" s="861" t="s">
        <v>10218</v>
      </c>
      <c r="D669" s="861" t="s">
        <v>10219</v>
      </c>
      <c r="E669" s="861" t="s">
        <v>10220</v>
      </c>
      <c r="F669" s="115" t="s">
        <v>8946</v>
      </c>
      <c r="G669" s="108">
        <f t="shared" si="10"/>
        <v>4</v>
      </c>
      <c r="H669" s="865" t="s">
        <v>8763</v>
      </c>
    </row>
    <row r="670" spans="1:8" ht="30">
      <c r="A670" s="108" t="s">
        <v>10093</v>
      </c>
      <c r="B670" s="331" t="s">
        <v>10221</v>
      </c>
      <c r="C670" s="861" t="s">
        <v>10222</v>
      </c>
      <c r="D670" s="861" t="s">
        <v>10223</v>
      </c>
      <c r="E670" s="861" t="s">
        <v>10224</v>
      </c>
      <c r="F670" s="115" t="s">
        <v>8946</v>
      </c>
      <c r="G670" s="108">
        <f t="shared" si="10"/>
        <v>4</v>
      </c>
      <c r="H670" s="865" t="s">
        <v>8763</v>
      </c>
    </row>
    <row r="671" spans="1:8" ht="30">
      <c r="A671" s="108" t="s">
        <v>10093</v>
      </c>
      <c r="B671" s="870" t="s">
        <v>10225</v>
      </c>
      <c r="C671" s="861" t="s">
        <v>10226</v>
      </c>
      <c r="D671" s="701" t="s">
        <v>10227</v>
      </c>
      <c r="E671" s="861" t="s">
        <v>10228</v>
      </c>
      <c r="F671" s="861" t="s">
        <v>10229</v>
      </c>
      <c r="G671" s="108">
        <f t="shared" si="10"/>
        <v>2</v>
      </c>
      <c r="H671" s="865" t="s">
        <v>8764</v>
      </c>
    </row>
    <row r="672" spans="1:8" ht="45">
      <c r="A672" s="108" t="s">
        <v>10230</v>
      </c>
      <c r="B672" s="676" t="s">
        <v>6907</v>
      </c>
      <c r="C672" s="872">
        <v>15</v>
      </c>
      <c r="D672" s="873">
        <v>90</v>
      </c>
      <c r="E672" s="873">
        <v>120</v>
      </c>
      <c r="F672" s="873">
        <v>180</v>
      </c>
      <c r="G672" s="108">
        <f t="shared" si="10"/>
        <v>1</v>
      </c>
      <c r="H672" s="855" t="s">
        <v>8761</v>
      </c>
    </row>
    <row r="673" spans="1:8" ht="30">
      <c r="A673" s="108" t="s">
        <v>10230</v>
      </c>
      <c r="B673" s="676" t="s">
        <v>6908</v>
      </c>
      <c r="C673" s="874" t="s">
        <v>6909</v>
      </c>
      <c r="D673" s="676" t="s">
        <v>6910</v>
      </c>
      <c r="E673" s="676" t="s">
        <v>6911</v>
      </c>
      <c r="F673" s="676" t="s">
        <v>6912</v>
      </c>
      <c r="G673" s="108">
        <f t="shared" si="10"/>
        <v>1</v>
      </c>
      <c r="H673" s="855" t="s">
        <v>8761</v>
      </c>
    </row>
    <row r="674" spans="1:8" ht="30">
      <c r="A674" s="108" t="s">
        <v>10230</v>
      </c>
      <c r="B674" s="676" t="s">
        <v>10231</v>
      </c>
      <c r="C674" s="874" t="s">
        <v>6914</v>
      </c>
      <c r="D674" s="676" t="s">
        <v>6915</v>
      </c>
      <c r="E674" s="676" t="s">
        <v>6916</v>
      </c>
      <c r="F674" s="676" t="s">
        <v>10232</v>
      </c>
      <c r="G674" s="108">
        <f t="shared" si="10"/>
        <v>1</v>
      </c>
      <c r="H674" s="855" t="s">
        <v>8761</v>
      </c>
    </row>
    <row r="675" spans="1:8" ht="30">
      <c r="A675" s="108" t="s">
        <v>10230</v>
      </c>
      <c r="B675" s="676" t="s">
        <v>10231</v>
      </c>
      <c r="C675" s="676" t="s">
        <v>10233</v>
      </c>
      <c r="D675" s="874" t="s">
        <v>10234</v>
      </c>
      <c r="E675" s="676" t="s">
        <v>10235</v>
      </c>
      <c r="F675" s="676" t="s">
        <v>10236</v>
      </c>
      <c r="G675" s="108">
        <f t="shared" si="10"/>
        <v>2</v>
      </c>
      <c r="H675" s="855" t="s">
        <v>8764</v>
      </c>
    </row>
    <row r="676" spans="1:8" ht="45">
      <c r="A676" s="108" t="s">
        <v>10230</v>
      </c>
      <c r="B676" s="676" t="s">
        <v>10237</v>
      </c>
      <c r="C676" s="874" t="s">
        <v>6923</v>
      </c>
      <c r="D676" s="676" t="s">
        <v>6924</v>
      </c>
      <c r="E676" s="676" t="s">
        <v>6925</v>
      </c>
      <c r="F676" s="676" t="s">
        <v>10238</v>
      </c>
      <c r="G676" s="108">
        <f t="shared" si="10"/>
        <v>1</v>
      </c>
      <c r="H676" s="855" t="s">
        <v>8761</v>
      </c>
    </row>
    <row r="677" spans="1:8" ht="30">
      <c r="A677" s="108" t="s">
        <v>10230</v>
      </c>
      <c r="B677" s="676" t="s">
        <v>6927</v>
      </c>
      <c r="C677" s="873">
        <v>484</v>
      </c>
      <c r="D677" s="872">
        <v>1600</v>
      </c>
      <c r="E677" s="873">
        <v>400</v>
      </c>
      <c r="F677" s="873">
        <v>800</v>
      </c>
      <c r="G677" s="108">
        <f t="shared" si="10"/>
        <v>2</v>
      </c>
      <c r="H677" s="855" t="s">
        <v>8764</v>
      </c>
    </row>
    <row r="678" spans="1:8" ht="45">
      <c r="A678" s="108" t="s">
        <v>10230</v>
      </c>
      <c r="B678" s="676" t="s">
        <v>10239</v>
      </c>
      <c r="C678" s="873">
        <v>6.06</v>
      </c>
      <c r="D678" s="873">
        <v>60.6</v>
      </c>
      <c r="E678" s="872">
        <v>23.49</v>
      </c>
      <c r="F678" s="873">
        <v>2.3490000000000002</v>
      </c>
      <c r="G678" s="108">
        <f t="shared" si="10"/>
        <v>3</v>
      </c>
      <c r="H678" s="855" t="s">
        <v>8766</v>
      </c>
    </row>
    <row r="679" spans="1:8" ht="45">
      <c r="A679" s="108" t="s">
        <v>10230</v>
      </c>
      <c r="B679" s="676" t="s">
        <v>10240</v>
      </c>
      <c r="C679" s="873">
        <v>1600</v>
      </c>
      <c r="D679" s="872">
        <v>2349</v>
      </c>
      <c r="E679" s="873">
        <v>600</v>
      </c>
      <c r="F679" s="873">
        <v>300</v>
      </c>
      <c r="G679" s="108">
        <f t="shared" si="10"/>
        <v>2</v>
      </c>
      <c r="H679" s="855" t="s">
        <v>8764</v>
      </c>
    </row>
    <row r="680" spans="1:8" ht="30">
      <c r="A680" s="108" t="s">
        <v>10230</v>
      </c>
      <c r="B680" s="676" t="s">
        <v>10241</v>
      </c>
      <c r="C680" s="874" t="s">
        <v>7189</v>
      </c>
      <c r="D680" s="676" t="s">
        <v>7190</v>
      </c>
      <c r="E680" s="676" t="s">
        <v>7191</v>
      </c>
      <c r="F680" s="676" t="s">
        <v>8765</v>
      </c>
      <c r="G680" s="108">
        <f t="shared" si="10"/>
        <v>1</v>
      </c>
      <c r="H680" s="855" t="s">
        <v>8761</v>
      </c>
    </row>
    <row r="681" spans="1:8" ht="45">
      <c r="A681" s="108" t="s">
        <v>10230</v>
      </c>
      <c r="B681" s="676" t="s">
        <v>7192</v>
      </c>
      <c r="C681" s="676" t="s">
        <v>7193</v>
      </c>
      <c r="D681" s="874" t="s">
        <v>7194</v>
      </c>
      <c r="E681" s="676" t="s">
        <v>7195</v>
      </c>
      <c r="F681" s="676" t="s">
        <v>7196</v>
      </c>
      <c r="G681" s="108">
        <f t="shared" si="10"/>
        <v>2</v>
      </c>
      <c r="H681" s="855" t="s">
        <v>8764</v>
      </c>
    </row>
    <row r="682" spans="1:8" ht="30">
      <c r="A682" s="108" t="s">
        <v>10230</v>
      </c>
      <c r="B682" s="676" t="s">
        <v>10242</v>
      </c>
      <c r="C682" s="676" t="s">
        <v>7198</v>
      </c>
      <c r="D682" s="676" t="s">
        <v>7199</v>
      </c>
      <c r="E682" s="874" t="s">
        <v>7200</v>
      </c>
      <c r="F682" s="676" t="s">
        <v>7201</v>
      </c>
      <c r="G682" s="108">
        <f t="shared" si="10"/>
        <v>3</v>
      </c>
      <c r="H682" s="855" t="s">
        <v>8766</v>
      </c>
    </row>
    <row r="683" spans="1:8" ht="75">
      <c r="A683" s="108" t="s">
        <v>10230</v>
      </c>
      <c r="B683" s="875" t="s">
        <v>7202</v>
      </c>
      <c r="C683" s="876" t="s">
        <v>7203</v>
      </c>
      <c r="D683" s="877" t="s">
        <v>7204</v>
      </c>
      <c r="E683" s="876" t="s">
        <v>7205</v>
      </c>
      <c r="F683" s="876" t="s">
        <v>10243</v>
      </c>
      <c r="G683" s="108">
        <f t="shared" si="10"/>
        <v>2</v>
      </c>
      <c r="H683" s="878" t="s">
        <v>8764</v>
      </c>
    </row>
    <row r="684" spans="1:8" ht="75">
      <c r="A684" s="108" t="s">
        <v>10230</v>
      </c>
      <c r="B684" s="676" t="s">
        <v>10244</v>
      </c>
      <c r="C684" s="676" t="s">
        <v>10107</v>
      </c>
      <c r="D684" s="676" t="s">
        <v>10108</v>
      </c>
      <c r="E684" s="874" t="s">
        <v>7221</v>
      </c>
      <c r="F684" s="676" t="s">
        <v>8765</v>
      </c>
      <c r="G684" s="108">
        <f t="shared" si="10"/>
        <v>3</v>
      </c>
      <c r="H684" s="855" t="s">
        <v>8766</v>
      </c>
    </row>
    <row r="685" spans="1:8">
      <c r="A685" s="108" t="s">
        <v>10230</v>
      </c>
      <c r="B685" s="676" t="s">
        <v>7222</v>
      </c>
      <c r="C685" s="676" t="s">
        <v>7223</v>
      </c>
      <c r="D685" s="874" t="s">
        <v>7224</v>
      </c>
      <c r="E685" s="676" t="s">
        <v>7225</v>
      </c>
      <c r="F685" s="676" t="s">
        <v>8765</v>
      </c>
      <c r="G685" s="108">
        <f t="shared" si="10"/>
        <v>2</v>
      </c>
      <c r="H685" s="855" t="s">
        <v>8764</v>
      </c>
    </row>
    <row r="686" spans="1:8" ht="30">
      <c r="A686" s="108" t="s">
        <v>10230</v>
      </c>
      <c r="B686" s="676" t="s">
        <v>7226</v>
      </c>
      <c r="C686" s="676" t="s">
        <v>7227</v>
      </c>
      <c r="D686" s="874" t="s">
        <v>7228</v>
      </c>
      <c r="E686" s="676" t="s">
        <v>7225</v>
      </c>
      <c r="F686" s="676" t="s">
        <v>8765</v>
      </c>
      <c r="G686" s="108">
        <f t="shared" si="10"/>
        <v>2</v>
      </c>
      <c r="H686" s="855" t="s">
        <v>8764</v>
      </c>
    </row>
    <row r="687" spans="1:8" ht="25.5">
      <c r="A687" s="108" t="s">
        <v>10245</v>
      </c>
      <c r="B687" s="879" t="s">
        <v>7247</v>
      </c>
      <c r="C687" s="880" t="s">
        <v>7248</v>
      </c>
      <c r="D687" s="880" t="s">
        <v>7249</v>
      </c>
      <c r="E687" s="881" t="s">
        <v>10246</v>
      </c>
      <c r="F687" s="502" t="s">
        <v>8765</v>
      </c>
      <c r="G687" s="108">
        <f t="shared" si="10"/>
        <v>3</v>
      </c>
      <c r="H687" s="882" t="s">
        <v>8766</v>
      </c>
    </row>
    <row r="688" spans="1:8" ht="30">
      <c r="A688" s="108" t="s">
        <v>10245</v>
      </c>
      <c r="B688" s="502" t="s">
        <v>7250</v>
      </c>
      <c r="C688" s="502" t="s">
        <v>7251</v>
      </c>
      <c r="D688" s="502" t="s">
        <v>7252</v>
      </c>
      <c r="E688" s="502" t="s">
        <v>7253</v>
      </c>
      <c r="F688" s="107" t="s">
        <v>7254</v>
      </c>
      <c r="G688" s="108">
        <f t="shared" si="10"/>
        <v>4</v>
      </c>
      <c r="H688" s="883" t="s">
        <v>8763</v>
      </c>
    </row>
    <row r="689" spans="1:8">
      <c r="A689" s="108" t="s">
        <v>10245</v>
      </c>
      <c r="B689" s="502" t="s">
        <v>10247</v>
      </c>
      <c r="C689" s="502" t="s">
        <v>7256</v>
      </c>
      <c r="D689" s="502" t="s">
        <v>7257</v>
      </c>
      <c r="E689" s="107" t="s">
        <v>7258</v>
      </c>
      <c r="F689" s="502" t="s">
        <v>7259</v>
      </c>
      <c r="G689" s="108">
        <f t="shared" si="10"/>
        <v>3</v>
      </c>
      <c r="H689" s="883" t="s">
        <v>8766</v>
      </c>
    </row>
    <row r="690" spans="1:8" ht="30">
      <c r="A690" s="108" t="s">
        <v>10245</v>
      </c>
      <c r="B690" s="502" t="s">
        <v>10248</v>
      </c>
      <c r="C690" s="502" t="s">
        <v>7261</v>
      </c>
      <c r="D690" s="502" t="s">
        <v>7262</v>
      </c>
      <c r="E690" s="107" t="s">
        <v>7263</v>
      </c>
      <c r="F690" s="502" t="s">
        <v>7264</v>
      </c>
      <c r="G690" s="108">
        <f t="shared" si="10"/>
        <v>3</v>
      </c>
      <c r="H690" s="883" t="s">
        <v>8766</v>
      </c>
    </row>
    <row r="691" spans="1:8" ht="30">
      <c r="A691" s="108" t="s">
        <v>10245</v>
      </c>
      <c r="B691" s="502" t="s">
        <v>10249</v>
      </c>
      <c r="C691" s="502" t="s">
        <v>7266</v>
      </c>
      <c r="D691" s="107" t="s">
        <v>7267</v>
      </c>
      <c r="E691" s="502" t="s">
        <v>7268</v>
      </c>
      <c r="F691" s="502" t="s">
        <v>7269</v>
      </c>
      <c r="G691" s="108">
        <f t="shared" si="10"/>
        <v>2</v>
      </c>
      <c r="H691" s="883" t="s">
        <v>8764</v>
      </c>
    </row>
    <row r="692" spans="1:8" ht="45">
      <c r="A692" s="108" t="s">
        <v>10245</v>
      </c>
      <c r="B692" s="502" t="s">
        <v>10250</v>
      </c>
      <c r="C692" s="858">
        <v>30</v>
      </c>
      <c r="D692" s="858">
        <v>20</v>
      </c>
      <c r="E692" s="153">
        <v>15</v>
      </c>
      <c r="F692" s="858">
        <v>150</v>
      </c>
      <c r="G692" s="108">
        <f t="shared" si="10"/>
        <v>3</v>
      </c>
      <c r="H692" s="883" t="s">
        <v>8766</v>
      </c>
    </row>
    <row r="693" spans="1:8" ht="30">
      <c r="A693" s="108" t="s">
        <v>10245</v>
      </c>
      <c r="B693" s="502" t="s">
        <v>10251</v>
      </c>
      <c r="C693" s="858">
        <v>50</v>
      </c>
      <c r="D693" s="858">
        <v>51.5</v>
      </c>
      <c r="E693" s="858">
        <v>53</v>
      </c>
      <c r="F693" s="153">
        <v>55</v>
      </c>
      <c r="G693" s="108">
        <f t="shared" si="10"/>
        <v>4</v>
      </c>
      <c r="H693" s="883" t="s">
        <v>8763</v>
      </c>
    </row>
    <row r="694" spans="1:8" ht="30">
      <c r="A694" s="108" t="s">
        <v>10245</v>
      </c>
      <c r="B694" s="502" t="s">
        <v>7272</v>
      </c>
      <c r="C694" s="502" t="s">
        <v>10252</v>
      </c>
      <c r="D694" s="107" t="s">
        <v>10253</v>
      </c>
      <c r="E694" s="502" t="s">
        <v>10254</v>
      </c>
      <c r="F694" s="502" t="s">
        <v>7275</v>
      </c>
      <c r="G694" s="108">
        <f t="shared" si="10"/>
        <v>2</v>
      </c>
      <c r="H694" s="883" t="s">
        <v>8764</v>
      </c>
    </row>
    <row r="695" spans="1:8">
      <c r="A695" s="108" t="s">
        <v>10245</v>
      </c>
      <c r="B695" s="502" t="s">
        <v>7276</v>
      </c>
      <c r="C695" s="502" t="s">
        <v>7277</v>
      </c>
      <c r="D695" s="502" t="s">
        <v>7278</v>
      </c>
      <c r="E695" s="107" t="s">
        <v>7279</v>
      </c>
      <c r="F695" s="502" t="s">
        <v>8765</v>
      </c>
      <c r="G695" s="108">
        <f t="shared" si="10"/>
        <v>3</v>
      </c>
      <c r="H695" s="883" t="s">
        <v>8766</v>
      </c>
    </row>
    <row r="696" spans="1:8">
      <c r="A696" s="108" t="s">
        <v>10245</v>
      </c>
      <c r="B696" s="502" t="s">
        <v>10255</v>
      </c>
      <c r="C696" s="502" t="s">
        <v>7281</v>
      </c>
      <c r="D696" s="502" t="s">
        <v>7282</v>
      </c>
      <c r="E696" s="502" t="s">
        <v>7283</v>
      </c>
      <c r="F696" s="107" t="s">
        <v>7284</v>
      </c>
      <c r="G696" s="108">
        <f t="shared" si="10"/>
        <v>4</v>
      </c>
      <c r="H696" s="883" t="s">
        <v>8763</v>
      </c>
    </row>
    <row r="697" spans="1:8" ht="30">
      <c r="A697" s="108" t="s">
        <v>10245</v>
      </c>
      <c r="B697" s="502" t="s">
        <v>7285</v>
      </c>
      <c r="C697" s="502" t="s">
        <v>7286</v>
      </c>
      <c r="D697" s="502" t="s">
        <v>7287</v>
      </c>
      <c r="E697" s="502" t="s">
        <v>7288</v>
      </c>
      <c r="F697" s="107" t="s">
        <v>1869</v>
      </c>
      <c r="G697" s="108">
        <f t="shared" si="10"/>
        <v>4</v>
      </c>
      <c r="H697" s="883" t="s">
        <v>8763</v>
      </c>
    </row>
    <row r="698" spans="1:8" ht="30">
      <c r="A698" s="108" t="s">
        <v>10245</v>
      </c>
      <c r="B698" s="502" t="s">
        <v>7289</v>
      </c>
      <c r="C698" s="502" t="s">
        <v>7290</v>
      </c>
      <c r="D698" s="107" t="s">
        <v>7291</v>
      </c>
      <c r="E698" s="502" t="s">
        <v>7292</v>
      </c>
      <c r="F698" s="502" t="s">
        <v>7293</v>
      </c>
      <c r="G698" s="108">
        <f t="shared" si="10"/>
        <v>2</v>
      </c>
      <c r="H698" s="883" t="s">
        <v>8764</v>
      </c>
    </row>
    <row r="699" spans="1:8" ht="60">
      <c r="A699" s="108" t="s">
        <v>10245</v>
      </c>
      <c r="B699" s="778" t="s">
        <v>7294</v>
      </c>
      <c r="C699" s="791" t="s">
        <v>7295</v>
      </c>
      <c r="D699" s="778" t="s">
        <v>7296</v>
      </c>
      <c r="E699" s="778" t="s">
        <v>7297</v>
      </c>
      <c r="F699" s="502" t="s">
        <v>7298</v>
      </c>
      <c r="G699" s="108">
        <f t="shared" si="10"/>
        <v>1</v>
      </c>
      <c r="H699" s="883" t="s">
        <v>8761</v>
      </c>
    </row>
    <row r="700" spans="1:8" ht="30">
      <c r="A700" s="108" t="s">
        <v>10245</v>
      </c>
      <c r="B700" s="502" t="s">
        <v>10256</v>
      </c>
      <c r="C700" s="107" t="s">
        <v>7300</v>
      </c>
      <c r="D700" s="502" t="s">
        <v>7301</v>
      </c>
      <c r="E700" s="502" t="s">
        <v>7302</v>
      </c>
      <c r="F700" s="502" t="s">
        <v>7303</v>
      </c>
      <c r="G700" s="108">
        <f t="shared" si="10"/>
        <v>1</v>
      </c>
      <c r="H700" s="883" t="s">
        <v>8761</v>
      </c>
    </row>
    <row r="701" spans="1:8">
      <c r="A701" s="108" t="s">
        <v>10245</v>
      </c>
      <c r="B701" s="502" t="s">
        <v>10257</v>
      </c>
      <c r="C701" s="107" t="s">
        <v>7305</v>
      </c>
      <c r="D701" s="502" t="s">
        <v>7306</v>
      </c>
      <c r="E701" s="502" t="s">
        <v>7307</v>
      </c>
      <c r="F701" s="502" t="s">
        <v>8765</v>
      </c>
      <c r="G701" s="108">
        <f t="shared" si="10"/>
        <v>1</v>
      </c>
      <c r="H701" s="883" t="s">
        <v>8761</v>
      </c>
    </row>
    <row r="702" spans="1:8">
      <c r="A702" s="108" t="s">
        <v>10245</v>
      </c>
      <c r="B702" s="502" t="s">
        <v>10258</v>
      </c>
      <c r="C702" s="502" t="s">
        <v>7309</v>
      </c>
      <c r="D702" s="502" t="s">
        <v>7282</v>
      </c>
      <c r="E702" s="107" t="s">
        <v>156</v>
      </c>
      <c r="F702" s="502" t="s">
        <v>7310</v>
      </c>
      <c r="G702" s="108">
        <f t="shared" si="10"/>
        <v>3</v>
      </c>
      <c r="H702" s="883" t="s">
        <v>8766</v>
      </c>
    </row>
    <row r="703" spans="1:8">
      <c r="A703" s="108" t="s">
        <v>10245</v>
      </c>
      <c r="B703" s="502" t="s">
        <v>10259</v>
      </c>
      <c r="C703" s="502" t="s">
        <v>7312</v>
      </c>
      <c r="D703" s="107" t="s">
        <v>7313</v>
      </c>
      <c r="E703" s="502" t="s">
        <v>7314</v>
      </c>
      <c r="F703" s="502" t="s">
        <v>7315</v>
      </c>
      <c r="G703" s="108">
        <f t="shared" si="10"/>
        <v>2</v>
      </c>
      <c r="H703" s="883" t="s">
        <v>8764</v>
      </c>
    </row>
    <row r="704" spans="1:8">
      <c r="A704" s="108" t="s">
        <v>10245</v>
      </c>
      <c r="B704" s="502" t="s">
        <v>10260</v>
      </c>
      <c r="C704" s="107" t="s">
        <v>7317</v>
      </c>
      <c r="D704" s="502" t="s">
        <v>7318</v>
      </c>
      <c r="E704" s="502" t="s">
        <v>7319</v>
      </c>
      <c r="F704" s="502" t="s">
        <v>7320</v>
      </c>
      <c r="G704" s="108">
        <f t="shared" si="10"/>
        <v>1</v>
      </c>
      <c r="H704" s="883" t="s">
        <v>8761</v>
      </c>
    </row>
    <row r="705" spans="1:8" ht="30">
      <c r="A705" s="108" t="s">
        <v>10245</v>
      </c>
      <c r="B705" s="844" t="s">
        <v>10261</v>
      </c>
      <c r="C705" s="845" t="s">
        <v>7322</v>
      </c>
      <c r="D705" s="845" t="s">
        <v>7323</v>
      </c>
      <c r="E705" s="846" t="s">
        <v>7324</v>
      </c>
      <c r="F705" s="845" t="s">
        <v>10262</v>
      </c>
      <c r="G705" s="108">
        <f t="shared" si="10"/>
        <v>3</v>
      </c>
      <c r="H705" s="884" t="s">
        <v>8766</v>
      </c>
    </row>
    <row r="706" spans="1:8" ht="30">
      <c r="A706" s="108" t="s">
        <v>10245</v>
      </c>
      <c r="B706" s="502" t="s">
        <v>10263</v>
      </c>
      <c r="C706" s="502" t="s">
        <v>7324</v>
      </c>
      <c r="D706" s="502" t="s">
        <v>7326</v>
      </c>
      <c r="E706" s="107" t="s">
        <v>7327</v>
      </c>
      <c r="F706" s="502" t="s">
        <v>7328</v>
      </c>
      <c r="G706" s="108">
        <f t="shared" si="10"/>
        <v>3</v>
      </c>
      <c r="H706" s="883" t="s">
        <v>8766</v>
      </c>
    </row>
    <row r="707" spans="1:8" ht="45">
      <c r="A707" s="108" t="s">
        <v>10245</v>
      </c>
      <c r="B707" s="502" t="s">
        <v>10264</v>
      </c>
      <c r="C707" s="502" t="s">
        <v>7330</v>
      </c>
      <c r="D707" s="502" t="s">
        <v>7331</v>
      </c>
      <c r="E707" s="107" t="s">
        <v>7332</v>
      </c>
      <c r="F707" s="502" t="s">
        <v>7333</v>
      </c>
      <c r="G707" s="108">
        <f t="shared" ref="G707:G770" si="11">IF(H707="A",1,IF(H707="B",2,IF(H707="C",3,IF(H707="D",4,0))))</f>
        <v>3</v>
      </c>
      <c r="H707" s="883" t="s">
        <v>8766</v>
      </c>
    </row>
    <row r="708" spans="1:8">
      <c r="A708" s="108" t="s">
        <v>10245</v>
      </c>
      <c r="B708" s="502" t="s">
        <v>10265</v>
      </c>
      <c r="C708" s="502" t="s">
        <v>7335</v>
      </c>
      <c r="D708" s="502" t="s">
        <v>7336</v>
      </c>
      <c r="E708" s="107" t="s">
        <v>7337</v>
      </c>
      <c r="F708" s="502" t="s">
        <v>7338</v>
      </c>
      <c r="G708" s="108">
        <f t="shared" si="11"/>
        <v>3</v>
      </c>
      <c r="H708" s="883" t="s">
        <v>8766</v>
      </c>
    </row>
    <row r="709" spans="1:8" ht="30">
      <c r="A709" s="108" t="s">
        <v>10245</v>
      </c>
      <c r="B709" s="502" t="s">
        <v>10266</v>
      </c>
      <c r="C709" s="107" t="s">
        <v>7340</v>
      </c>
      <c r="D709" s="502" t="s">
        <v>7341</v>
      </c>
      <c r="E709" s="502" t="s">
        <v>7342</v>
      </c>
      <c r="F709" s="502" t="s">
        <v>7343</v>
      </c>
      <c r="G709" s="108">
        <f t="shared" si="11"/>
        <v>1</v>
      </c>
      <c r="H709" s="883" t="s">
        <v>8761</v>
      </c>
    </row>
    <row r="710" spans="1:8" ht="30">
      <c r="A710" s="108" t="s">
        <v>10245</v>
      </c>
      <c r="B710" s="502" t="s">
        <v>10267</v>
      </c>
      <c r="C710" s="502" t="s">
        <v>7345</v>
      </c>
      <c r="D710" s="502" t="s">
        <v>7346</v>
      </c>
      <c r="E710" s="107" t="s">
        <v>7347</v>
      </c>
      <c r="F710" s="502" t="s">
        <v>8765</v>
      </c>
      <c r="G710" s="108">
        <f t="shared" si="11"/>
        <v>3</v>
      </c>
      <c r="H710" s="883" t="s">
        <v>8766</v>
      </c>
    </row>
    <row r="711" spans="1:8">
      <c r="A711" s="108" t="s">
        <v>10245</v>
      </c>
      <c r="B711" s="502" t="s">
        <v>10268</v>
      </c>
      <c r="C711" s="502" t="s">
        <v>7349</v>
      </c>
      <c r="D711" s="107" t="s">
        <v>7350</v>
      </c>
      <c r="E711" s="502" t="s">
        <v>7351</v>
      </c>
      <c r="F711" s="502" t="s">
        <v>7352</v>
      </c>
      <c r="G711" s="108">
        <f t="shared" si="11"/>
        <v>2</v>
      </c>
      <c r="H711" s="883" t="s">
        <v>8764</v>
      </c>
    </row>
    <row r="712" spans="1:8">
      <c r="A712" s="108" t="s">
        <v>10245</v>
      </c>
      <c r="B712" s="502" t="s">
        <v>10269</v>
      </c>
      <c r="C712" s="502" t="s">
        <v>3440</v>
      </c>
      <c r="D712" s="502" t="s">
        <v>7354</v>
      </c>
      <c r="E712" s="107" t="s">
        <v>7355</v>
      </c>
      <c r="F712" s="502" t="s">
        <v>7349</v>
      </c>
      <c r="G712" s="108">
        <f t="shared" si="11"/>
        <v>3</v>
      </c>
      <c r="H712" s="883" t="s">
        <v>8766</v>
      </c>
    </row>
    <row r="713" spans="1:8">
      <c r="A713" s="108" t="s">
        <v>10245</v>
      </c>
      <c r="B713" s="502" t="s">
        <v>10270</v>
      </c>
      <c r="C713" s="502" t="s">
        <v>7357</v>
      </c>
      <c r="D713" s="502" t="s">
        <v>7358</v>
      </c>
      <c r="E713" s="502" t="s">
        <v>156</v>
      </c>
      <c r="F713" s="107" t="s">
        <v>10271</v>
      </c>
      <c r="G713" s="108">
        <f t="shared" si="11"/>
        <v>4</v>
      </c>
      <c r="H713" s="883" t="s">
        <v>8763</v>
      </c>
    </row>
    <row r="714" spans="1:8">
      <c r="A714" s="108" t="s">
        <v>10245</v>
      </c>
      <c r="B714" s="502" t="s">
        <v>10272</v>
      </c>
      <c r="C714" s="153">
        <v>1.1000000000000001</v>
      </c>
      <c r="D714" s="858">
        <v>1.5</v>
      </c>
      <c r="E714" s="858">
        <v>0.95</v>
      </c>
      <c r="F714" s="858">
        <v>1.3</v>
      </c>
      <c r="G714" s="108">
        <f t="shared" si="11"/>
        <v>1</v>
      </c>
      <c r="H714" s="883" t="s">
        <v>8761</v>
      </c>
    </row>
    <row r="715" spans="1:8">
      <c r="A715" s="108" t="s">
        <v>10245</v>
      </c>
      <c r="B715" s="502" t="s">
        <v>10273</v>
      </c>
      <c r="C715" s="502" t="s">
        <v>7362</v>
      </c>
      <c r="D715" s="856">
        <v>1.05</v>
      </c>
      <c r="E715" s="856">
        <v>1</v>
      </c>
      <c r="F715" s="856">
        <v>0.95</v>
      </c>
      <c r="G715" s="108">
        <f t="shared" si="11"/>
        <v>1</v>
      </c>
      <c r="H715" s="883" t="s">
        <v>8761</v>
      </c>
    </row>
    <row r="716" spans="1:8">
      <c r="A716" s="108" t="s">
        <v>10245</v>
      </c>
      <c r="B716" s="502" t="s">
        <v>10274</v>
      </c>
      <c r="C716" s="502" t="s">
        <v>7357</v>
      </c>
      <c r="D716" s="107" t="s">
        <v>156</v>
      </c>
      <c r="E716" s="502" t="s">
        <v>7257</v>
      </c>
      <c r="F716" s="502" t="s">
        <v>3406</v>
      </c>
      <c r="G716" s="108">
        <f t="shared" si="11"/>
        <v>2</v>
      </c>
      <c r="H716" s="883" t="s">
        <v>8764</v>
      </c>
    </row>
    <row r="717" spans="1:8">
      <c r="A717" s="108" t="s">
        <v>10245</v>
      </c>
      <c r="B717" s="502" t="s">
        <v>10275</v>
      </c>
      <c r="C717" s="107" t="s">
        <v>7365</v>
      </c>
      <c r="D717" s="502" t="s">
        <v>156</v>
      </c>
      <c r="E717" s="502" t="s">
        <v>7257</v>
      </c>
      <c r="F717" s="502" t="s">
        <v>7366</v>
      </c>
      <c r="G717" s="108">
        <f t="shared" si="11"/>
        <v>1</v>
      </c>
      <c r="H717" s="883" t="s">
        <v>8761</v>
      </c>
    </row>
    <row r="718" spans="1:8" ht="30">
      <c r="A718" s="108" t="s">
        <v>10245</v>
      </c>
      <c r="B718" s="502" t="s">
        <v>10276</v>
      </c>
      <c r="C718" s="502" t="s">
        <v>7368</v>
      </c>
      <c r="D718" s="107" t="s">
        <v>7369</v>
      </c>
      <c r="E718" s="502" t="s">
        <v>7370</v>
      </c>
      <c r="F718" s="502" t="s">
        <v>7371</v>
      </c>
      <c r="G718" s="108">
        <f t="shared" si="11"/>
        <v>2</v>
      </c>
      <c r="H718" s="883" t="s">
        <v>8764</v>
      </c>
    </row>
    <row r="719" spans="1:8">
      <c r="A719" s="108" t="s">
        <v>10245</v>
      </c>
      <c r="B719" s="502" t="s">
        <v>10277</v>
      </c>
      <c r="C719" s="858">
        <v>1</v>
      </c>
      <c r="D719" s="153">
        <v>1.1399999999999999</v>
      </c>
      <c r="E719" s="858">
        <v>0.9</v>
      </c>
      <c r="F719" s="858">
        <v>1.4</v>
      </c>
      <c r="G719" s="108">
        <f t="shared" si="11"/>
        <v>2</v>
      </c>
      <c r="H719" s="883" t="s">
        <v>8764</v>
      </c>
    </row>
    <row r="720" spans="1:8">
      <c r="A720" s="108" t="s">
        <v>10245</v>
      </c>
      <c r="B720" s="840" t="s">
        <v>10278</v>
      </c>
      <c r="C720" s="841" t="s">
        <v>2088</v>
      </c>
      <c r="D720" s="842" t="s">
        <v>7374</v>
      </c>
      <c r="E720" s="841" t="s">
        <v>7375</v>
      </c>
      <c r="F720" s="841" t="s">
        <v>10279</v>
      </c>
      <c r="G720" s="108">
        <f t="shared" si="11"/>
        <v>2</v>
      </c>
      <c r="H720" s="885" t="s">
        <v>8764</v>
      </c>
    </row>
    <row r="721" spans="1:8">
      <c r="A721" s="108" t="s">
        <v>10245</v>
      </c>
      <c r="B721" s="502" t="s">
        <v>7376</v>
      </c>
      <c r="C721" s="107" t="s">
        <v>7377</v>
      </c>
      <c r="D721" s="502" t="s">
        <v>7378</v>
      </c>
      <c r="E721" s="502" t="s">
        <v>7379</v>
      </c>
      <c r="F721" s="502" t="s">
        <v>8765</v>
      </c>
      <c r="G721" s="108">
        <f t="shared" si="11"/>
        <v>1</v>
      </c>
      <c r="H721" s="883" t="s">
        <v>8761</v>
      </c>
    </row>
    <row r="722" spans="1:8">
      <c r="A722" s="108" t="s">
        <v>10245</v>
      </c>
      <c r="B722" s="502" t="s">
        <v>7380</v>
      </c>
      <c r="C722" s="107" t="s">
        <v>7381</v>
      </c>
      <c r="D722" s="502" t="s">
        <v>7382</v>
      </c>
      <c r="E722" s="502" t="s">
        <v>7383</v>
      </c>
      <c r="F722" s="502" t="s">
        <v>8765</v>
      </c>
      <c r="G722" s="108">
        <f t="shared" si="11"/>
        <v>1</v>
      </c>
      <c r="H722" s="883" t="s">
        <v>8761</v>
      </c>
    </row>
    <row r="723" spans="1:8" ht="30">
      <c r="A723" s="108" t="s">
        <v>10245</v>
      </c>
      <c r="B723" s="840" t="s">
        <v>7384</v>
      </c>
      <c r="C723" s="841" t="s">
        <v>7385</v>
      </c>
      <c r="D723" s="842" t="s">
        <v>7386</v>
      </c>
      <c r="E723" s="841" t="s">
        <v>7387</v>
      </c>
      <c r="F723" s="841" t="s">
        <v>10280</v>
      </c>
      <c r="G723" s="108">
        <f t="shared" si="11"/>
        <v>2</v>
      </c>
      <c r="H723" s="885" t="s">
        <v>8764</v>
      </c>
    </row>
    <row r="724" spans="1:8" ht="45">
      <c r="A724" s="108" t="s">
        <v>10245</v>
      </c>
      <c r="B724" s="840" t="s">
        <v>7388</v>
      </c>
      <c r="C724" s="842" t="s">
        <v>7389</v>
      </c>
      <c r="D724" s="841" t="s">
        <v>10281</v>
      </c>
      <c r="E724" s="841" t="s">
        <v>10282</v>
      </c>
      <c r="F724" s="841" t="s">
        <v>10283</v>
      </c>
      <c r="G724" s="108">
        <f t="shared" si="11"/>
        <v>1</v>
      </c>
      <c r="H724" s="885" t="s">
        <v>8761</v>
      </c>
    </row>
    <row r="725" spans="1:8" ht="60">
      <c r="A725" s="108" t="s">
        <v>10245</v>
      </c>
      <c r="B725" s="793" t="s">
        <v>10284</v>
      </c>
      <c r="C725" s="791" t="s">
        <v>10285</v>
      </c>
      <c r="D725" s="793" t="s">
        <v>10286</v>
      </c>
      <c r="E725" s="793" t="s">
        <v>10287</v>
      </c>
      <c r="F725" s="793" t="s">
        <v>10288</v>
      </c>
      <c r="G725" s="108">
        <f t="shared" si="11"/>
        <v>1</v>
      </c>
      <c r="H725" s="883" t="s">
        <v>8761</v>
      </c>
    </row>
    <row r="726" spans="1:8" ht="45">
      <c r="A726" s="108" t="s">
        <v>10245</v>
      </c>
      <c r="B726" s="793" t="s">
        <v>10289</v>
      </c>
      <c r="C726" s="793" t="s">
        <v>10290</v>
      </c>
      <c r="D726" s="791" t="s">
        <v>10291</v>
      </c>
      <c r="E726" s="793" t="s">
        <v>10292</v>
      </c>
      <c r="F726" s="793" t="s">
        <v>10293</v>
      </c>
      <c r="G726" s="108">
        <f t="shared" si="11"/>
        <v>2</v>
      </c>
      <c r="H726" s="113" t="s">
        <v>8764</v>
      </c>
    </row>
    <row r="727" spans="1:8" ht="45">
      <c r="A727" s="108" t="s">
        <v>10245</v>
      </c>
      <c r="B727" s="793" t="s">
        <v>10294</v>
      </c>
      <c r="C727" s="793" t="s">
        <v>10295</v>
      </c>
      <c r="D727" s="793" t="s">
        <v>10296</v>
      </c>
      <c r="E727" s="791" t="s">
        <v>10293</v>
      </c>
      <c r="F727" s="793" t="s">
        <v>10297</v>
      </c>
      <c r="G727" s="108">
        <f t="shared" si="11"/>
        <v>3</v>
      </c>
      <c r="H727" s="113" t="s">
        <v>8766</v>
      </c>
    </row>
    <row r="728" spans="1:8" ht="45">
      <c r="A728" s="108" t="s">
        <v>10245</v>
      </c>
      <c r="B728" s="793" t="s">
        <v>10298</v>
      </c>
      <c r="C728" s="793" t="s">
        <v>10299</v>
      </c>
      <c r="D728" s="793" t="s">
        <v>10300</v>
      </c>
      <c r="E728" s="791" t="s">
        <v>10301</v>
      </c>
      <c r="F728" s="502" t="s">
        <v>8765</v>
      </c>
      <c r="G728" s="108">
        <f t="shared" si="11"/>
        <v>3</v>
      </c>
      <c r="H728" s="113" t="s">
        <v>8766</v>
      </c>
    </row>
    <row r="729" spans="1:8" ht="45">
      <c r="A729" s="108" t="s">
        <v>10245</v>
      </c>
      <c r="B729" s="793" t="s">
        <v>10302</v>
      </c>
      <c r="C729" s="793" t="s">
        <v>1683</v>
      </c>
      <c r="D729" s="793" t="s">
        <v>10303</v>
      </c>
      <c r="E729" s="793" t="s">
        <v>10304</v>
      </c>
      <c r="F729" s="791" t="s">
        <v>10305</v>
      </c>
      <c r="G729" s="108">
        <f t="shared" si="11"/>
        <v>4</v>
      </c>
      <c r="H729" s="113" t="s">
        <v>8763</v>
      </c>
    </row>
    <row r="730" spans="1:8" ht="24">
      <c r="A730" s="108" t="s">
        <v>10306</v>
      </c>
      <c r="B730" s="886" t="s">
        <v>181</v>
      </c>
      <c r="C730" s="887" t="s">
        <v>182</v>
      </c>
      <c r="D730" s="886" t="s">
        <v>183</v>
      </c>
      <c r="E730" s="886" t="s">
        <v>184</v>
      </c>
      <c r="F730" s="888" t="s">
        <v>185</v>
      </c>
      <c r="G730" s="108">
        <f t="shared" si="11"/>
        <v>1</v>
      </c>
      <c r="H730" s="889" t="s">
        <v>8761</v>
      </c>
    </row>
    <row r="731" spans="1:8">
      <c r="A731" s="108" t="s">
        <v>10306</v>
      </c>
      <c r="B731" s="890" t="s">
        <v>10307</v>
      </c>
      <c r="C731" s="886">
        <v>75</v>
      </c>
      <c r="D731" s="886">
        <v>25</v>
      </c>
      <c r="E731" s="886">
        <v>60</v>
      </c>
      <c r="F731" s="887">
        <v>50</v>
      </c>
      <c r="G731" s="108">
        <f t="shared" si="11"/>
        <v>4</v>
      </c>
      <c r="H731" s="889" t="s">
        <v>8763</v>
      </c>
    </row>
    <row r="732" spans="1:8">
      <c r="A732" s="108" t="s">
        <v>10306</v>
      </c>
      <c r="B732" s="890" t="s">
        <v>115</v>
      </c>
      <c r="C732" s="891" t="s">
        <v>10308</v>
      </c>
      <c r="D732" s="891" t="s">
        <v>3467</v>
      </c>
      <c r="E732" s="172" t="s">
        <v>10309</v>
      </c>
      <c r="F732" s="891" t="s">
        <v>3468</v>
      </c>
      <c r="G732" s="108">
        <f t="shared" si="11"/>
        <v>3</v>
      </c>
      <c r="H732" s="889" t="s">
        <v>8766</v>
      </c>
    </row>
    <row r="733" spans="1:8" ht="24.75">
      <c r="A733" s="108" t="s">
        <v>10306</v>
      </c>
      <c r="B733" s="890" t="s">
        <v>145</v>
      </c>
      <c r="C733" s="886" t="s">
        <v>146</v>
      </c>
      <c r="D733" s="887" t="s">
        <v>147</v>
      </c>
      <c r="E733" s="886" t="s">
        <v>148</v>
      </c>
      <c r="F733" s="886" t="s">
        <v>149</v>
      </c>
      <c r="G733" s="108">
        <f t="shared" si="11"/>
        <v>2</v>
      </c>
      <c r="H733" s="889" t="s">
        <v>8764</v>
      </c>
    </row>
    <row r="734" spans="1:8" ht="24.75">
      <c r="A734" s="108" t="s">
        <v>10306</v>
      </c>
      <c r="B734" s="890" t="s">
        <v>178</v>
      </c>
      <c r="C734" s="892" t="s">
        <v>137</v>
      </c>
      <c r="D734" s="890" t="s">
        <v>179</v>
      </c>
      <c r="E734" s="890" t="s">
        <v>180</v>
      </c>
      <c r="F734" s="890" t="s">
        <v>173</v>
      </c>
      <c r="G734" s="108">
        <f t="shared" si="11"/>
        <v>1</v>
      </c>
      <c r="H734" s="889" t="s">
        <v>8761</v>
      </c>
    </row>
    <row r="735" spans="1:8" ht="24.75">
      <c r="A735" s="108" t="s">
        <v>10306</v>
      </c>
      <c r="B735" s="890" t="s">
        <v>176</v>
      </c>
      <c r="C735" s="892" t="s">
        <v>73</v>
      </c>
      <c r="D735" s="890" t="s">
        <v>177</v>
      </c>
      <c r="E735" s="890" t="s">
        <v>137</v>
      </c>
      <c r="F735" s="890" t="s">
        <v>174</v>
      </c>
      <c r="G735" s="108">
        <f t="shared" si="11"/>
        <v>1</v>
      </c>
      <c r="H735" s="889" t="s">
        <v>8761</v>
      </c>
    </row>
    <row r="736" spans="1:8" ht="24.75">
      <c r="A736" s="108" t="s">
        <v>10306</v>
      </c>
      <c r="B736" s="890" t="s">
        <v>136</v>
      </c>
      <c r="C736" s="890" t="s">
        <v>74</v>
      </c>
      <c r="D736" s="890" t="s">
        <v>137</v>
      </c>
      <c r="E736" s="892" t="s">
        <v>76</v>
      </c>
      <c r="F736" s="890" t="s">
        <v>73</v>
      </c>
      <c r="G736" s="108">
        <f t="shared" si="11"/>
        <v>3</v>
      </c>
      <c r="H736" s="889" t="s">
        <v>8766</v>
      </c>
    </row>
    <row r="737" spans="1:8" ht="24.75">
      <c r="A737" s="108" t="s">
        <v>10306</v>
      </c>
      <c r="B737" s="891" t="s">
        <v>171</v>
      </c>
      <c r="C737" s="890" t="s">
        <v>37</v>
      </c>
      <c r="D737" s="892" t="s">
        <v>38</v>
      </c>
      <c r="E737" s="890" t="s">
        <v>39</v>
      </c>
      <c r="F737" s="890" t="s">
        <v>40</v>
      </c>
      <c r="G737" s="108">
        <f t="shared" si="11"/>
        <v>2</v>
      </c>
      <c r="H737" s="889" t="s">
        <v>8764</v>
      </c>
    </row>
    <row r="738" spans="1:8">
      <c r="A738" s="108" t="s">
        <v>10306</v>
      </c>
      <c r="B738" s="890" t="s">
        <v>172</v>
      </c>
      <c r="C738" s="890" t="s">
        <v>173</v>
      </c>
      <c r="D738" s="892" t="s">
        <v>174</v>
      </c>
      <c r="E738" s="890" t="s">
        <v>74</v>
      </c>
      <c r="F738" s="890" t="s">
        <v>73</v>
      </c>
      <c r="G738" s="108">
        <f t="shared" si="11"/>
        <v>2</v>
      </c>
      <c r="H738" s="889" t="s">
        <v>8764</v>
      </c>
    </row>
    <row r="739" spans="1:8" ht="24.75">
      <c r="A739" s="108" t="s">
        <v>10306</v>
      </c>
      <c r="B739" s="890" t="s">
        <v>106</v>
      </c>
      <c r="C739" s="890" t="s">
        <v>107</v>
      </c>
      <c r="D739" s="892" t="s">
        <v>108</v>
      </c>
      <c r="E739" s="890" t="s">
        <v>109</v>
      </c>
      <c r="F739" s="890" t="s">
        <v>110</v>
      </c>
      <c r="G739" s="108">
        <f t="shared" si="11"/>
        <v>2</v>
      </c>
      <c r="H739" s="889" t="s">
        <v>8764</v>
      </c>
    </row>
    <row r="740" spans="1:8" ht="36.75">
      <c r="A740" s="108" t="s">
        <v>10306</v>
      </c>
      <c r="B740" s="893" t="s">
        <v>10310</v>
      </c>
      <c r="C740" s="893" t="s">
        <v>10311</v>
      </c>
      <c r="D740" s="893" t="s">
        <v>10312</v>
      </c>
      <c r="E740" s="893" t="s">
        <v>10313</v>
      </c>
      <c r="F740" s="893" t="s">
        <v>10314</v>
      </c>
      <c r="G740" s="108">
        <f t="shared" si="11"/>
        <v>2</v>
      </c>
      <c r="H740" s="894" t="s">
        <v>8764</v>
      </c>
    </row>
    <row r="741" spans="1:8" ht="24.75">
      <c r="A741" s="108" t="s">
        <v>10306</v>
      </c>
      <c r="B741" s="891" t="s">
        <v>191</v>
      </c>
      <c r="C741" s="890" t="s">
        <v>192</v>
      </c>
      <c r="D741" s="890" t="s">
        <v>193</v>
      </c>
      <c r="E741" s="890" t="s">
        <v>194</v>
      </c>
      <c r="F741" s="892" t="s">
        <v>195</v>
      </c>
      <c r="G741" s="108">
        <f t="shared" si="11"/>
        <v>4</v>
      </c>
      <c r="H741" s="889" t="s">
        <v>8763</v>
      </c>
    </row>
    <row r="742" spans="1:8" ht="24.75">
      <c r="A742" s="108" t="s">
        <v>10306</v>
      </c>
      <c r="B742" s="890" t="s">
        <v>10315</v>
      </c>
      <c r="C742" s="890" t="s">
        <v>10316</v>
      </c>
      <c r="D742" s="890" t="s">
        <v>4767</v>
      </c>
      <c r="E742" s="890" t="s">
        <v>1743</v>
      </c>
      <c r="F742" s="892" t="s">
        <v>4627</v>
      </c>
      <c r="G742" s="108">
        <f t="shared" si="11"/>
        <v>4</v>
      </c>
      <c r="H742" s="889" t="s">
        <v>8763</v>
      </c>
    </row>
    <row r="743" spans="1:8" ht="24.75">
      <c r="A743" s="108" t="s">
        <v>10306</v>
      </c>
      <c r="B743" s="890" t="s">
        <v>138</v>
      </c>
      <c r="C743" s="890" t="s">
        <v>139</v>
      </c>
      <c r="D743" s="892" t="s">
        <v>140</v>
      </c>
      <c r="E743" s="890" t="s">
        <v>141</v>
      </c>
      <c r="F743" s="890" t="s">
        <v>142</v>
      </c>
      <c r="G743" s="108">
        <f t="shared" si="11"/>
        <v>2</v>
      </c>
      <c r="H743" s="889" t="s">
        <v>8764</v>
      </c>
    </row>
    <row r="744" spans="1:8" ht="24.75">
      <c r="A744" s="108" t="s">
        <v>10306</v>
      </c>
      <c r="B744" s="890" t="s">
        <v>160</v>
      </c>
      <c r="C744" s="892" t="s">
        <v>161</v>
      </c>
      <c r="D744" s="890" t="s">
        <v>162</v>
      </c>
      <c r="E744" s="890" t="s">
        <v>163</v>
      </c>
      <c r="F744" s="890" t="s">
        <v>10317</v>
      </c>
      <c r="G744" s="108">
        <f t="shared" si="11"/>
        <v>1</v>
      </c>
      <c r="H744" s="889" t="s">
        <v>8761</v>
      </c>
    </row>
    <row r="745" spans="1:8">
      <c r="A745" s="108" t="s">
        <v>10306</v>
      </c>
      <c r="B745" s="890" t="s">
        <v>10318</v>
      </c>
      <c r="C745" s="890">
        <v>2</v>
      </c>
      <c r="D745" s="890">
        <v>3</v>
      </c>
      <c r="E745" s="890">
        <v>4</v>
      </c>
      <c r="F745" s="890">
        <v>5</v>
      </c>
      <c r="G745" s="108">
        <f t="shared" si="11"/>
        <v>2</v>
      </c>
      <c r="H745" s="889" t="s">
        <v>8764</v>
      </c>
    </row>
    <row r="746" spans="1:8" ht="24.75">
      <c r="A746" s="108" t="s">
        <v>10306</v>
      </c>
      <c r="B746" s="890" t="s">
        <v>130</v>
      </c>
      <c r="C746" s="890" t="s">
        <v>131</v>
      </c>
      <c r="D746" s="892" t="s">
        <v>132</v>
      </c>
      <c r="E746" s="890" t="s">
        <v>133</v>
      </c>
      <c r="F746" s="890" t="s">
        <v>134</v>
      </c>
      <c r="G746" s="108">
        <f t="shared" si="11"/>
        <v>2</v>
      </c>
      <c r="H746" s="889" t="s">
        <v>8764</v>
      </c>
    </row>
    <row r="747" spans="1:8">
      <c r="A747" s="108" t="s">
        <v>10306</v>
      </c>
      <c r="B747" s="890" t="s">
        <v>155</v>
      </c>
      <c r="C747" s="890" t="s">
        <v>156</v>
      </c>
      <c r="D747" s="890" t="s">
        <v>157</v>
      </c>
      <c r="E747" s="890" t="s">
        <v>158</v>
      </c>
      <c r="F747" s="892" t="s">
        <v>159</v>
      </c>
      <c r="G747" s="108">
        <f t="shared" si="11"/>
        <v>4</v>
      </c>
      <c r="H747" s="889" t="s">
        <v>8763</v>
      </c>
    </row>
    <row r="748" spans="1:8">
      <c r="A748" s="108" t="s">
        <v>10306</v>
      </c>
      <c r="B748" s="890" t="s">
        <v>10319</v>
      </c>
      <c r="C748" s="890">
        <v>0</v>
      </c>
      <c r="D748" s="890">
        <v>0.5</v>
      </c>
      <c r="E748" s="892">
        <v>1</v>
      </c>
      <c r="F748" s="890">
        <v>100</v>
      </c>
      <c r="G748" s="108">
        <f t="shared" si="11"/>
        <v>3</v>
      </c>
      <c r="H748" s="889" t="s">
        <v>8766</v>
      </c>
    </row>
    <row r="749" spans="1:8" ht="24.75">
      <c r="A749" s="108" t="s">
        <v>10306</v>
      </c>
      <c r="B749" s="890" t="s">
        <v>10320</v>
      </c>
      <c r="C749" s="890" t="s">
        <v>120</v>
      </c>
      <c r="D749" s="892" t="s">
        <v>121</v>
      </c>
      <c r="E749" s="890" t="s">
        <v>122</v>
      </c>
      <c r="F749" s="890" t="s">
        <v>123</v>
      </c>
      <c r="G749" s="108">
        <f t="shared" si="11"/>
        <v>2</v>
      </c>
      <c r="H749" s="889" t="s">
        <v>8764</v>
      </c>
    </row>
    <row r="750" spans="1:8" ht="24.75">
      <c r="A750" s="108" t="s">
        <v>10306</v>
      </c>
      <c r="B750" s="890" t="s">
        <v>10321</v>
      </c>
      <c r="C750" s="895">
        <v>5.0000000000000001E-3</v>
      </c>
      <c r="D750" s="895">
        <v>2E-3</v>
      </c>
      <c r="E750" s="896">
        <v>3.0000000000000001E-3</v>
      </c>
      <c r="F750" s="895">
        <v>1E-3</v>
      </c>
      <c r="G750" s="108">
        <f t="shared" si="11"/>
        <v>3</v>
      </c>
      <c r="H750" s="889" t="s">
        <v>8766</v>
      </c>
    </row>
    <row r="751" spans="1:8" ht="24.75">
      <c r="A751" s="108" t="s">
        <v>10306</v>
      </c>
      <c r="B751" s="890" t="s">
        <v>196</v>
      </c>
      <c r="C751" s="897" t="s">
        <v>74</v>
      </c>
      <c r="D751" s="898" t="s">
        <v>137</v>
      </c>
      <c r="E751" s="897" t="s">
        <v>76</v>
      </c>
      <c r="F751" s="897" t="s">
        <v>179</v>
      </c>
      <c r="G751" s="108">
        <f t="shared" si="11"/>
        <v>2</v>
      </c>
      <c r="H751" s="889" t="s">
        <v>8764</v>
      </c>
    </row>
    <row r="752" spans="1:8">
      <c r="A752" s="108" t="s">
        <v>10306</v>
      </c>
      <c r="B752" s="890" t="s">
        <v>102</v>
      </c>
      <c r="C752" s="892" t="s">
        <v>83</v>
      </c>
      <c r="D752" s="890" t="s">
        <v>103</v>
      </c>
      <c r="E752" s="890" t="s">
        <v>104</v>
      </c>
      <c r="F752" s="890" t="s">
        <v>105</v>
      </c>
      <c r="G752" s="108">
        <f t="shared" si="11"/>
        <v>1</v>
      </c>
      <c r="H752" s="889" t="s">
        <v>8761</v>
      </c>
    </row>
    <row r="753" spans="1:8" ht="24.75">
      <c r="A753" s="108" t="s">
        <v>10306</v>
      </c>
      <c r="B753" s="890" t="s">
        <v>10322</v>
      </c>
      <c r="C753" s="890" t="s">
        <v>83</v>
      </c>
      <c r="D753" s="890" t="s">
        <v>103</v>
      </c>
      <c r="E753" s="892" t="s">
        <v>104</v>
      </c>
      <c r="F753" s="890" t="s">
        <v>10323</v>
      </c>
      <c r="G753" s="108">
        <f t="shared" si="11"/>
        <v>3</v>
      </c>
      <c r="H753" s="889" t="s">
        <v>8766</v>
      </c>
    </row>
    <row r="754" spans="1:8">
      <c r="A754" s="108" t="s">
        <v>10306</v>
      </c>
      <c r="B754" s="890" t="s">
        <v>82</v>
      </c>
      <c r="C754" s="890" t="s">
        <v>83</v>
      </c>
      <c r="D754" s="890" t="s">
        <v>103</v>
      </c>
      <c r="E754" s="892" t="s">
        <v>104</v>
      </c>
      <c r="F754" s="890" t="s">
        <v>86</v>
      </c>
      <c r="G754" s="108">
        <f t="shared" si="11"/>
        <v>3</v>
      </c>
      <c r="H754" s="889" t="s">
        <v>8766</v>
      </c>
    </row>
    <row r="755" spans="1:8" ht="24.75">
      <c r="A755" s="108" t="s">
        <v>10306</v>
      </c>
      <c r="B755" s="890" t="s">
        <v>117</v>
      </c>
      <c r="C755" s="891">
        <v>400</v>
      </c>
      <c r="D755" s="891">
        <v>220</v>
      </c>
      <c r="E755" s="172">
        <v>132</v>
      </c>
      <c r="F755" s="891">
        <v>765</v>
      </c>
      <c r="G755" s="108">
        <f t="shared" si="11"/>
        <v>1</v>
      </c>
      <c r="H755" s="889" t="s">
        <v>8761</v>
      </c>
    </row>
    <row r="756" spans="1:8" ht="24.75">
      <c r="A756" s="108" t="s">
        <v>10306</v>
      </c>
      <c r="B756" s="890" t="s">
        <v>101</v>
      </c>
      <c r="C756" s="892" t="s">
        <v>97</v>
      </c>
      <c r="D756" s="890" t="s">
        <v>98</v>
      </c>
      <c r="E756" s="890" t="s">
        <v>99</v>
      </c>
      <c r="F756" s="890" t="s">
        <v>100</v>
      </c>
      <c r="G756" s="108">
        <f t="shared" si="11"/>
        <v>1</v>
      </c>
      <c r="H756" s="889" t="s">
        <v>8761</v>
      </c>
    </row>
    <row r="757" spans="1:8" ht="24.75">
      <c r="A757" s="108" t="s">
        <v>10306</v>
      </c>
      <c r="B757" s="890" t="s">
        <v>96</v>
      </c>
      <c r="C757" s="890" t="s">
        <v>97</v>
      </c>
      <c r="D757" s="892" t="s">
        <v>98</v>
      </c>
      <c r="E757" s="890" t="s">
        <v>99</v>
      </c>
      <c r="F757" s="890" t="s">
        <v>100</v>
      </c>
      <c r="G757" s="108">
        <f t="shared" si="11"/>
        <v>2</v>
      </c>
      <c r="H757" s="889" t="s">
        <v>8764</v>
      </c>
    </row>
    <row r="758" spans="1:8" ht="36.75">
      <c r="A758" s="108" t="s">
        <v>10306</v>
      </c>
      <c r="B758" s="890" t="s">
        <v>150</v>
      </c>
      <c r="C758" s="890" t="s">
        <v>151</v>
      </c>
      <c r="D758" s="890" t="s">
        <v>152</v>
      </c>
      <c r="E758" s="890" t="s">
        <v>10324</v>
      </c>
      <c r="F758" s="892" t="s">
        <v>154</v>
      </c>
      <c r="G758" s="108">
        <f t="shared" si="11"/>
        <v>4</v>
      </c>
      <c r="H758" s="889" t="s">
        <v>8763</v>
      </c>
    </row>
    <row r="759" spans="1:8" ht="36.75">
      <c r="A759" s="108" t="s">
        <v>10306</v>
      </c>
      <c r="B759" s="890" t="s">
        <v>186</v>
      </c>
      <c r="C759" s="890" t="s">
        <v>187</v>
      </c>
      <c r="D759" s="890" t="s">
        <v>188</v>
      </c>
      <c r="E759" s="892" t="s">
        <v>189</v>
      </c>
      <c r="F759" s="890" t="s">
        <v>190</v>
      </c>
      <c r="G759" s="108">
        <f t="shared" si="11"/>
        <v>3</v>
      </c>
      <c r="H759" s="889" t="s">
        <v>8766</v>
      </c>
    </row>
    <row r="760" spans="1:8" ht="48.75">
      <c r="A760" s="108" t="s">
        <v>10306</v>
      </c>
      <c r="B760" s="893" t="s">
        <v>16</v>
      </c>
      <c r="C760" s="893" t="s">
        <v>8692</v>
      </c>
      <c r="D760" s="893" t="s">
        <v>8693</v>
      </c>
      <c r="E760" s="893" t="s">
        <v>8694</v>
      </c>
      <c r="F760" s="893" t="s">
        <v>8695</v>
      </c>
      <c r="G760" s="108">
        <f t="shared" si="11"/>
        <v>3</v>
      </c>
      <c r="H760" s="899" t="s">
        <v>8766</v>
      </c>
    </row>
    <row r="761" spans="1:8" ht="36.75">
      <c r="A761" s="108" t="s">
        <v>10306</v>
      </c>
      <c r="B761" s="890" t="s">
        <v>21</v>
      </c>
      <c r="C761" s="892" t="s">
        <v>22</v>
      </c>
      <c r="D761" s="890" t="s">
        <v>23</v>
      </c>
      <c r="E761" s="890" t="s">
        <v>24</v>
      </c>
      <c r="F761" s="890" t="s">
        <v>25</v>
      </c>
      <c r="G761" s="108">
        <f t="shared" si="11"/>
        <v>1</v>
      </c>
      <c r="H761" s="889" t="s">
        <v>8761</v>
      </c>
    </row>
    <row r="762" spans="1:8" ht="48.75">
      <c r="A762" s="108" t="s">
        <v>10306</v>
      </c>
      <c r="B762" s="890" t="s">
        <v>6</v>
      </c>
      <c r="C762" s="890" t="s">
        <v>7</v>
      </c>
      <c r="D762" s="892" t="s">
        <v>8</v>
      </c>
      <c r="E762" s="890" t="s">
        <v>9</v>
      </c>
      <c r="F762" s="890" t="s">
        <v>10</v>
      </c>
      <c r="G762" s="108">
        <f t="shared" si="11"/>
        <v>2</v>
      </c>
      <c r="H762" s="889" t="s">
        <v>8764</v>
      </c>
    </row>
    <row r="763" spans="1:8" ht="48.75">
      <c r="A763" s="108" t="s">
        <v>10306</v>
      </c>
      <c r="B763" s="890" t="s">
        <v>15</v>
      </c>
      <c r="C763" s="892" t="s">
        <v>8</v>
      </c>
      <c r="D763" s="890" t="s">
        <v>12</v>
      </c>
      <c r="E763" s="890" t="s">
        <v>13</v>
      </c>
      <c r="F763" s="890" t="s">
        <v>14</v>
      </c>
      <c r="G763" s="108">
        <f t="shared" si="11"/>
        <v>1</v>
      </c>
      <c r="H763" s="889" t="s">
        <v>8761</v>
      </c>
    </row>
    <row r="764" spans="1:8" ht="60.75">
      <c r="A764" s="108" t="s">
        <v>10306</v>
      </c>
      <c r="B764" s="890" t="s">
        <v>11</v>
      </c>
      <c r="C764" s="890" t="s">
        <v>8</v>
      </c>
      <c r="D764" s="892" t="s">
        <v>12</v>
      </c>
      <c r="E764" s="890" t="s">
        <v>13</v>
      </c>
      <c r="F764" s="890" t="s">
        <v>14</v>
      </c>
      <c r="G764" s="108">
        <f t="shared" si="11"/>
        <v>2</v>
      </c>
      <c r="H764" s="889" t="s">
        <v>8764</v>
      </c>
    </row>
    <row r="765" spans="1:8" ht="48.75">
      <c r="A765" s="108" t="s">
        <v>10306</v>
      </c>
      <c r="B765" s="890" t="s">
        <v>10325</v>
      </c>
      <c r="C765" s="890" t="s">
        <v>2</v>
      </c>
      <c r="D765" s="892" t="s">
        <v>3</v>
      </c>
      <c r="E765" s="890" t="s">
        <v>4</v>
      </c>
      <c r="F765" s="890" t="s">
        <v>5</v>
      </c>
      <c r="G765" s="108">
        <f t="shared" si="11"/>
        <v>2</v>
      </c>
      <c r="H765" s="889" t="s">
        <v>8764</v>
      </c>
    </row>
    <row r="766" spans="1:8" ht="48.75">
      <c r="A766" s="108" t="s">
        <v>10306</v>
      </c>
      <c r="B766" s="890" t="s">
        <v>26</v>
      </c>
      <c r="C766" s="890" t="s">
        <v>27</v>
      </c>
      <c r="D766" s="890" t="s">
        <v>28</v>
      </c>
      <c r="E766" s="890" t="s">
        <v>29</v>
      </c>
      <c r="F766" s="892" t="s">
        <v>30</v>
      </c>
      <c r="G766" s="108">
        <f t="shared" si="11"/>
        <v>4</v>
      </c>
      <c r="H766" s="889" t="s">
        <v>8763</v>
      </c>
    </row>
    <row r="767" spans="1:8" ht="36.75">
      <c r="A767" s="108" t="s">
        <v>10306</v>
      </c>
      <c r="B767" s="890" t="s">
        <v>10326</v>
      </c>
      <c r="C767" s="892">
        <v>100000</v>
      </c>
      <c r="D767" s="890">
        <v>200000</v>
      </c>
      <c r="E767" s="890">
        <v>2400000</v>
      </c>
      <c r="F767" s="890">
        <v>1200000</v>
      </c>
      <c r="G767" s="108">
        <f t="shared" si="11"/>
        <v>1</v>
      </c>
      <c r="H767" s="889" t="s">
        <v>8761</v>
      </c>
    </row>
    <row r="768" spans="1:8" ht="30">
      <c r="A768" s="108" t="s">
        <v>10306</v>
      </c>
      <c r="B768" s="900" t="s">
        <v>10327</v>
      </c>
      <c r="C768" s="701" t="s">
        <v>127</v>
      </c>
      <c r="D768" s="861" t="s">
        <v>10328</v>
      </c>
      <c r="E768" s="861" t="s">
        <v>10329</v>
      </c>
      <c r="F768" s="861" t="s">
        <v>10330</v>
      </c>
      <c r="G768" s="108">
        <f t="shared" si="11"/>
        <v>1</v>
      </c>
      <c r="H768" s="901" t="s">
        <v>8761</v>
      </c>
    </row>
    <row r="769" spans="1:8" ht="30">
      <c r="A769" s="108" t="s">
        <v>10306</v>
      </c>
      <c r="B769" s="900" t="s">
        <v>124</v>
      </c>
      <c r="C769" s="861" t="s">
        <v>125</v>
      </c>
      <c r="D769" s="861" t="s">
        <v>126</v>
      </c>
      <c r="E769" s="861" t="s">
        <v>127</v>
      </c>
      <c r="F769" s="701" t="s">
        <v>128</v>
      </c>
      <c r="G769" s="108">
        <f t="shared" si="11"/>
        <v>4</v>
      </c>
      <c r="H769" s="901" t="s">
        <v>8763</v>
      </c>
    </row>
    <row r="770" spans="1:8" ht="30">
      <c r="A770" s="108" t="s">
        <v>10306</v>
      </c>
      <c r="B770" s="900" t="s">
        <v>10331</v>
      </c>
      <c r="C770" s="861" t="s">
        <v>146</v>
      </c>
      <c r="D770" s="861" t="s">
        <v>148</v>
      </c>
      <c r="E770" s="701" t="s">
        <v>147</v>
      </c>
      <c r="F770" s="861" t="s">
        <v>61</v>
      </c>
      <c r="G770" s="108">
        <f t="shared" si="11"/>
        <v>3</v>
      </c>
      <c r="H770" s="901" t="s">
        <v>8766</v>
      </c>
    </row>
    <row r="771" spans="1:8" ht="15.75">
      <c r="A771" s="108" t="s">
        <v>10306</v>
      </c>
      <c r="B771" s="900" t="s">
        <v>10307</v>
      </c>
      <c r="C771" s="902">
        <v>75</v>
      </c>
      <c r="D771" s="902">
        <v>25</v>
      </c>
      <c r="E771" s="902">
        <v>60</v>
      </c>
      <c r="F771" s="903">
        <v>50</v>
      </c>
      <c r="G771" s="108">
        <f t="shared" ref="G771:G834" si="12">IF(H771="A",1,IF(H771="B",2,IF(H771="C",3,IF(H771="D",4,0))))</f>
        <v>4</v>
      </c>
      <c r="H771" s="901" t="s">
        <v>8763</v>
      </c>
    </row>
    <row r="772" spans="1:8" ht="60">
      <c r="A772" s="108" t="s">
        <v>10306</v>
      </c>
      <c r="B772" s="900" t="s">
        <v>36</v>
      </c>
      <c r="C772" s="861" t="s">
        <v>37</v>
      </c>
      <c r="D772" s="701" t="s">
        <v>38</v>
      </c>
      <c r="E772" s="861" t="s">
        <v>39</v>
      </c>
      <c r="F772" s="861" t="s">
        <v>40</v>
      </c>
      <c r="G772" s="108">
        <f t="shared" si="12"/>
        <v>2</v>
      </c>
      <c r="H772" s="901" t="s">
        <v>8764</v>
      </c>
    </row>
    <row r="773" spans="1:8" ht="60">
      <c r="A773" s="108" t="s">
        <v>10306</v>
      </c>
      <c r="B773" s="900" t="s">
        <v>41</v>
      </c>
      <c r="C773" s="701" t="s">
        <v>37</v>
      </c>
      <c r="D773" s="861" t="s">
        <v>38</v>
      </c>
      <c r="E773" s="861" t="s">
        <v>39</v>
      </c>
      <c r="F773" s="861" t="s">
        <v>40</v>
      </c>
      <c r="G773" s="108">
        <f t="shared" si="12"/>
        <v>1</v>
      </c>
      <c r="H773" s="901" t="s">
        <v>8761</v>
      </c>
    </row>
    <row r="774" spans="1:8" ht="45">
      <c r="A774" s="108" t="s">
        <v>10306</v>
      </c>
      <c r="B774" s="900" t="s">
        <v>111</v>
      </c>
      <c r="C774" s="861" t="s">
        <v>32</v>
      </c>
      <c r="D774" s="861" t="s">
        <v>112</v>
      </c>
      <c r="E774" s="861" t="s">
        <v>113</v>
      </c>
      <c r="F774" s="701" t="s">
        <v>114</v>
      </c>
      <c r="G774" s="108">
        <f t="shared" si="12"/>
        <v>4</v>
      </c>
      <c r="H774" s="901" t="s">
        <v>8763</v>
      </c>
    </row>
    <row r="775" spans="1:8" ht="30">
      <c r="A775" s="108" t="s">
        <v>10306</v>
      </c>
      <c r="B775" s="900" t="s">
        <v>172</v>
      </c>
      <c r="C775" s="861" t="s">
        <v>173</v>
      </c>
      <c r="D775" s="701" t="s">
        <v>174</v>
      </c>
      <c r="E775" s="861" t="s">
        <v>74</v>
      </c>
      <c r="F775" s="861" t="s">
        <v>73</v>
      </c>
      <c r="G775" s="108">
        <f t="shared" si="12"/>
        <v>2</v>
      </c>
      <c r="H775" s="901" t="s">
        <v>8764</v>
      </c>
    </row>
    <row r="776" spans="1:8" ht="30">
      <c r="A776" s="108" t="s">
        <v>10306</v>
      </c>
      <c r="B776" s="900" t="s">
        <v>10332</v>
      </c>
      <c r="C776" s="861" t="s">
        <v>10333</v>
      </c>
      <c r="D776" s="701" t="s">
        <v>108</v>
      </c>
      <c r="E776" s="861" t="s">
        <v>109</v>
      </c>
      <c r="F776" s="861" t="s">
        <v>10334</v>
      </c>
      <c r="G776" s="108">
        <f t="shared" si="12"/>
        <v>2</v>
      </c>
      <c r="H776" s="901" t="s">
        <v>8764</v>
      </c>
    </row>
    <row r="777" spans="1:8" ht="45">
      <c r="A777" s="108" t="s">
        <v>10306</v>
      </c>
      <c r="B777" s="900" t="s">
        <v>10335</v>
      </c>
      <c r="C777" s="861" t="s">
        <v>32</v>
      </c>
      <c r="D777" s="861" t="s">
        <v>112</v>
      </c>
      <c r="E777" s="701" t="s">
        <v>113</v>
      </c>
      <c r="F777" s="861" t="s">
        <v>61</v>
      </c>
      <c r="G777" s="108">
        <f t="shared" si="12"/>
        <v>3</v>
      </c>
      <c r="H777" s="901" t="s">
        <v>8766</v>
      </c>
    </row>
    <row r="778" spans="1:8" ht="45">
      <c r="A778" s="108" t="s">
        <v>10306</v>
      </c>
      <c r="B778" s="900" t="s">
        <v>10336</v>
      </c>
      <c r="C778" s="861" t="s">
        <v>10311</v>
      </c>
      <c r="D778" s="701" t="s">
        <v>10312</v>
      </c>
      <c r="E778" s="861" t="s">
        <v>10313</v>
      </c>
      <c r="F778" s="861" t="s">
        <v>10314</v>
      </c>
      <c r="G778" s="108">
        <f t="shared" si="12"/>
        <v>2</v>
      </c>
      <c r="H778" s="901" t="s">
        <v>8764</v>
      </c>
    </row>
    <row r="779" spans="1:8" ht="30">
      <c r="A779" s="108" t="s">
        <v>10306</v>
      </c>
      <c r="B779" s="900" t="s">
        <v>191</v>
      </c>
      <c r="C779" s="861" t="s">
        <v>192</v>
      </c>
      <c r="D779" s="861" t="s">
        <v>193</v>
      </c>
      <c r="E779" s="861" t="s">
        <v>194</v>
      </c>
      <c r="F779" s="701" t="s">
        <v>195</v>
      </c>
      <c r="G779" s="108">
        <f t="shared" si="12"/>
        <v>4</v>
      </c>
      <c r="H779" s="901" t="s">
        <v>8763</v>
      </c>
    </row>
    <row r="780" spans="1:8" ht="45">
      <c r="A780" s="108" t="s">
        <v>10306</v>
      </c>
      <c r="B780" s="900" t="s">
        <v>10337</v>
      </c>
      <c r="C780" s="861" t="s">
        <v>10316</v>
      </c>
      <c r="D780" s="861" t="s">
        <v>4767</v>
      </c>
      <c r="E780" s="861" t="s">
        <v>1743</v>
      </c>
      <c r="F780" s="701" t="s">
        <v>4627</v>
      </c>
      <c r="G780" s="108">
        <f t="shared" si="12"/>
        <v>4</v>
      </c>
      <c r="H780" s="901" t="s">
        <v>8763</v>
      </c>
    </row>
    <row r="781" spans="1:8" ht="30">
      <c r="A781" s="108" t="s">
        <v>10306</v>
      </c>
      <c r="B781" s="900" t="s">
        <v>118</v>
      </c>
      <c r="C781" s="904">
        <v>0.3</v>
      </c>
      <c r="D781" s="904">
        <v>0.15</v>
      </c>
      <c r="E781" s="904">
        <v>0.2</v>
      </c>
      <c r="F781" s="905">
        <v>0.25</v>
      </c>
      <c r="G781" s="108">
        <f t="shared" si="12"/>
        <v>4</v>
      </c>
      <c r="H781" s="901" t="s">
        <v>8763</v>
      </c>
    </row>
    <row r="782" spans="1:8" ht="30">
      <c r="A782" s="108" t="s">
        <v>10306</v>
      </c>
      <c r="B782" s="900" t="s">
        <v>10338</v>
      </c>
      <c r="C782" s="861" t="s">
        <v>139</v>
      </c>
      <c r="D782" s="701" t="s">
        <v>140</v>
      </c>
      <c r="E782" s="861" t="s">
        <v>141</v>
      </c>
      <c r="F782" s="861" t="s">
        <v>142</v>
      </c>
      <c r="G782" s="108">
        <f t="shared" si="12"/>
        <v>2</v>
      </c>
      <c r="H782" s="901" t="s">
        <v>8764</v>
      </c>
    </row>
    <row r="783" spans="1:8" ht="30">
      <c r="A783" s="108" t="s">
        <v>10306</v>
      </c>
      <c r="B783" s="900" t="s">
        <v>143</v>
      </c>
      <c r="C783" s="861" t="s">
        <v>139</v>
      </c>
      <c r="D783" s="861" t="s">
        <v>140</v>
      </c>
      <c r="E783" s="701" t="s">
        <v>10339</v>
      </c>
      <c r="F783" s="861" t="s">
        <v>142</v>
      </c>
      <c r="G783" s="108">
        <f t="shared" si="12"/>
        <v>3</v>
      </c>
      <c r="H783" s="901" t="s">
        <v>8766</v>
      </c>
    </row>
    <row r="784" spans="1:8" ht="30">
      <c r="A784" s="108" t="s">
        <v>10306</v>
      </c>
      <c r="B784" s="900" t="s">
        <v>197</v>
      </c>
      <c r="C784" s="861" t="s">
        <v>198</v>
      </c>
      <c r="D784" s="701" t="s">
        <v>199</v>
      </c>
      <c r="E784" s="861" t="s">
        <v>200</v>
      </c>
      <c r="F784" s="861" t="s">
        <v>61</v>
      </c>
      <c r="G784" s="108">
        <f t="shared" si="12"/>
        <v>2</v>
      </c>
      <c r="H784" s="901" t="s">
        <v>8764</v>
      </c>
    </row>
    <row r="785" spans="1:8" ht="30">
      <c r="A785" s="108" t="s">
        <v>10306</v>
      </c>
      <c r="B785" s="906" t="s">
        <v>10340</v>
      </c>
      <c r="C785" s="701">
        <v>2</v>
      </c>
      <c r="D785" s="701">
        <v>3</v>
      </c>
      <c r="E785" s="701">
        <v>1</v>
      </c>
      <c r="F785" s="701">
        <v>5</v>
      </c>
      <c r="G785" s="108">
        <f t="shared" si="12"/>
        <v>1</v>
      </c>
      <c r="H785" s="907" t="s">
        <v>8761</v>
      </c>
    </row>
    <row r="786" spans="1:8" ht="30">
      <c r="A786" s="108" t="s">
        <v>10306</v>
      </c>
      <c r="B786" s="900" t="s">
        <v>175</v>
      </c>
      <c r="C786" s="701" t="s">
        <v>173</v>
      </c>
      <c r="D786" s="861" t="s">
        <v>174</v>
      </c>
      <c r="E786" s="861" t="s">
        <v>74</v>
      </c>
      <c r="F786" s="861" t="s">
        <v>73</v>
      </c>
      <c r="G786" s="108">
        <f t="shared" si="12"/>
        <v>1</v>
      </c>
      <c r="H786" s="901" t="s">
        <v>8761</v>
      </c>
    </row>
    <row r="787" spans="1:8" ht="30">
      <c r="A787" s="108" t="s">
        <v>10306</v>
      </c>
      <c r="B787" s="900" t="s">
        <v>10341</v>
      </c>
      <c r="C787" s="861" t="s">
        <v>156</v>
      </c>
      <c r="D787" s="861" t="s">
        <v>157</v>
      </c>
      <c r="E787" s="861" t="s">
        <v>158</v>
      </c>
      <c r="F787" s="701" t="s">
        <v>159</v>
      </c>
      <c r="G787" s="108">
        <f t="shared" si="12"/>
        <v>4</v>
      </c>
      <c r="H787" s="901" t="s">
        <v>8763</v>
      </c>
    </row>
    <row r="788" spans="1:8" ht="30">
      <c r="A788" s="108" t="s">
        <v>10306</v>
      </c>
      <c r="B788" s="900" t="s">
        <v>10321</v>
      </c>
      <c r="C788" s="908">
        <v>5.0000000000000001E-3</v>
      </c>
      <c r="D788" s="908">
        <v>2E-3</v>
      </c>
      <c r="E788" s="908">
        <v>3.0000000000000001E-3</v>
      </c>
      <c r="F788" s="908">
        <v>1E-3</v>
      </c>
      <c r="G788" s="108">
        <f t="shared" si="12"/>
        <v>3</v>
      </c>
      <c r="H788" s="901" t="s">
        <v>8766</v>
      </c>
    </row>
    <row r="789" spans="1:8" ht="30">
      <c r="A789" s="108" t="s">
        <v>10306</v>
      </c>
      <c r="B789" s="900" t="s">
        <v>196</v>
      </c>
      <c r="C789" s="861" t="s">
        <v>74</v>
      </c>
      <c r="D789" s="701" t="s">
        <v>137</v>
      </c>
      <c r="E789" s="861" t="s">
        <v>76</v>
      </c>
      <c r="F789" s="861" t="s">
        <v>179</v>
      </c>
      <c r="G789" s="108">
        <f t="shared" si="12"/>
        <v>2</v>
      </c>
      <c r="H789" s="901" t="s">
        <v>8764</v>
      </c>
    </row>
    <row r="790" spans="1:8" ht="30">
      <c r="A790" s="108" t="s">
        <v>10306</v>
      </c>
      <c r="B790" s="900" t="s">
        <v>102</v>
      </c>
      <c r="C790" s="701" t="s">
        <v>83</v>
      </c>
      <c r="D790" s="861" t="s">
        <v>103</v>
      </c>
      <c r="E790" s="861" t="s">
        <v>10342</v>
      </c>
      <c r="F790" s="861" t="s">
        <v>105</v>
      </c>
      <c r="G790" s="108">
        <f t="shared" si="12"/>
        <v>1</v>
      </c>
      <c r="H790" s="901" t="s">
        <v>8761</v>
      </c>
    </row>
    <row r="791" spans="1:8" ht="30">
      <c r="A791" s="108" t="s">
        <v>10306</v>
      </c>
      <c r="B791" s="900" t="s">
        <v>10322</v>
      </c>
      <c r="C791" s="861" t="s">
        <v>83</v>
      </c>
      <c r="D791" s="861" t="s">
        <v>103</v>
      </c>
      <c r="E791" s="701" t="s">
        <v>10342</v>
      </c>
      <c r="F791" s="861" t="s">
        <v>10323</v>
      </c>
      <c r="G791" s="108">
        <f t="shared" si="12"/>
        <v>3</v>
      </c>
      <c r="H791" s="901" t="s">
        <v>8766</v>
      </c>
    </row>
    <row r="792" spans="1:8" ht="30">
      <c r="A792" s="108" t="s">
        <v>10306</v>
      </c>
      <c r="B792" s="900" t="s">
        <v>82</v>
      </c>
      <c r="C792" s="861" t="s">
        <v>83</v>
      </c>
      <c r="D792" s="861" t="s">
        <v>103</v>
      </c>
      <c r="E792" s="701" t="s">
        <v>3406</v>
      </c>
      <c r="F792" s="861" t="s">
        <v>86</v>
      </c>
      <c r="G792" s="108">
        <f t="shared" si="12"/>
        <v>3</v>
      </c>
      <c r="H792" s="901" t="s">
        <v>8766</v>
      </c>
    </row>
    <row r="793" spans="1:8" ht="45">
      <c r="A793" s="108" t="s">
        <v>10306</v>
      </c>
      <c r="B793" s="900" t="s">
        <v>150</v>
      </c>
      <c r="C793" s="861" t="s">
        <v>151</v>
      </c>
      <c r="D793" s="861" t="s">
        <v>152</v>
      </c>
      <c r="E793" s="861" t="s">
        <v>10324</v>
      </c>
      <c r="F793" s="701" t="s">
        <v>1000</v>
      </c>
      <c r="G793" s="108">
        <f t="shared" si="12"/>
        <v>4</v>
      </c>
      <c r="H793" s="901" t="s">
        <v>8763</v>
      </c>
    </row>
    <row r="794" spans="1:8" ht="30">
      <c r="A794" s="108" t="s">
        <v>10306</v>
      </c>
      <c r="B794" s="900" t="s">
        <v>10343</v>
      </c>
      <c r="C794" s="861" t="s">
        <v>43</v>
      </c>
      <c r="D794" s="701" t="s">
        <v>44</v>
      </c>
      <c r="E794" s="861" t="s">
        <v>45</v>
      </c>
      <c r="F794" s="861" t="s">
        <v>46</v>
      </c>
      <c r="G794" s="108">
        <f t="shared" si="12"/>
        <v>2</v>
      </c>
      <c r="H794" s="901" t="s">
        <v>8764</v>
      </c>
    </row>
    <row r="795" spans="1:8" ht="45">
      <c r="A795" s="108" t="s">
        <v>10306</v>
      </c>
      <c r="B795" s="900" t="s">
        <v>77</v>
      </c>
      <c r="C795" s="861" t="s">
        <v>78</v>
      </c>
      <c r="D795" s="861" t="s">
        <v>79</v>
      </c>
      <c r="E795" s="701" t="s">
        <v>80</v>
      </c>
      <c r="F795" s="861" t="s">
        <v>10344</v>
      </c>
      <c r="G795" s="108">
        <f t="shared" si="12"/>
        <v>3</v>
      </c>
      <c r="H795" s="901" t="s">
        <v>8766</v>
      </c>
    </row>
    <row r="796" spans="1:8" ht="60">
      <c r="A796" s="108" t="s">
        <v>10306</v>
      </c>
      <c r="B796" s="900" t="s">
        <v>8747</v>
      </c>
      <c r="C796" s="861" t="s">
        <v>53</v>
      </c>
      <c r="D796" s="861" t="s">
        <v>54</v>
      </c>
      <c r="E796" s="701" t="s">
        <v>55</v>
      </c>
      <c r="F796" s="861" t="s">
        <v>56</v>
      </c>
      <c r="G796" s="108">
        <f t="shared" si="12"/>
        <v>3</v>
      </c>
      <c r="H796" s="901" t="s">
        <v>8766</v>
      </c>
    </row>
    <row r="797" spans="1:8" ht="90">
      <c r="A797" s="108" t="s">
        <v>10306</v>
      </c>
      <c r="B797" s="900" t="s">
        <v>62</v>
      </c>
      <c r="C797" s="701" t="s">
        <v>63</v>
      </c>
      <c r="D797" s="861" t="s">
        <v>10345</v>
      </c>
      <c r="E797" s="861" t="s">
        <v>65</v>
      </c>
      <c r="F797" s="861" t="s">
        <v>66</v>
      </c>
      <c r="G797" s="108">
        <f t="shared" si="12"/>
        <v>1</v>
      </c>
      <c r="H797" s="909" t="s">
        <v>8761</v>
      </c>
    </row>
    <row r="798" spans="1:8" ht="45">
      <c r="A798" s="108" t="s">
        <v>10306</v>
      </c>
      <c r="B798" s="900" t="s">
        <v>67</v>
      </c>
      <c r="C798" s="861">
        <v>0</v>
      </c>
      <c r="D798" s="861">
        <v>0.5</v>
      </c>
      <c r="E798" s="701">
        <v>1</v>
      </c>
      <c r="F798" s="861">
        <v>100</v>
      </c>
      <c r="G798" s="108">
        <f t="shared" si="12"/>
        <v>3</v>
      </c>
      <c r="H798" s="909" t="s">
        <v>8766</v>
      </c>
    </row>
    <row r="799" spans="1:8" ht="30">
      <c r="A799" s="108" t="s">
        <v>10306</v>
      </c>
      <c r="B799" s="900" t="s">
        <v>10346</v>
      </c>
      <c r="C799" s="861" t="s">
        <v>151</v>
      </c>
      <c r="D799" s="861" t="s">
        <v>188</v>
      </c>
      <c r="E799" s="701" t="s">
        <v>10347</v>
      </c>
      <c r="F799" s="861" t="s">
        <v>190</v>
      </c>
      <c r="G799" s="108">
        <f t="shared" si="12"/>
        <v>3</v>
      </c>
      <c r="H799" s="909" t="s">
        <v>8766</v>
      </c>
    </row>
    <row r="800" spans="1:8" ht="30">
      <c r="A800" s="108" t="s">
        <v>10306</v>
      </c>
      <c r="B800" s="900" t="s">
        <v>10348</v>
      </c>
      <c r="C800" s="861" t="s">
        <v>92</v>
      </c>
      <c r="D800" s="861" t="s">
        <v>93</v>
      </c>
      <c r="E800" s="861" t="s">
        <v>94</v>
      </c>
      <c r="F800" s="701" t="s">
        <v>95</v>
      </c>
      <c r="G800" s="108">
        <f t="shared" si="12"/>
        <v>4</v>
      </c>
      <c r="H800" s="909" t="s">
        <v>8763</v>
      </c>
    </row>
    <row r="801" spans="1:8" ht="75">
      <c r="A801" s="108" t="s">
        <v>10306</v>
      </c>
      <c r="B801" s="900" t="s">
        <v>68</v>
      </c>
      <c r="C801" s="861" t="s">
        <v>69</v>
      </c>
      <c r="D801" s="701" t="s">
        <v>70</v>
      </c>
      <c r="E801" s="861" t="s">
        <v>71</v>
      </c>
      <c r="F801" s="861" t="s">
        <v>66</v>
      </c>
      <c r="G801" s="108">
        <f t="shared" si="12"/>
        <v>2</v>
      </c>
      <c r="H801" s="909" t="s">
        <v>8764</v>
      </c>
    </row>
    <row r="802" spans="1:8" ht="45">
      <c r="A802" s="108" t="s">
        <v>10306</v>
      </c>
      <c r="B802" s="900" t="s">
        <v>88</v>
      </c>
      <c r="C802" s="910">
        <v>0.02</v>
      </c>
      <c r="D802" s="911">
        <v>0.05</v>
      </c>
      <c r="E802" s="911">
        <v>0.01</v>
      </c>
      <c r="F802" s="911">
        <v>0.03</v>
      </c>
      <c r="G802" s="108">
        <f t="shared" si="12"/>
        <v>1</v>
      </c>
      <c r="H802" s="901" t="s">
        <v>8761</v>
      </c>
    </row>
    <row r="803" spans="1:8" ht="47.25">
      <c r="A803" s="108" t="s">
        <v>10306</v>
      </c>
      <c r="B803" s="900" t="s">
        <v>150</v>
      </c>
      <c r="C803" s="421" t="s">
        <v>151</v>
      </c>
      <c r="D803" s="421" t="s">
        <v>152</v>
      </c>
      <c r="E803" s="421" t="s">
        <v>10324</v>
      </c>
      <c r="F803" s="912" t="s">
        <v>1000</v>
      </c>
      <c r="G803" s="108">
        <f t="shared" si="12"/>
        <v>4</v>
      </c>
      <c r="H803" s="913" t="s">
        <v>8763</v>
      </c>
    </row>
    <row r="804" spans="1:8" ht="30">
      <c r="A804" s="108" t="s">
        <v>10306</v>
      </c>
      <c r="B804" s="900" t="s">
        <v>135</v>
      </c>
      <c r="C804" s="914">
        <v>0.01</v>
      </c>
      <c r="D804" s="915">
        <v>1.4999999999999999E-2</v>
      </c>
      <c r="E804" s="916">
        <v>0.02</v>
      </c>
      <c r="F804" s="916">
        <v>0.03</v>
      </c>
      <c r="G804" s="108">
        <f t="shared" si="12"/>
        <v>1</v>
      </c>
      <c r="H804" s="913" t="s">
        <v>8761</v>
      </c>
    </row>
    <row r="805" spans="1:8" ht="30">
      <c r="A805" s="108" t="s">
        <v>10306</v>
      </c>
      <c r="B805" s="900" t="s">
        <v>57</v>
      </c>
      <c r="C805" s="421" t="s">
        <v>58</v>
      </c>
      <c r="D805" s="912" t="s">
        <v>59</v>
      </c>
      <c r="E805" s="421" t="s">
        <v>60</v>
      </c>
      <c r="F805" s="421" t="s">
        <v>10349</v>
      </c>
      <c r="G805" s="108">
        <f t="shared" si="12"/>
        <v>3</v>
      </c>
      <c r="H805" s="913" t="s">
        <v>8766</v>
      </c>
    </row>
    <row r="806" spans="1:8" ht="60">
      <c r="A806" s="108" t="s">
        <v>10306</v>
      </c>
      <c r="B806" s="900" t="s">
        <v>47</v>
      </c>
      <c r="C806" s="912" t="s">
        <v>48</v>
      </c>
      <c r="D806" s="421" t="s">
        <v>49</v>
      </c>
      <c r="E806" s="421" t="s">
        <v>10350</v>
      </c>
      <c r="F806" s="421" t="s">
        <v>51</v>
      </c>
      <c r="G806" s="108">
        <f t="shared" si="12"/>
        <v>1</v>
      </c>
      <c r="H806" s="913" t="s">
        <v>8761</v>
      </c>
    </row>
    <row r="807" spans="1:8" ht="15.75">
      <c r="A807" s="108" t="s">
        <v>10306</v>
      </c>
      <c r="B807" s="900" t="s">
        <v>170</v>
      </c>
      <c r="C807" s="421" t="s">
        <v>38</v>
      </c>
      <c r="D807" s="421" t="s">
        <v>40</v>
      </c>
      <c r="E807" s="912" t="s">
        <v>37</v>
      </c>
      <c r="F807" s="421" t="s">
        <v>39</v>
      </c>
      <c r="G807" s="108">
        <f t="shared" si="12"/>
        <v>3</v>
      </c>
      <c r="H807" s="913" t="s">
        <v>8766</v>
      </c>
    </row>
    <row r="808" spans="1:8" ht="30">
      <c r="A808" s="108" t="s">
        <v>10306</v>
      </c>
      <c r="B808" s="900" t="s">
        <v>89</v>
      </c>
      <c r="C808" s="912" t="s">
        <v>3025</v>
      </c>
      <c r="D808" s="421" t="s">
        <v>90</v>
      </c>
      <c r="E808" s="421" t="s">
        <v>45</v>
      </c>
      <c r="F808" s="421" t="s">
        <v>46</v>
      </c>
      <c r="G808" s="108">
        <f t="shared" si="12"/>
        <v>1</v>
      </c>
      <c r="H808" s="917" t="s">
        <v>8761</v>
      </c>
    </row>
    <row r="809" spans="1:8" ht="45">
      <c r="A809" s="108" t="s">
        <v>10306</v>
      </c>
      <c r="B809" s="900" t="s">
        <v>72</v>
      </c>
      <c r="C809" s="421" t="s">
        <v>73</v>
      </c>
      <c r="D809" s="421" t="s">
        <v>74</v>
      </c>
      <c r="E809" s="912" t="s">
        <v>75</v>
      </c>
      <c r="F809" s="421" t="s">
        <v>76</v>
      </c>
      <c r="G809" s="108">
        <f t="shared" si="12"/>
        <v>3</v>
      </c>
      <c r="H809" s="913" t="s">
        <v>8766</v>
      </c>
    </row>
    <row r="810" spans="1:8" ht="24">
      <c r="A810" s="108" t="s">
        <v>10351</v>
      </c>
      <c r="B810" s="918" t="s">
        <v>10352</v>
      </c>
      <c r="C810" s="919" t="s">
        <v>1788</v>
      </c>
      <c r="D810" s="920" t="s">
        <v>10353</v>
      </c>
      <c r="E810" s="919" t="s">
        <v>10354</v>
      </c>
      <c r="F810" s="919" t="s">
        <v>10355</v>
      </c>
      <c r="G810" s="108">
        <f t="shared" si="12"/>
        <v>2</v>
      </c>
      <c r="H810" s="921" t="s">
        <v>8764</v>
      </c>
    </row>
    <row r="811" spans="1:8" ht="24">
      <c r="A811" s="108" t="s">
        <v>10351</v>
      </c>
      <c r="B811" s="886" t="s">
        <v>8701</v>
      </c>
      <c r="C811" s="922" t="s">
        <v>10356</v>
      </c>
      <c r="D811" s="922" t="s">
        <v>1794</v>
      </c>
      <c r="E811" s="922" t="s">
        <v>10357</v>
      </c>
      <c r="F811" s="284" t="s">
        <v>1795</v>
      </c>
      <c r="G811" s="108">
        <f t="shared" si="12"/>
        <v>4</v>
      </c>
      <c r="H811" s="921" t="s">
        <v>8763</v>
      </c>
    </row>
    <row r="812" spans="1:8" ht="48">
      <c r="A812" s="108" t="s">
        <v>10351</v>
      </c>
      <c r="B812" s="923" t="s">
        <v>10358</v>
      </c>
      <c r="C812" s="922" t="s">
        <v>10359</v>
      </c>
      <c r="D812" s="922" t="s">
        <v>10360</v>
      </c>
      <c r="E812" s="284" t="s">
        <v>10361</v>
      </c>
      <c r="F812" s="922" t="s">
        <v>10362</v>
      </c>
      <c r="G812" s="108">
        <f t="shared" si="12"/>
        <v>3</v>
      </c>
      <c r="H812" s="921" t="s">
        <v>8766</v>
      </c>
    </row>
    <row r="813" spans="1:8" ht="72">
      <c r="A813" s="108" t="s">
        <v>10351</v>
      </c>
      <c r="B813" s="886" t="s">
        <v>10363</v>
      </c>
      <c r="C813" s="922" t="s">
        <v>1323</v>
      </c>
      <c r="D813" s="922" t="s">
        <v>1324</v>
      </c>
      <c r="E813" s="284" t="s">
        <v>1325</v>
      </c>
      <c r="F813" s="922" t="s">
        <v>1326</v>
      </c>
      <c r="G813" s="108">
        <f t="shared" si="12"/>
        <v>3</v>
      </c>
      <c r="H813" s="921" t="s">
        <v>8766</v>
      </c>
    </row>
    <row r="814" spans="1:8" ht="48">
      <c r="A814" s="108" t="s">
        <v>10351</v>
      </c>
      <c r="B814" s="886" t="s">
        <v>1309</v>
      </c>
      <c r="C814" s="922" t="s">
        <v>1310</v>
      </c>
      <c r="D814" s="922" t="s">
        <v>1311</v>
      </c>
      <c r="E814" s="284" t="s">
        <v>1312</v>
      </c>
      <c r="F814" s="922" t="s">
        <v>1313</v>
      </c>
      <c r="G814" s="108">
        <f t="shared" si="12"/>
        <v>3</v>
      </c>
      <c r="H814" s="921" t="s">
        <v>8766</v>
      </c>
    </row>
    <row r="815" spans="1:8" ht="36">
      <c r="A815" s="108" t="s">
        <v>10351</v>
      </c>
      <c r="B815" s="886" t="s">
        <v>8699</v>
      </c>
      <c r="C815" s="922" t="s">
        <v>1484</v>
      </c>
      <c r="D815" s="922" t="s">
        <v>1485</v>
      </c>
      <c r="E815" s="284" t="s">
        <v>1486</v>
      </c>
      <c r="F815" s="922" t="s">
        <v>1487</v>
      </c>
      <c r="G815" s="108">
        <f t="shared" si="12"/>
        <v>3</v>
      </c>
      <c r="H815" s="921" t="s">
        <v>8766</v>
      </c>
    </row>
    <row r="816" spans="1:8" ht="72">
      <c r="A816" s="108" t="s">
        <v>10351</v>
      </c>
      <c r="B816" s="886" t="s">
        <v>10364</v>
      </c>
      <c r="C816" s="922" t="s">
        <v>7418</v>
      </c>
      <c r="D816" s="284" t="s">
        <v>1399</v>
      </c>
      <c r="E816" s="922" t="s">
        <v>1400</v>
      </c>
      <c r="F816" s="922" t="s">
        <v>1401</v>
      </c>
      <c r="G816" s="108">
        <f t="shared" si="12"/>
        <v>2</v>
      </c>
      <c r="H816" s="921" t="s">
        <v>8764</v>
      </c>
    </row>
    <row r="817" spans="1:8" ht="36">
      <c r="A817" s="108" t="s">
        <v>10351</v>
      </c>
      <c r="B817" s="886" t="s">
        <v>1677</v>
      </c>
      <c r="C817" s="922" t="s">
        <v>1678</v>
      </c>
      <c r="D817" s="922" t="s">
        <v>1679</v>
      </c>
      <c r="E817" s="922" t="s">
        <v>1680</v>
      </c>
      <c r="F817" s="284" t="s">
        <v>1681</v>
      </c>
      <c r="G817" s="108">
        <f t="shared" si="12"/>
        <v>4</v>
      </c>
      <c r="H817" s="921" t="s">
        <v>8763</v>
      </c>
    </row>
    <row r="818" spans="1:8" ht="36">
      <c r="A818" s="108" t="s">
        <v>10351</v>
      </c>
      <c r="B818" s="886" t="s">
        <v>1438</v>
      </c>
      <c r="C818" s="284" t="s">
        <v>10</v>
      </c>
      <c r="D818" s="922" t="s">
        <v>1439</v>
      </c>
      <c r="E818" s="922" t="s">
        <v>1440</v>
      </c>
      <c r="F818" s="922" t="s">
        <v>1434</v>
      </c>
      <c r="G818" s="108">
        <f t="shared" si="12"/>
        <v>1</v>
      </c>
      <c r="H818" s="921" t="s">
        <v>8761</v>
      </c>
    </row>
    <row r="819" spans="1:8" ht="36">
      <c r="A819" s="108" t="s">
        <v>10351</v>
      </c>
      <c r="B819" s="886" t="s">
        <v>1433</v>
      </c>
      <c r="C819" s="922" t="s">
        <v>1434</v>
      </c>
      <c r="D819" s="284" t="s">
        <v>1435</v>
      </c>
      <c r="E819" s="922" t="s">
        <v>1436</v>
      </c>
      <c r="F819" s="922" t="s">
        <v>1437</v>
      </c>
      <c r="G819" s="108">
        <f t="shared" si="12"/>
        <v>2</v>
      </c>
      <c r="H819" s="921" t="s">
        <v>8764</v>
      </c>
    </row>
    <row r="820" spans="1:8" ht="48">
      <c r="A820" s="108" t="s">
        <v>10351</v>
      </c>
      <c r="B820" s="886" t="s">
        <v>10365</v>
      </c>
      <c r="C820" s="922" t="s">
        <v>1536</v>
      </c>
      <c r="D820" s="922" t="s">
        <v>1537</v>
      </c>
      <c r="E820" s="284" t="s">
        <v>1538</v>
      </c>
      <c r="F820" s="922" t="s">
        <v>10366</v>
      </c>
      <c r="G820" s="108">
        <f t="shared" si="12"/>
        <v>3</v>
      </c>
      <c r="H820" s="921" t="s">
        <v>8766</v>
      </c>
    </row>
    <row r="821" spans="1:8" ht="24">
      <c r="A821" s="108" t="s">
        <v>10351</v>
      </c>
      <c r="B821" s="886" t="s">
        <v>10367</v>
      </c>
      <c r="C821" s="284" t="s">
        <v>1347</v>
      </c>
      <c r="D821" s="922" t="s">
        <v>1348</v>
      </c>
      <c r="E821" s="922" t="s">
        <v>1349</v>
      </c>
      <c r="F821" s="922" t="s">
        <v>1350</v>
      </c>
      <c r="G821" s="108">
        <f t="shared" si="12"/>
        <v>1</v>
      </c>
      <c r="H821" s="921" t="s">
        <v>8761</v>
      </c>
    </row>
    <row r="822" spans="1:8" ht="24">
      <c r="A822" s="108" t="s">
        <v>10351</v>
      </c>
      <c r="B822" s="886" t="s">
        <v>10368</v>
      </c>
      <c r="C822" s="284" t="s">
        <v>1381</v>
      </c>
      <c r="D822" s="922" t="s">
        <v>1382</v>
      </c>
      <c r="E822" s="922" t="s">
        <v>1383</v>
      </c>
      <c r="F822" s="922" t="s">
        <v>1384</v>
      </c>
      <c r="G822" s="108">
        <f t="shared" si="12"/>
        <v>1</v>
      </c>
      <c r="H822" s="921" t="s">
        <v>8761</v>
      </c>
    </row>
    <row r="823" spans="1:8" ht="24">
      <c r="A823" s="108" t="s">
        <v>10351</v>
      </c>
      <c r="B823" s="886" t="s">
        <v>1385</v>
      </c>
      <c r="C823" s="284" t="s">
        <v>1381</v>
      </c>
      <c r="D823" s="922" t="s">
        <v>1382</v>
      </c>
      <c r="E823" s="922" t="s">
        <v>1383</v>
      </c>
      <c r="F823" s="922" t="s">
        <v>1384</v>
      </c>
      <c r="G823" s="108">
        <f t="shared" si="12"/>
        <v>1</v>
      </c>
      <c r="H823" s="921" t="s">
        <v>8761</v>
      </c>
    </row>
    <row r="824" spans="1:8" ht="24">
      <c r="A824" s="108" t="s">
        <v>10351</v>
      </c>
      <c r="B824" s="886" t="s">
        <v>1341</v>
      </c>
      <c r="C824" s="922" t="s">
        <v>1342</v>
      </c>
      <c r="D824" s="284" t="s">
        <v>1343</v>
      </c>
      <c r="E824" s="922" t="s">
        <v>1344</v>
      </c>
      <c r="F824" s="922" t="s">
        <v>1345</v>
      </c>
      <c r="G824" s="108">
        <f t="shared" si="12"/>
        <v>2</v>
      </c>
      <c r="H824" s="921" t="s">
        <v>8764</v>
      </c>
    </row>
    <row r="825" spans="1:8" ht="30">
      <c r="A825" s="108" t="s">
        <v>10351</v>
      </c>
      <c r="B825" s="875" t="s">
        <v>1402</v>
      </c>
      <c r="C825" s="876">
        <v>1E-3</v>
      </c>
      <c r="D825" s="877">
        <v>0.01</v>
      </c>
      <c r="E825" s="876">
        <v>0.1</v>
      </c>
      <c r="F825" s="876">
        <v>1</v>
      </c>
      <c r="G825" s="108">
        <f t="shared" si="12"/>
        <v>2</v>
      </c>
      <c r="H825" s="854" t="s">
        <v>8764</v>
      </c>
    </row>
    <row r="826" spans="1:8" ht="48">
      <c r="A826" s="108" t="s">
        <v>10351</v>
      </c>
      <c r="B826" s="886" t="s">
        <v>1421</v>
      </c>
      <c r="C826" s="922" t="s">
        <v>1422</v>
      </c>
      <c r="D826" s="284">
        <v>2400</v>
      </c>
      <c r="E826" s="922">
        <v>4800</v>
      </c>
      <c r="F826" s="922" t="s">
        <v>1437</v>
      </c>
      <c r="G826" s="108">
        <f t="shared" si="12"/>
        <v>2</v>
      </c>
      <c r="H826" s="921" t="s">
        <v>8764</v>
      </c>
    </row>
    <row r="827" spans="1:8" ht="24">
      <c r="A827" s="108" t="s">
        <v>10351</v>
      </c>
      <c r="B827" s="886" t="s">
        <v>1474</v>
      </c>
      <c r="C827" s="284" t="s">
        <v>1332</v>
      </c>
      <c r="D827" s="922" t="s">
        <v>1404</v>
      </c>
      <c r="E827" s="922" t="s">
        <v>1405</v>
      </c>
      <c r="F827" s="922" t="s">
        <v>1475</v>
      </c>
      <c r="G827" s="108">
        <f t="shared" si="12"/>
        <v>1</v>
      </c>
      <c r="H827" s="921" t="s">
        <v>8761</v>
      </c>
    </row>
    <row r="828" spans="1:8" ht="36">
      <c r="A828" s="108" t="s">
        <v>10351</v>
      </c>
      <c r="B828" s="886" t="s">
        <v>1446</v>
      </c>
      <c r="C828" s="284">
        <v>3</v>
      </c>
      <c r="D828" s="922">
        <v>5</v>
      </c>
      <c r="E828" s="922">
        <v>7</v>
      </c>
      <c r="F828" s="922">
        <v>15</v>
      </c>
      <c r="G828" s="108">
        <f t="shared" si="12"/>
        <v>1</v>
      </c>
      <c r="H828" s="921" t="s">
        <v>8761</v>
      </c>
    </row>
    <row r="829" spans="1:8" ht="24">
      <c r="A829" s="108" t="s">
        <v>10351</v>
      </c>
      <c r="B829" s="886" t="s">
        <v>1431</v>
      </c>
      <c r="C829" s="922" t="s">
        <v>1425</v>
      </c>
      <c r="D829" s="922" t="s">
        <v>1426</v>
      </c>
      <c r="E829" s="922" t="s">
        <v>1427</v>
      </c>
      <c r="F829" s="284" t="s">
        <v>1430</v>
      </c>
      <c r="G829" s="108">
        <f t="shared" si="12"/>
        <v>4</v>
      </c>
      <c r="H829" s="921" t="s">
        <v>8763</v>
      </c>
    </row>
    <row r="830" spans="1:8" ht="24">
      <c r="A830" s="108" t="s">
        <v>10351</v>
      </c>
      <c r="B830" s="886" t="s">
        <v>1331</v>
      </c>
      <c r="C830" s="922" t="s">
        <v>1332</v>
      </c>
      <c r="D830" s="284" t="s">
        <v>1333</v>
      </c>
      <c r="E830" s="922" t="s">
        <v>1334</v>
      </c>
      <c r="F830" s="922" t="s">
        <v>1335</v>
      </c>
      <c r="G830" s="108">
        <f t="shared" si="12"/>
        <v>2</v>
      </c>
      <c r="H830" s="921" t="s">
        <v>8764</v>
      </c>
    </row>
    <row r="831" spans="1:8" ht="24">
      <c r="A831" s="108" t="s">
        <v>10351</v>
      </c>
      <c r="B831" s="886" t="s">
        <v>1429</v>
      </c>
      <c r="C831" s="922" t="s">
        <v>1425</v>
      </c>
      <c r="D831" s="284" t="s">
        <v>1426</v>
      </c>
      <c r="E831" s="922" t="s">
        <v>1427</v>
      </c>
      <c r="F831" s="922" t="s">
        <v>1430</v>
      </c>
      <c r="G831" s="108">
        <f t="shared" si="12"/>
        <v>2</v>
      </c>
      <c r="H831" s="921" t="s">
        <v>8764</v>
      </c>
    </row>
    <row r="832" spans="1:8" ht="24">
      <c r="A832" s="108" t="s">
        <v>10351</v>
      </c>
      <c r="B832" s="886" t="s">
        <v>1424</v>
      </c>
      <c r="C832" s="922" t="s">
        <v>1425</v>
      </c>
      <c r="D832" s="922" t="s">
        <v>1426</v>
      </c>
      <c r="E832" s="284" t="s">
        <v>1427</v>
      </c>
      <c r="F832" s="922" t="s">
        <v>1428</v>
      </c>
      <c r="G832" s="108">
        <f t="shared" si="12"/>
        <v>3</v>
      </c>
      <c r="H832" s="921" t="s">
        <v>8766</v>
      </c>
    </row>
    <row r="833" spans="1:8" ht="48">
      <c r="A833" s="108" t="s">
        <v>10351</v>
      </c>
      <c r="B833" s="886" t="s">
        <v>1673</v>
      </c>
      <c r="C833" s="284" t="s">
        <v>1674</v>
      </c>
      <c r="D833" s="922" t="s">
        <v>1675</v>
      </c>
      <c r="E833" s="922" t="s">
        <v>1676</v>
      </c>
      <c r="F833" s="922" t="s">
        <v>8765</v>
      </c>
      <c r="G833" s="108">
        <f t="shared" si="12"/>
        <v>1</v>
      </c>
      <c r="H833" s="921" t="s">
        <v>8761</v>
      </c>
    </row>
    <row r="834" spans="1:8" ht="36">
      <c r="A834" s="108" t="s">
        <v>10351</v>
      </c>
      <c r="B834" s="886" t="s">
        <v>1505</v>
      </c>
      <c r="C834" s="922" t="s">
        <v>1506</v>
      </c>
      <c r="D834" s="284" t="s">
        <v>1507</v>
      </c>
      <c r="E834" s="922" t="s">
        <v>1508</v>
      </c>
      <c r="F834" s="922" t="s">
        <v>1509</v>
      </c>
      <c r="G834" s="108">
        <f t="shared" si="12"/>
        <v>2</v>
      </c>
      <c r="H834" s="921" t="s">
        <v>8764</v>
      </c>
    </row>
    <row r="835" spans="1:8" ht="36">
      <c r="A835" s="108" t="s">
        <v>10351</v>
      </c>
      <c r="B835" s="886" t="s">
        <v>10369</v>
      </c>
      <c r="C835" s="284" t="s">
        <v>10370</v>
      </c>
      <c r="D835" s="922" t="s">
        <v>1502</v>
      </c>
      <c r="E835" s="922" t="s">
        <v>1503</v>
      </c>
      <c r="F835" s="922" t="s">
        <v>8765</v>
      </c>
      <c r="G835" s="108">
        <f t="shared" ref="G835:G898" si="13">IF(H835="A",1,IF(H835="B",2,IF(H835="C",3,IF(H835="D",4,0))))</f>
        <v>1</v>
      </c>
      <c r="H835" s="921" t="s">
        <v>8761</v>
      </c>
    </row>
    <row r="836" spans="1:8">
      <c r="A836" s="108" t="s">
        <v>10351</v>
      </c>
      <c r="B836" s="886" t="s">
        <v>1369</v>
      </c>
      <c r="C836" s="922" t="s">
        <v>1370</v>
      </c>
      <c r="D836" s="284" t="s">
        <v>1371</v>
      </c>
      <c r="E836" s="922" t="s">
        <v>1372</v>
      </c>
      <c r="F836" s="922" t="s">
        <v>1373</v>
      </c>
      <c r="G836" s="108">
        <f t="shared" si="13"/>
        <v>2</v>
      </c>
      <c r="H836" s="921" t="s">
        <v>8764</v>
      </c>
    </row>
    <row r="837" spans="1:8">
      <c r="A837" s="108" t="s">
        <v>10351</v>
      </c>
      <c r="B837" s="886" t="s">
        <v>1374</v>
      </c>
      <c r="C837" s="922" t="s">
        <v>1365</v>
      </c>
      <c r="D837" s="284" t="s">
        <v>1366</v>
      </c>
      <c r="E837" s="922" t="s">
        <v>1367</v>
      </c>
      <c r="F837" s="922" t="s">
        <v>1368</v>
      </c>
      <c r="G837" s="108">
        <f t="shared" si="13"/>
        <v>2</v>
      </c>
      <c r="H837" s="921" t="s">
        <v>8764</v>
      </c>
    </row>
    <row r="838" spans="1:8">
      <c r="A838" s="108" t="s">
        <v>10351</v>
      </c>
      <c r="B838" s="886" t="s">
        <v>1364</v>
      </c>
      <c r="C838" s="284" t="s">
        <v>1365</v>
      </c>
      <c r="D838" s="922" t="s">
        <v>1366</v>
      </c>
      <c r="E838" s="922" t="s">
        <v>1367</v>
      </c>
      <c r="F838" s="922" t="s">
        <v>1368</v>
      </c>
      <c r="G838" s="108">
        <f t="shared" si="13"/>
        <v>1</v>
      </c>
      <c r="H838" s="921" t="s">
        <v>8761</v>
      </c>
    </row>
    <row r="839" spans="1:8" ht="24">
      <c r="A839" s="108" t="s">
        <v>10351</v>
      </c>
      <c r="B839" s="886" t="s">
        <v>1714</v>
      </c>
      <c r="C839" s="922" t="s">
        <v>1715</v>
      </c>
      <c r="D839" s="922" t="s">
        <v>1716</v>
      </c>
      <c r="E839" s="284" t="s">
        <v>1717</v>
      </c>
      <c r="F839" s="922" t="s">
        <v>1718</v>
      </c>
      <c r="G839" s="108">
        <f t="shared" si="13"/>
        <v>3</v>
      </c>
      <c r="H839" s="921" t="s">
        <v>8766</v>
      </c>
    </row>
    <row r="840" spans="1:8" ht="36">
      <c r="A840" s="108" t="s">
        <v>10351</v>
      </c>
      <c r="B840" s="886" t="s">
        <v>10371</v>
      </c>
      <c r="C840" s="922" t="s">
        <v>1574</v>
      </c>
      <c r="D840" s="922" t="s">
        <v>1575</v>
      </c>
      <c r="E840" s="284" t="s">
        <v>1576</v>
      </c>
      <c r="F840" s="922" t="s">
        <v>1577</v>
      </c>
      <c r="G840" s="108">
        <f t="shared" si="13"/>
        <v>3</v>
      </c>
      <c r="H840" s="921" t="s">
        <v>8766</v>
      </c>
    </row>
    <row r="841" spans="1:8" ht="24">
      <c r="A841" s="108" t="s">
        <v>10351</v>
      </c>
      <c r="B841" s="886" t="s">
        <v>10372</v>
      </c>
      <c r="C841" s="922" t="s">
        <v>1453</v>
      </c>
      <c r="D841" s="284" t="s">
        <v>1454</v>
      </c>
      <c r="E841" s="922" t="s">
        <v>1455</v>
      </c>
      <c r="F841" s="922" t="s">
        <v>61</v>
      </c>
      <c r="G841" s="108">
        <f t="shared" si="13"/>
        <v>2</v>
      </c>
      <c r="H841" s="921" t="s">
        <v>8764</v>
      </c>
    </row>
    <row r="842" spans="1:8" ht="36">
      <c r="A842" s="108" t="s">
        <v>10351</v>
      </c>
      <c r="B842" s="886" t="s">
        <v>1481</v>
      </c>
      <c r="C842" s="922" t="s">
        <v>1393</v>
      </c>
      <c r="D842" s="284" t="s">
        <v>1394</v>
      </c>
      <c r="E842" s="922" t="s">
        <v>1395</v>
      </c>
      <c r="F842" s="922" t="s">
        <v>1482</v>
      </c>
      <c r="G842" s="108">
        <f t="shared" si="13"/>
        <v>2</v>
      </c>
      <c r="H842" s="921" t="s">
        <v>8764</v>
      </c>
    </row>
    <row r="843" spans="1:8" ht="36">
      <c r="A843" s="108" t="s">
        <v>10351</v>
      </c>
      <c r="B843" s="886" t="s">
        <v>1719</v>
      </c>
      <c r="C843" s="922" t="s">
        <v>1448</v>
      </c>
      <c r="D843" s="922" t="s">
        <v>1449</v>
      </c>
      <c r="E843" s="284" t="s">
        <v>1450</v>
      </c>
      <c r="F843" s="922" t="s">
        <v>1720</v>
      </c>
      <c r="G843" s="108">
        <f t="shared" si="13"/>
        <v>3</v>
      </c>
      <c r="H843" s="921" t="s">
        <v>8766</v>
      </c>
    </row>
    <row r="844" spans="1:8" ht="36">
      <c r="A844" s="108" t="s">
        <v>10351</v>
      </c>
      <c r="B844" s="886" t="s">
        <v>10373</v>
      </c>
      <c r="C844" s="922" t="s">
        <v>1489</v>
      </c>
      <c r="D844" s="284" t="s">
        <v>1492</v>
      </c>
      <c r="E844" s="922" t="s">
        <v>1490</v>
      </c>
      <c r="F844" s="922" t="s">
        <v>10374</v>
      </c>
      <c r="G844" s="108">
        <f t="shared" si="13"/>
        <v>2</v>
      </c>
      <c r="H844" s="921" t="s">
        <v>8764</v>
      </c>
    </row>
    <row r="845" spans="1:8" ht="36">
      <c r="A845" s="108" t="s">
        <v>10351</v>
      </c>
      <c r="B845" s="886" t="s">
        <v>10375</v>
      </c>
      <c r="C845" s="922" t="s">
        <v>1422</v>
      </c>
      <c r="D845" s="922" t="s">
        <v>1494</v>
      </c>
      <c r="E845" s="284" t="s">
        <v>1495</v>
      </c>
      <c r="F845" s="922" t="s">
        <v>1490</v>
      </c>
      <c r="G845" s="108">
        <f t="shared" si="13"/>
        <v>3</v>
      </c>
      <c r="H845" s="921" t="s">
        <v>8766</v>
      </c>
    </row>
    <row r="846" spans="1:8" ht="72">
      <c r="A846" s="108" t="s">
        <v>10351</v>
      </c>
      <c r="B846" s="886" t="s">
        <v>1692</v>
      </c>
      <c r="C846" s="922" t="s">
        <v>1683</v>
      </c>
      <c r="D846" s="284" t="s">
        <v>1684</v>
      </c>
      <c r="E846" s="922" t="s">
        <v>1688</v>
      </c>
      <c r="F846" s="922" t="s">
        <v>1686</v>
      </c>
      <c r="G846" s="108">
        <f t="shared" si="13"/>
        <v>2</v>
      </c>
      <c r="H846" s="921" t="s">
        <v>8764</v>
      </c>
    </row>
    <row r="847" spans="1:8" ht="84">
      <c r="A847" s="108" t="s">
        <v>10351</v>
      </c>
      <c r="B847" s="886" t="s">
        <v>1690</v>
      </c>
      <c r="C847" s="922" t="s">
        <v>1683</v>
      </c>
      <c r="D847" s="922" t="s">
        <v>1684</v>
      </c>
      <c r="E847" s="922" t="s">
        <v>1688</v>
      </c>
      <c r="F847" s="284" t="s">
        <v>1691</v>
      </c>
      <c r="G847" s="108">
        <f t="shared" si="13"/>
        <v>3</v>
      </c>
      <c r="H847" s="921" t="s">
        <v>8766</v>
      </c>
    </row>
    <row r="848" spans="1:8" ht="96">
      <c r="A848" s="108" t="s">
        <v>10351</v>
      </c>
      <c r="B848" s="886" t="s">
        <v>1682</v>
      </c>
      <c r="C848" s="922" t="s">
        <v>1683</v>
      </c>
      <c r="D848" s="922" t="s">
        <v>1684</v>
      </c>
      <c r="E848" s="922" t="s">
        <v>1685</v>
      </c>
      <c r="F848" s="284" t="s">
        <v>1686</v>
      </c>
      <c r="G848" s="108">
        <f t="shared" si="13"/>
        <v>4</v>
      </c>
      <c r="H848" s="921" t="s">
        <v>8763</v>
      </c>
    </row>
    <row r="849" spans="1:8" ht="96">
      <c r="A849" s="108" t="s">
        <v>10351</v>
      </c>
      <c r="B849" s="886" t="s">
        <v>1687</v>
      </c>
      <c r="C849" s="922" t="s">
        <v>1683</v>
      </c>
      <c r="D849" s="922" t="s">
        <v>1684</v>
      </c>
      <c r="E849" s="922" t="s">
        <v>1688</v>
      </c>
      <c r="F849" s="922" t="s">
        <v>1689</v>
      </c>
      <c r="G849" s="108">
        <f t="shared" si="13"/>
        <v>4</v>
      </c>
      <c r="H849" s="921" t="s">
        <v>8763</v>
      </c>
    </row>
    <row r="850" spans="1:8" ht="24">
      <c r="A850" s="108" t="s">
        <v>10351</v>
      </c>
      <c r="B850" s="886" t="s">
        <v>1386</v>
      </c>
      <c r="C850" s="284" t="s">
        <v>8</v>
      </c>
      <c r="D850" s="922" t="s">
        <v>1289</v>
      </c>
      <c r="E850" s="922" t="s">
        <v>1320</v>
      </c>
      <c r="F850" s="922" t="s">
        <v>25</v>
      </c>
      <c r="G850" s="108">
        <f t="shared" si="13"/>
        <v>1</v>
      </c>
      <c r="H850" s="921" t="s">
        <v>8761</v>
      </c>
    </row>
    <row r="851" spans="1:8" ht="24">
      <c r="A851" s="108" t="s">
        <v>10351</v>
      </c>
      <c r="B851" s="886" t="s">
        <v>10376</v>
      </c>
      <c r="C851" s="922" t="s">
        <v>10377</v>
      </c>
      <c r="D851" s="922" t="s">
        <v>10378</v>
      </c>
      <c r="E851" s="922" t="s">
        <v>10379</v>
      </c>
      <c r="F851" s="922" t="s">
        <v>61</v>
      </c>
      <c r="G851" s="108">
        <f t="shared" si="13"/>
        <v>2</v>
      </c>
      <c r="H851" s="921" t="s">
        <v>8764</v>
      </c>
    </row>
    <row r="852" spans="1:8" ht="24">
      <c r="A852" s="108" t="s">
        <v>10351</v>
      </c>
      <c r="B852" s="886" t="s">
        <v>10380</v>
      </c>
      <c r="C852" s="922" t="s">
        <v>10381</v>
      </c>
      <c r="D852" s="284" t="s">
        <v>10382</v>
      </c>
      <c r="E852" s="922" t="s">
        <v>10383</v>
      </c>
      <c r="F852" s="922" t="s">
        <v>10384</v>
      </c>
      <c r="G852" s="108">
        <f t="shared" si="13"/>
        <v>2</v>
      </c>
      <c r="H852" s="921" t="s">
        <v>8764</v>
      </c>
    </row>
    <row r="853" spans="1:8">
      <c r="A853" s="108" t="s">
        <v>10351</v>
      </c>
      <c r="B853" s="886" t="s">
        <v>1707</v>
      </c>
      <c r="C853" s="922" t="s">
        <v>179</v>
      </c>
      <c r="D853" s="922" t="s">
        <v>557</v>
      </c>
      <c r="E853" s="284" t="s">
        <v>73</v>
      </c>
      <c r="F853" s="922" t="s">
        <v>180</v>
      </c>
      <c r="G853" s="108">
        <f t="shared" si="13"/>
        <v>3</v>
      </c>
      <c r="H853" s="921" t="s">
        <v>8766</v>
      </c>
    </row>
    <row r="854" spans="1:8" ht="60">
      <c r="A854" s="108" t="s">
        <v>10351</v>
      </c>
      <c r="B854" s="886" t="s">
        <v>1567</v>
      </c>
      <c r="C854" s="922" t="s">
        <v>1568</v>
      </c>
      <c r="D854" s="922" t="s">
        <v>1569</v>
      </c>
      <c r="E854" s="284" t="s">
        <v>1570</v>
      </c>
      <c r="F854" s="922" t="s">
        <v>1571</v>
      </c>
      <c r="G854" s="108">
        <f t="shared" si="13"/>
        <v>3</v>
      </c>
      <c r="H854" s="921" t="s">
        <v>8766</v>
      </c>
    </row>
    <row r="855" spans="1:8" ht="48">
      <c r="A855" s="108" t="s">
        <v>10351</v>
      </c>
      <c r="B855" s="886" t="s">
        <v>1520</v>
      </c>
      <c r="C855" s="922" t="s">
        <v>1521</v>
      </c>
      <c r="D855" s="922" t="s">
        <v>1522</v>
      </c>
      <c r="E855" s="284" t="s">
        <v>1523</v>
      </c>
      <c r="F855" s="922" t="s">
        <v>1524</v>
      </c>
      <c r="G855" s="108">
        <f t="shared" si="13"/>
        <v>3</v>
      </c>
      <c r="H855" s="921" t="s">
        <v>8766</v>
      </c>
    </row>
    <row r="856" spans="1:8" ht="48">
      <c r="A856" s="108" t="s">
        <v>10351</v>
      </c>
      <c r="B856" s="886" t="s">
        <v>1606</v>
      </c>
      <c r="C856" s="922" t="s">
        <v>1607</v>
      </c>
      <c r="D856" s="922" t="s">
        <v>1608</v>
      </c>
      <c r="E856" s="922" t="s">
        <v>1609</v>
      </c>
      <c r="F856" s="284" t="s">
        <v>1610</v>
      </c>
      <c r="G856" s="108">
        <f t="shared" si="13"/>
        <v>4</v>
      </c>
      <c r="H856" s="921" t="s">
        <v>8763</v>
      </c>
    </row>
    <row r="857" spans="1:8" ht="24">
      <c r="A857" s="108" t="s">
        <v>10351</v>
      </c>
      <c r="B857" s="886" t="s">
        <v>1476</v>
      </c>
      <c r="C857" s="922" t="s">
        <v>1477</v>
      </c>
      <c r="D857" s="284" t="s">
        <v>1478</v>
      </c>
      <c r="E857" s="922" t="s">
        <v>1479</v>
      </c>
      <c r="F857" s="922" t="s">
        <v>1480</v>
      </c>
      <c r="G857" s="108">
        <f t="shared" si="13"/>
        <v>2</v>
      </c>
      <c r="H857" s="921" t="s">
        <v>8764</v>
      </c>
    </row>
    <row r="858" spans="1:8" ht="24">
      <c r="A858" s="108" t="s">
        <v>10351</v>
      </c>
      <c r="B858" s="886" t="s">
        <v>1461</v>
      </c>
      <c r="C858" s="922" t="s">
        <v>1462</v>
      </c>
      <c r="D858" s="922" t="s">
        <v>44</v>
      </c>
      <c r="E858" s="284" t="s">
        <v>1463</v>
      </c>
      <c r="F858" s="922" t="s">
        <v>1464</v>
      </c>
      <c r="G858" s="108">
        <f t="shared" si="13"/>
        <v>3</v>
      </c>
      <c r="H858" s="921" t="s">
        <v>8766</v>
      </c>
    </row>
    <row r="859" spans="1:8">
      <c r="A859" s="108" t="s">
        <v>10351</v>
      </c>
      <c r="B859" s="886" t="s">
        <v>10385</v>
      </c>
      <c r="C859" s="922" t="s">
        <v>177</v>
      </c>
      <c r="D859" s="284" t="s">
        <v>73</v>
      </c>
      <c r="E859" s="922" t="s">
        <v>557</v>
      </c>
      <c r="F859" s="922" t="s">
        <v>179</v>
      </c>
      <c r="G859" s="108">
        <f t="shared" si="13"/>
        <v>2</v>
      </c>
      <c r="H859" s="921" t="s">
        <v>8764</v>
      </c>
    </row>
    <row r="860" spans="1:8" ht="24">
      <c r="A860" s="108" t="s">
        <v>10351</v>
      </c>
      <c r="B860" s="886" t="s">
        <v>1473</v>
      </c>
      <c r="C860" s="284">
        <v>6</v>
      </c>
      <c r="D860" s="922">
        <v>12</v>
      </c>
      <c r="E860" s="922">
        <v>18</v>
      </c>
      <c r="F860" s="922">
        <v>24</v>
      </c>
      <c r="G860" s="108">
        <f t="shared" si="13"/>
        <v>1</v>
      </c>
      <c r="H860" s="921" t="s">
        <v>8761</v>
      </c>
    </row>
    <row r="861" spans="1:8" ht="48">
      <c r="A861" s="108" t="s">
        <v>10351</v>
      </c>
      <c r="B861" s="886" t="s">
        <v>10386</v>
      </c>
      <c r="C861" s="922" t="s">
        <v>10387</v>
      </c>
      <c r="D861" s="922" t="s">
        <v>10388</v>
      </c>
      <c r="E861" s="284" t="s">
        <v>10389</v>
      </c>
      <c r="F861" s="922" t="s">
        <v>10390</v>
      </c>
      <c r="G861" s="108">
        <f t="shared" si="13"/>
        <v>3</v>
      </c>
      <c r="H861" s="921" t="s">
        <v>8766</v>
      </c>
    </row>
    <row r="862" spans="1:8" ht="48">
      <c r="A862" s="108" t="s">
        <v>10351</v>
      </c>
      <c r="B862" s="886" t="s">
        <v>10391</v>
      </c>
      <c r="C862" s="922" t="s">
        <v>10387</v>
      </c>
      <c r="D862" s="284" t="s">
        <v>1422</v>
      </c>
      <c r="E862" s="922" t="s">
        <v>10392</v>
      </c>
      <c r="F862" s="922" t="s">
        <v>10393</v>
      </c>
      <c r="G862" s="108">
        <f t="shared" si="13"/>
        <v>2</v>
      </c>
      <c r="H862" s="921" t="s">
        <v>8764</v>
      </c>
    </row>
    <row r="863" spans="1:8" ht="48">
      <c r="A863" s="108" t="s">
        <v>10351</v>
      </c>
      <c r="B863" s="886" t="s">
        <v>10394</v>
      </c>
      <c r="C863" s="922" t="s">
        <v>10395</v>
      </c>
      <c r="D863" s="922" t="s">
        <v>1422</v>
      </c>
      <c r="E863" s="284" t="s">
        <v>10387</v>
      </c>
      <c r="F863" s="922" t="s">
        <v>10396</v>
      </c>
      <c r="G863" s="108">
        <f t="shared" si="13"/>
        <v>3</v>
      </c>
      <c r="H863" s="921" t="s">
        <v>8766</v>
      </c>
    </row>
    <row r="864" spans="1:8" ht="48">
      <c r="A864" s="108" t="s">
        <v>10351</v>
      </c>
      <c r="B864" s="886" t="s">
        <v>1698</v>
      </c>
      <c r="C864" s="922" t="s">
        <v>1699</v>
      </c>
      <c r="D864" s="284" t="s">
        <v>1700</v>
      </c>
      <c r="E864" s="922" t="s">
        <v>1701</v>
      </c>
      <c r="F864" s="922" t="s">
        <v>1702</v>
      </c>
      <c r="G864" s="108">
        <f t="shared" si="13"/>
        <v>2</v>
      </c>
      <c r="H864" s="921" t="s">
        <v>8764</v>
      </c>
    </row>
    <row r="865" spans="1:8" ht="36">
      <c r="A865" s="108" t="s">
        <v>10351</v>
      </c>
      <c r="B865" s="886" t="s">
        <v>1710</v>
      </c>
      <c r="C865" s="284" t="s">
        <v>1648</v>
      </c>
      <c r="D865" s="922" t="s">
        <v>1711</v>
      </c>
      <c r="E865" s="922" t="s">
        <v>1712</v>
      </c>
      <c r="F865" s="922" t="s">
        <v>1713</v>
      </c>
      <c r="G865" s="108">
        <f t="shared" si="13"/>
        <v>1</v>
      </c>
      <c r="H865" s="921" t="s">
        <v>8761</v>
      </c>
    </row>
    <row r="866" spans="1:8" ht="36">
      <c r="A866" s="108" t="s">
        <v>10351</v>
      </c>
      <c r="B866" s="886" t="s">
        <v>1387</v>
      </c>
      <c r="C866" s="922" t="s">
        <v>1388</v>
      </c>
      <c r="D866" s="284" t="s">
        <v>1389</v>
      </c>
      <c r="E866" s="922" t="s">
        <v>1390</v>
      </c>
      <c r="F866" s="922" t="s">
        <v>1391</v>
      </c>
      <c r="G866" s="108">
        <f t="shared" si="13"/>
        <v>2</v>
      </c>
      <c r="H866" s="921" t="s">
        <v>8764</v>
      </c>
    </row>
    <row r="867" spans="1:8" ht="24">
      <c r="A867" s="108" t="s">
        <v>10351</v>
      </c>
      <c r="B867" s="886" t="s">
        <v>1456</v>
      </c>
      <c r="C867" s="284" t="s">
        <v>1457</v>
      </c>
      <c r="D867" s="922" t="s">
        <v>1458</v>
      </c>
      <c r="E867" s="922" t="s">
        <v>1459</v>
      </c>
      <c r="F867" s="922" t="s">
        <v>1460</v>
      </c>
      <c r="G867" s="108">
        <f t="shared" si="13"/>
        <v>1</v>
      </c>
      <c r="H867" s="921" t="s">
        <v>8761</v>
      </c>
    </row>
    <row r="868" spans="1:8" ht="24">
      <c r="A868" s="108" t="s">
        <v>10351</v>
      </c>
      <c r="B868" s="886" t="s">
        <v>10397</v>
      </c>
      <c r="C868" s="922" t="s">
        <v>1540</v>
      </c>
      <c r="D868" s="922" t="s">
        <v>1541</v>
      </c>
      <c r="E868" s="284" t="s">
        <v>1542</v>
      </c>
      <c r="F868" s="922" t="s">
        <v>10398</v>
      </c>
      <c r="G868" s="108">
        <f t="shared" si="13"/>
        <v>3</v>
      </c>
      <c r="H868" s="921" t="s">
        <v>8766</v>
      </c>
    </row>
    <row r="869" spans="1:8" ht="36">
      <c r="A869" s="108" t="s">
        <v>10351</v>
      </c>
      <c r="B869" s="886" t="s">
        <v>1469</v>
      </c>
      <c r="C869" s="922" t="s">
        <v>1470</v>
      </c>
      <c r="D869" s="284" t="s">
        <v>1422</v>
      </c>
      <c r="E869" s="922" t="s">
        <v>1471</v>
      </c>
      <c r="F869" s="922" t="s">
        <v>1472</v>
      </c>
      <c r="G869" s="108">
        <f t="shared" si="13"/>
        <v>2</v>
      </c>
      <c r="H869" s="921" t="s">
        <v>8764</v>
      </c>
    </row>
    <row r="870" spans="1:8" ht="24">
      <c r="A870" s="108" t="s">
        <v>10351</v>
      </c>
      <c r="B870" s="924" t="s">
        <v>8697</v>
      </c>
      <c r="C870" s="924" t="s">
        <v>1287</v>
      </c>
      <c r="D870" s="924" t="s">
        <v>1288</v>
      </c>
      <c r="E870" s="925" t="s">
        <v>8</v>
      </c>
      <c r="F870" s="924" t="s">
        <v>1289</v>
      </c>
      <c r="G870" s="108">
        <f t="shared" si="13"/>
        <v>3</v>
      </c>
      <c r="H870" s="921" t="s">
        <v>8766</v>
      </c>
    </row>
    <row r="871" spans="1:8" ht="24">
      <c r="A871" s="108" t="s">
        <v>10351</v>
      </c>
      <c r="B871" s="924" t="s">
        <v>10399</v>
      </c>
      <c r="C871" s="924" t="s">
        <v>10400</v>
      </c>
      <c r="D871" s="924" t="s">
        <v>10353</v>
      </c>
      <c r="E871" s="924" t="s">
        <v>10401</v>
      </c>
      <c r="F871" s="924" t="s">
        <v>10402</v>
      </c>
      <c r="G871" s="108">
        <f t="shared" si="13"/>
        <v>2</v>
      </c>
      <c r="H871" s="921" t="s">
        <v>8764</v>
      </c>
    </row>
    <row r="872" spans="1:8" ht="36">
      <c r="A872" s="108" t="s">
        <v>10351</v>
      </c>
      <c r="B872" s="924" t="s">
        <v>7545</v>
      </c>
      <c r="C872" s="924" t="s">
        <v>1795</v>
      </c>
      <c r="D872" s="924" t="s">
        <v>7546</v>
      </c>
      <c r="E872" s="924" t="s">
        <v>7547</v>
      </c>
      <c r="F872" s="924" t="s">
        <v>7548</v>
      </c>
      <c r="G872" s="108">
        <f t="shared" si="13"/>
        <v>1</v>
      </c>
      <c r="H872" s="921" t="s">
        <v>8761</v>
      </c>
    </row>
    <row r="873" spans="1:8" ht="24">
      <c r="A873" s="108" t="s">
        <v>10351</v>
      </c>
      <c r="B873" s="924" t="s">
        <v>1554</v>
      </c>
      <c r="C873" s="924" t="s">
        <v>174</v>
      </c>
      <c r="D873" s="924" t="s">
        <v>1555</v>
      </c>
      <c r="E873" s="924" t="s">
        <v>179</v>
      </c>
      <c r="F873" s="925" t="s">
        <v>73</v>
      </c>
      <c r="G873" s="108">
        <f t="shared" si="13"/>
        <v>4</v>
      </c>
      <c r="H873" s="921" t="s">
        <v>8763</v>
      </c>
    </row>
    <row r="874" spans="1:8" ht="36">
      <c r="A874" s="108" t="s">
        <v>10351</v>
      </c>
      <c r="B874" s="924" t="s">
        <v>1636</v>
      </c>
      <c r="C874" s="925" t="s">
        <v>1637</v>
      </c>
      <c r="D874" s="924" t="s">
        <v>1638</v>
      </c>
      <c r="E874" s="924" t="s">
        <v>1639</v>
      </c>
      <c r="F874" s="924" t="s">
        <v>1640</v>
      </c>
      <c r="G874" s="108">
        <f t="shared" si="13"/>
        <v>1</v>
      </c>
      <c r="H874" s="921" t="s">
        <v>8761</v>
      </c>
    </row>
    <row r="875" spans="1:8" ht="36">
      <c r="A875" s="108" t="s">
        <v>10351</v>
      </c>
      <c r="B875" s="924" t="s">
        <v>1641</v>
      </c>
      <c r="C875" s="924" t="s">
        <v>1639</v>
      </c>
      <c r="D875" s="925" t="s">
        <v>1642</v>
      </c>
      <c r="E875" s="924" t="s">
        <v>1643</v>
      </c>
      <c r="F875" s="924" t="s">
        <v>1644</v>
      </c>
      <c r="G875" s="108">
        <f t="shared" si="13"/>
        <v>2</v>
      </c>
      <c r="H875" s="921" t="s">
        <v>8764</v>
      </c>
    </row>
    <row r="876" spans="1:8" ht="36">
      <c r="A876" s="108" t="s">
        <v>10351</v>
      </c>
      <c r="B876" s="924" t="s">
        <v>1319</v>
      </c>
      <c r="C876" s="924" t="s">
        <v>1320</v>
      </c>
      <c r="D876" s="925" t="s">
        <v>25</v>
      </c>
      <c r="E876" s="924" t="s">
        <v>1289</v>
      </c>
      <c r="F876" s="924" t="s">
        <v>1321</v>
      </c>
      <c r="G876" s="108">
        <f t="shared" si="13"/>
        <v>2</v>
      </c>
      <c r="H876" s="921" t="s">
        <v>8764</v>
      </c>
    </row>
    <row r="877" spans="1:8" ht="36">
      <c r="A877" s="108" t="s">
        <v>10351</v>
      </c>
      <c r="B877" s="926" t="s">
        <v>10403</v>
      </c>
      <c r="C877" s="924" t="s">
        <v>8</v>
      </c>
      <c r="D877" s="924" t="s">
        <v>1289</v>
      </c>
      <c r="E877" s="924" t="s">
        <v>1288</v>
      </c>
      <c r="F877" s="924" t="s">
        <v>7403</v>
      </c>
      <c r="G877" s="108">
        <f t="shared" si="13"/>
        <v>3</v>
      </c>
      <c r="H877" s="921" t="s">
        <v>8766</v>
      </c>
    </row>
    <row r="878" spans="1:8" ht="24">
      <c r="A878" s="108" t="s">
        <v>10351</v>
      </c>
      <c r="B878" s="924" t="s">
        <v>10404</v>
      </c>
      <c r="C878" s="925" t="s">
        <v>1704</v>
      </c>
      <c r="D878" s="924" t="s">
        <v>1498</v>
      </c>
      <c r="E878" s="924" t="s">
        <v>1705</v>
      </c>
      <c r="F878" s="924" t="s">
        <v>1706</v>
      </c>
      <c r="G878" s="108">
        <f t="shared" si="13"/>
        <v>1</v>
      </c>
      <c r="H878" s="921" t="s">
        <v>8761</v>
      </c>
    </row>
    <row r="879" spans="1:8" ht="24">
      <c r="A879" s="108" t="s">
        <v>10351</v>
      </c>
      <c r="B879" s="924" t="s">
        <v>1572</v>
      </c>
      <c r="C879" s="924" t="s">
        <v>74</v>
      </c>
      <c r="D879" s="924" t="s">
        <v>179</v>
      </c>
      <c r="E879" s="925" t="s">
        <v>73</v>
      </c>
      <c r="F879" s="924" t="s">
        <v>137</v>
      </c>
      <c r="G879" s="108">
        <f t="shared" si="13"/>
        <v>3</v>
      </c>
      <c r="H879" s="921" t="s">
        <v>8766</v>
      </c>
    </row>
    <row r="880" spans="1:8" ht="24">
      <c r="A880" s="108" t="s">
        <v>10351</v>
      </c>
      <c r="B880" s="924" t="s">
        <v>1616</v>
      </c>
      <c r="C880" s="924" t="s">
        <v>1617</v>
      </c>
      <c r="D880" s="925" t="s">
        <v>1618</v>
      </c>
      <c r="E880" s="924" t="s">
        <v>1619</v>
      </c>
      <c r="F880" s="924" t="s">
        <v>1620</v>
      </c>
      <c r="G880" s="108">
        <f t="shared" si="13"/>
        <v>2</v>
      </c>
      <c r="H880" s="921" t="s">
        <v>8764</v>
      </c>
    </row>
    <row r="881" spans="1:8" ht="24">
      <c r="A881" s="108" t="s">
        <v>10351</v>
      </c>
      <c r="B881" s="924" t="s">
        <v>10405</v>
      </c>
      <c r="C881" s="925" t="s">
        <v>1497</v>
      </c>
      <c r="D881" s="924" t="s">
        <v>1498</v>
      </c>
      <c r="E881" s="924" t="s">
        <v>1499</v>
      </c>
      <c r="F881" s="924" t="s">
        <v>1500</v>
      </c>
      <c r="G881" s="108">
        <f t="shared" si="13"/>
        <v>1</v>
      </c>
      <c r="H881" s="921" t="s">
        <v>8761</v>
      </c>
    </row>
    <row r="882" spans="1:8" ht="36">
      <c r="A882" s="108" t="s">
        <v>10351</v>
      </c>
      <c r="B882" s="924" t="s">
        <v>10406</v>
      </c>
      <c r="C882" s="924" t="s">
        <v>10407</v>
      </c>
      <c r="D882" s="925" t="s">
        <v>10408</v>
      </c>
      <c r="E882" s="924" t="s">
        <v>10409</v>
      </c>
      <c r="F882" s="924" t="s">
        <v>10410</v>
      </c>
      <c r="G882" s="108">
        <f t="shared" si="13"/>
        <v>2</v>
      </c>
      <c r="H882" s="921" t="s">
        <v>8764</v>
      </c>
    </row>
    <row r="883" spans="1:8" ht="36">
      <c r="A883" s="108" t="s">
        <v>10351</v>
      </c>
      <c r="B883" s="924" t="s">
        <v>1598</v>
      </c>
      <c r="C883" s="924" t="s">
        <v>1288</v>
      </c>
      <c r="D883" s="924" t="s">
        <v>1599</v>
      </c>
      <c r="E883" s="925" t="s">
        <v>8</v>
      </c>
      <c r="F883" s="924" t="s">
        <v>1600</v>
      </c>
      <c r="G883" s="108">
        <f t="shared" si="13"/>
        <v>3</v>
      </c>
      <c r="H883" s="921" t="s">
        <v>8766</v>
      </c>
    </row>
    <row r="884" spans="1:8" ht="24">
      <c r="A884" s="108" t="s">
        <v>10351</v>
      </c>
      <c r="B884" s="924" t="s">
        <v>7549</v>
      </c>
      <c r="C884" s="924" t="s">
        <v>1628</v>
      </c>
      <c r="D884" s="925" t="s">
        <v>1629</v>
      </c>
      <c r="E884" s="924" t="s">
        <v>1630</v>
      </c>
      <c r="F884" s="924" t="s">
        <v>1631</v>
      </c>
      <c r="G884" s="108">
        <f t="shared" si="13"/>
        <v>2</v>
      </c>
      <c r="H884" s="921" t="s">
        <v>8764</v>
      </c>
    </row>
    <row r="885" spans="1:8" ht="24">
      <c r="A885" s="108" t="s">
        <v>10351</v>
      </c>
      <c r="B885" s="924" t="s">
        <v>1621</v>
      </c>
      <c r="C885" s="925" t="s">
        <v>1622</v>
      </c>
      <c r="D885" s="924" t="s">
        <v>1623</v>
      </c>
      <c r="E885" s="924" t="s">
        <v>1624</v>
      </c>
      <c r="F885" s="924" t="s">
        <v>1625</v>
      </c>
      <c r="G885" s="108">
        <f t="shared" si="13"/>
        <v>1</v>
      </c>
      <c r="H885" s="921" t="s">
        <v>8761</v>
      </c>
    </row>
    <row r="886" spans="1:8" ht="24">
      <c r="A886" s="108" t="s">
        <v>10351</v>
      </c>
      <c r="B886" s="924" t="s">
        <v>10411</v>
      </c>
      <c r="C886" s="924">
        <v>5</v>
      </c>
      <c r="D886" s="924">
        <v>7</v>
      </c>
      <c r="E886" s="925">
        <v>9</v>
      </c>
      <c r="F886" s="924">
        <v>11</v>
      </c>
      <c r="G886" s="108">
        <f t="shared" si="13"/>
        <v>3</v>
      </c>
      <c r="H886" s="921" t="s">
        <v>8766</v>
      </c>
    </row>
    <row r="887" spans="1:8" ht="24">
      <c r="A887" s="108" t="s">
        <v>10351</v>
      </c>
      <c r="B887" s="924" t="s">
        <v>1351</v>
      </c>
      <c r="C887" s="924">
        <v>5</v>
      </c>
      <c r="D887" s="924">
        <v>7</v>
      </c>
      <c r="E887" s="925">
        <v>9</v>
      </c>
      <c r="F887" s="924">
        <v>11</v>
      </c>
      <c r="G887" s="108">
        <f t="shared" si="13"/>
        <v>3</v>
      </c>
      <c r="H887" s="921" t="s">
        <v>8766</v>
      </c>
    </row>
    <row r="888" spans="1:8" ht="36">
      <c r="A888" s="108" t="s">
        <v>10351</v>
      </c>
      <c r="B888" s="924" t="s">
        <v>1353</v>
      </c>
      <c r="C888" s="925">
        <v>4</v>
      </c>
      <c r="D888" s="924">
        <v>6</v>
      </c>
      <c r="E888" s="924">
        <v>8</v>
      </c>
      <c r="F888" s="924">
        <v>10</v>
      </c>
      <c r="G888" s="108">
        <f t="shared" si="13"/>
        <v>1</v>
      </c>
      <c r="H888" s="921" t="s">
        <v>8761</v>
      </c>
    </row>
    <row r="889" spans="1:8" ht="24">
      <c r="A889" s="108" t="s">
        <v>10351</v>
      </c>
      <c r="B889" s="924" t="s">
        <v>1352</v>
      </c>
      <c r="C889" s="925">
        <v>3</v>
      </c>
      <c r="D889" s="924">
        <v>5</v>
      </c>
      <c r="E889" s="924">
        <v>7</v>
      </c>
      <c r="F889" s="924">
        <v>9</v>
      </c>
      <c r="G889" s="108">
        <f t="shared" si="13"/>
        <v>1</v>
      </c>
      <c r="H889" s="921" t="s">
        <v>8761</v>
      </c>
    </row>
    <row r="890" spans="1:8" ht="36">
      <c r="A890" s="108" t="s">
        <v>10351</v>
      </c>
      <c r="B890" s="924" t="s">
        <v>1611</v>
      </c>
      <c r="C890" s="924" t="s">
        <v>1612</v>
      </c>
      <c r="D890" s="924" t="s">
        <v>1613</v>
      </c>
      <c r="E890" s="924" t="s">
        <v>1614</v>
      </c>
      <c r="F890" s="925" t="s">
        <v>10412</v>
      </c>
      <c r="G890" s="108">
        <f t="shared" si="13"/>
        <v>4</v>
      </c>
      <c r="H890" s="921" t="s">
        <v>8763</v>
      </c>
    </row>
    <row r="891" spans="1:8" ht="36">
      <c r="A891" s="108" t="s">
        <v>10351</v>
      </c>
      <c r="B891" s="924" t="s">
        <v>1601</v>
      </c>
      <c r="C891" s="924" t="s">
        <v>10413</v>
      </c>
      <c r="D891" s="924" t="s">
        <v>1603</v>
      </c>
      <c r="E891" s="924" t="s">
        <v>10414</v>
      </c>
      <c r="F891" s="925" t="s">
        <v>1605</v>
      </c>
      <c r="G891" s="108">
        <f t="shared" si="13"/>
        <v>4</v>
      </c>
      <c r="H891" s="921" t="s">
        <v>8763</v>
      </c>
    </row>
    <row r="892" spans="1:8" ht="24">
      <c r="A892" s="108" t="s">
        <v>10351</v>
      </c>
      <c r="B892" s="924" t="s">
        <v>1354</v>
      </c>
      <c r="C892" s="924" t="s">
        <v>1355</v>
      </c>
      <c r="D892" s="924" t="s">
        <v>1356</v>
      </c>
      <c r="E892" s="924" t="s">
        <v>1357</v>
      </c>
      <c r="F892" s="925" t="s">
        <v>1358</v>
      </c>
      <c r="G892" s="108">
        <f t="shared" si="13"/>
        <v>4</v>
      </c>
      <c r="H892" s="921" t="s">
        <v>8763</v>
      </c>
    </row>
    <row r="893" spans="1:8" ht="72.75">
      <c r="A893" s="108" t="s">
        <v>10351</v>
      </c>
      <c r="B893" s="929" t="s">
        <v>1488</v>
      </c>
      <c r="C893" s="925" t="s">
        <v>570</v>
      </c>
      <c r="D893" s="924" t="s">
        <v>451</v>
      </c>
      <c r="E893" s="924" t="s">
        <v>1489</v>
      </c>
      <c r="F893" s="924" t="s">
        <v>1490</v>
      </c>
      <c r="G893" s="108">
        <f t="shared" si="13"/>
        <v>1</v>
      </c>
      <c r="H893" s="921" t="s">
        <v>8761</v>
      </c>
    </row>
    <row r="894" spans="1:8" ht="24">
      <c r="A894" s="108" t="s">
        <v>10351</v>
      </c>
      <c r="B894" s="924" t="s">
        <v>1336</v>
      </c>
      <c r="C894" s="924" t="s">
        <v>1337</v>
      </c>
      <c r="D894" s="925" t="s">
        <v>1338</v>
      </c>
      <c r="E894" s="924" t="s">
        <v>1339</v>
      </c>
      <c r="F894" s="924" t="s">
        <v>1340</v>
      </c>
      <c r="G894" s="108">
        <f t="shared" si="13"/>
        <v>2</v>
      </c>
      <c r="H894" s="921" t="s">
        <v>8764</v>
      </c>
    </row>
    <row r="895" spans="1:8" ht="84">
      <c r="A895" s="108" t="s">
        <v>10351</v>
      </c>
      <c r="B895" s="924" t="s">
        <v>10415</v>
      </c>
      <c r="C895" s="927" t="s">
        <v>1511</v>
      </c>
      <c r="D895" s="927" t="s">
        <v>1512</v>
      </c>
      <c r="E895" s="927" t="s">
        <v>1513</v>
      </c>
      <c r="F895" s="928" t="s">
        <v>1514</v>
      </c>
      <c r="G895" s="108">
        <f t="shared" si="13"/>
        <v>4</v>
      </c>
      <c r="H895" s="921" t="s">
        <v>8763</v>
      </c>
    </row>
    <row r="896" spans="1:8" ht="48">
      <c r="A896" s="108" t="s">
        <v>10351</v>
      </c>
      <c r="B896" s="924" t="s">
        <v>1668</v>
      </c>
      <c r="C896" s="924" t="s">
        <v>1669</v>
      </c>
      <c r="D896" s="925" t="s">
        <v>1670</v>
      </c>
      <c r="E896" s="924" t="s">
        <v>1671</v>
      </c>
      <c r="F896" s="924" t="s">
        <v>1672</v>
      </c>
      <c r="G896" s="108">
        <f t="shared" si="13"/>
        <v>2</v>
      </c>
      <c r="H896" s="921" t="s">
        <v>8764</v>
      </c>
    </row>
    <row r="897" spans="1:8" ht="72.75">
      <c r="A897" s="108" t="s">
        <v>10351</v>
      </c>
      <c r="B897" s="929" t="s">
        <v>7544</v>
      </c>
      <c r="C897" s="927">
        <v>0.33</v>
      </c>
      <c r="D897" s="927">
        <v>0.5</v>
      </c>
      <c r="E897" s="928">
        <v>0.66</v>
      </c>
      <c r="F897" s="927">
        <v>1</v>
      </c>
      <c r="G897" s="108">
        <f t="shared" si="13"/>
        <v>3</v>
      </c>
      <c r="H897" s="921" t="s">
        <v>8766</v>
      </c>
    </row>
    <row r="898" spans="1:8" ht="36.75">
      <c r="A898" s="108" t="s">
        <v>10351</v>
      </c>
      <c r="B898" s="929" t="s">
        <v>1626</v>
      </c>
      <c r="C898" s="924">
        <v>3</v>
      </c>
      <c r="D898" s="924">
        <v>4</v>
      </c>
      <c r="E898" s="925">
        <v>5</v>
      </c>
      <c r="F898" s="924">
        <v>6</v>
      </c>
      <c r="G898" s="108">
        <f t="shared" si="13"/>
        <v>3</v>
      </c>
      <c r="H898" s="921" t="s">
        <v>8766</v>
      </c>
    </row>
    <row r="899" spans="1:8" ht="36.75">
      <c r="A899" s="108" t="s">
        <v>10351</v>
      </c>
      <c r="B899" s="929" t="s">
        <v>1804</v>
      </c>
      <c r="C899" s="924" t="s">
        <v>203</v>
      </c>
      <c r="D899" s="924" t="s">
        <v>9504</v>
      </c>
      <c r="E899" s="925" t="s">
        <v>6247</v>
      </c>
      <c r="F899" s="924" t="s">
        <v>10416</v>
      </c>
      <c r="G899" s="108">
        <f t="shared" ref="G899:G962" si="14">IF(H899="A",1,IF(H899="B",2,IF(H899="C",3,IF(H899="D",4,0))))</f>
        <v>3</v>
      </c>
      <c r="H899" s="921" t="s">
        <v>8766</v>
      </c>
    </row>
    <row r="900" spans="1:8" ht="36">
      <c r="A900" s="108" t="s">
        <v>10351</v>
      </c>
      <c r="B900" s="924" t="s">
        <v>1559</v>
      </c>
      <c r="C900" s="924" t="s">
        <v>1560</v>
      </c>
      <c r="D900" s="924" t="s">
        <v>1561</v>
      </c>
      <c r="E900" s="924" t="s">
        <v>1562</v>
      </c>
      <c r="F900" s="925" t="s">
        <v>1563</v>
      </c>
      <c r="G900" s="108">
        <f t="shared" si="14"/>
        <v>4</v>
      </c>
      <c r="H900" s="921" t="s">
        <v>8763</v>
      </c>
    </row>
    <row r="901" spans="1:8" ht="24">
      <c r="A901" s="108" t="s">
        <v>10351</v>
      </c>
      <c r="B901" s="924" t="s">
        <v>1411</v>
      </c>
      <c r="C901" s="924" t="s">
        <v>1412</v>
      </c>
      <c r="D901" s="924" t="s">
        <v>1413</v>
      </c>
      <c r="E901" s="925" t="s">
        <v>1414</v>
      </c>
      <c r="F901" s="924" t="s">
        <v>1415</v>
      </c>
      <c r="G901" s="108">
        <f t="shared" si="14"/>
        <v>3</v>
      </c>
      <c r="H901" s="921" t="s">
        <v>8766</v>
      </c>
    </row>
    <row r="902" spans="1:8" ht="24">
      <c r="A902" s="108" t="s">
        <v>10351</v>
      </c>
      <c r="B902" s="924" t="s">
        <v>1582</v>
      </c>
      <c r="C902" s="925" t="s">
        <v>1583</v>
      </c>
      <c r="D902" s="924" t="s">
        <v>1584</v>
      </c>
      <c r="E902" s="924" t="s">
        <v>1585</v>
      </c>
      <c r="F902" s="924" t="s">
        <v>1586</v>
      </c>
      <c r="G902" s="108">
        <f t="shared" si="14"/>
        <v>1</v>
      </c>
      <c r="H902" s="921" t="s">
        <v>8761</v>
      </c>
    </row>
    <row r="903" spans="1:8" ht="36">
      <c r="A903" s="108" t="s">
        <v>10351</v>
      </c>
      <c r="B903" s="924" t="s">
        <v>8698</v>
      </c>
      <c r="C903" s="924" t="s">
        <v>1291</v>
      </c>
      <c r="D903" s="924" t="s">
        <v>1292</v>
      </c>
      <c r="E903" s="925" t="s">
        <v>1293</v>
      </c>
      <c r="F903" s="924" t="s">
        <v>1294</v>
      </c>
      <c r="G903" s="108">
        <f t="shared" si="14"/>
        <v>3</v>
      </c>
      <c r="H903" s="921" t="s">
        <v>8766</v>
      </c>
    </row>
    <row r="904" spans="1:8" ht="60">
      <c r="A904" s="108" t="s">
        <v>10351</v>
      </c>
      <c r="B904" s="924" t="s">
        <v>8751</v>
      </c>
      <c r="C904" s="924" t="s">
        <v>1589</v>
      </c>
      <c r="D904" s="924" t="s">
        <v>1590</v>
      </c>
      <c r="E904" s="925" t="s">
        <v>1591</v>
      </c>
      <c r="F904" s="924" t="s">
        <v>1592</v>
      </c>
      <c r="G904" s="108">
        <f t="shared" si="14"/>
        <v>3</v>
      </c>
      <c r="H904" s="921" t="s">
        <v>8766</v>
      </c>
    </row>
    <row r="905" spans="1:8" ht="24">
      <c r="A905" s="108" t="s">
        <v>10351</v>
      </c>
      <c r="B905" s="924" t="s">
        <v>1300</v>
      </c>
      <c r="C905" s="924" t="s">
        <v>1301</v>
      </c>
      <c r="D905" s="924" t="s">
        <v>1302</v>
      </c>
      <c r="E905" s="925" t="s">
        <v>1303</v>
      </c>
      <c r="F905" s="924" t="s">
        <v>1304</v>
      </c>
      <c r="G905" s="108">
        <f t="shared" si="14"/>
        <v>3</v>
      </c>
      <c r="H905" s="921" t="s">
        <v>8766</v>
      </c>
    </row>
    <row r="906" spans="1:8" ht="108.75">
      <c r="A906" s="108" t="s">
        <v>10351</v>
      </c>
      <c r="B906" s="279" t="s">
        <v>1693</v>
      </c>
      <c r="C906" s="172" t="s">
        <v>1694</v>
      </c>
      <c r="D906" s="169" t="s">
        <v>1695</v>
      </c>
      <c r="E906" s="166" t="s">
        <v>10417</v>
      </c>
      <c r="F906" s="169" t="s">
        <v>1697</v>
      </c>
      <c r="G906" s="108">
        <f t="shared" si="14"/>
        <v>1</v>
      </c>
      <c r="H906" s="921" t="s">
        <v>8761</v>
      </c>
    </row>
    <row r="907" spans="1:8">
      <c r="A907" s="108" t="s">
        <v>10351</v>
      </c>
      <c r="B907" s="169" t="s">
        <v>1709</v>
      </c>
      <c r="C907" s="172" t="s">
        <v>73</v>
      </c>
      <c r="D907" s="169" t="s">
        <v>177</v>
      </c>
      <c r="E907" s="169" t="s">
        <v>76</v>
      </c>
      <c r="F907" s="169" t="s">
        <v>557</v>
      </c>
      <c r="G907" s="108">
        <f t="shared" si="14"/>
        <v>1</v>
      </c>
      <c r="H907" s="921" t="s">
        <v>8761</v>
      </c>
    </row>
    <row r="908" spans="1:8">
      <c r="A908" s="108" t="s">
        <v>10351</v>
      </c>
      <c r="B908" s="169" t="s">
        <v>1708</v>
      </c>
      <c r="C908" s="169" t="s">
        <v>73</v>
      </c>
      <c r="D908" s="172" t="s">
        <v>177</v>
      </c>
      <c r="E908" s="169" t="s">
        <v>76</v>
      </c>
      <c r="F908" s="169" t="s">
        <v>557</v>
      </c>
      <c r="G908" s="108">
        <f t="shared" si="14"/>
        <v>2</v>
      </c>
      <c r="H908" s="921" t="s">
        <v>8764</v>
      </c>
    </row>
    <row r="909" spans="1:8" ht="36.75">
      <c r="A909" s="108" t="s">
        <v>10351</v>
      </c>
      <c r="B909" s="169" t="s">
        <v>1306</v>
      </c>
      <c r="C909" s="172">
        <v>30</v>
      </c>
      <c r="D909" s="169">
        <v>60</v>
      </c>
      <c r="E909" s="169">
        <v>90</v>
      </c>
      <c r="F909" s="169">
        <v>120</v>
      </c>
      <c r="G909" s="108">
        <f t="shared" si="14"/>
        <v>1</v>
      </c>
      <c r="H909" s="921" t="s">
        <v>8761</v>
      </c>
    </row>
    <row r="910" spans="1:8" ht="24">
      <c r="A910" s="108" t="s">
        <v>10351</v>
      </c>
      <c r="B910" s="886" t="s">
        <v>10418</v>
      </c>
      <c r="C910" s="922" t="s">
        <v>10356</v>
      </c>
      <c r="D910" s="922" t="s">
        <v>1794</v>
      </c>
      <c r="E910" s="922" t="s">
        <v>10357</v>
      </c>
      <c r="F910" s="922" t="s">
        <v>1795</v>
      </c>
      <c r="G910" s="108">
        <f t="shared" si="14"/>
        <v>4</v>
      </c>
      <c r="H910" s="921" t="s">
        <v>8763</v>
      </c>
    </row>
    <row r="911" spans="1:8" ht="48">
      <c r="A911" s="108" t="s">
        <v>10351</v>
      </c>
      <c r="B911" s="886" t="s">
        <v>1327</v>
      </c>
      <c r="C911" s="922" t="s">
        <v>162</v>
      </c>
      <c r="D911" s="922" t="s">
        <v>1328</v>
      </c>
      <c r="E911" s="922" t="s">
        <v>1329</v>
      </c>
      <c r="F911" s="284" t="s">
        <v>1330</v>
      </c>
      <c r="G911" s="108">
        <f t="shared" si="14"/>
        <v>4</v>
      </c>
      <c r="H911" s="921" t="s">
        <v>8763</v>
      </c>
    </row>
    <row r="912" spans="1:8" ht="36">
      <c r="A912" s="108" t="s">
        <v>10351</v>
      </c>
      <c r="B912" s="886" t="s">
        <v>1295</v>
      </c>
      <c r="C912" s="284" t="s">
        <v>1296</v>
      </c>
      <c r="D912" s="922" t="s">
        <v>1297</v>
      </c>
      <c r="E912" s="922" t="s">
        <v>1298</v>
      </c>
      <c r="F912" s="922" t="s">
        <v>1299</v>
      </c>
      <c r="G912" s="108">
        <f t="shared" si="14"/>
        <v>1</v>
      </c>
      <c r="H912" s="921" t="s">
        <v>8761</v>
      </c>
    </row>
    <row r="913" spans="1:8" ht="72">
      <c r="A913" s="108" t="s">
        <v>10351</v>
      </c>
      <c r="B913" s="886" t="s">
        <v>1322</v>
      </c>
      <c r="C913" s="922" t="s">
        <v>1323</v>
      </c>
      <c r="D913" s="922" t="s">
        <v>1324</v>
      </c>
      <c r="E913" s="284" t="s">
        <v>1325</v>
      </c>
      <c r="F913" s="922" t="s">
        <v>1326</v>
      </c>
      <c r="G913" s="108">
        <f t="shared" si="14"/>
        <v>3</v>
      </c>
      <c r="H913" s="921" t="s">
        <v>8766</v>
      </c>
    </row>
    <row r="914" spans="1:8" ht="48">
      <c r="A914" s="108" t="s">
        <v>10351</v>
      </c>
      <c r="B914" s="886" t="s">
        <v>10419</v>
      </c>
      <c r="C914" s="922" t="s">
        <v>1310</v>
      </c>
      <c r="D914" s="922" t="s">
        <v>1311</v>
      </c>
      <c r="E914" s="284" t="s">
        <v>1312</v>
      </c>
      <c r="F914" s="922" t="s">
        <v>1313</v>
      </c>
      <c r="G914" s="108">
        <f t="shared" si="14"/>
        <v>3</v>
      </c>
      <c r="H914" s="921" t="s">
        <v>8766</v>
      </c>
    </row>
    <row r="915" spans="1:8" ht="36">
      <c r="A915" s="108" t="s">
        <v>10351</v>
      </c>
      <c r="B915" s="886" t="s">
        <v>10420</v>
      </c>
      <c r="C915" s="922" t="s">
        <v>10421</v>
      </c>
      <c r="D915" s="922" t="s">
        <v>10422</v>
      </c>
      <c r="E915" s="922" t="s">
        <v>10423</v>
      </c>
      <c r="F915" s="284" t="s">
        <v>10424</v>
      </c>
      <c r="G915" s="108">
        <f t="shared" si="14"/>
        <v>4</v>
      </c>
      <c r="H915" s="921" t="s">
        <v>8763</v>
      </c>
    </row>
    <row r="916" spans="1:8" ht="24">
      <c r="A916" s="108" t="s">
        <v>10351</v>
      </c>
      <c r="B916" s="886" t="s">
        <v>8696</v>
      </c>
      <c r="C916" s="922" t="s">
        <v>1484</v>
      </c>
      <c r="D916" s="922" t="s">
        <v>1485</v>
      </c>
      <c r="E916" s="284" t="s">
        <v>1486</v>
      </c>
      <c r="F916" s="922" t="s">
        <v>1487</v>
      </c>
      <c r="G916" s="108">
        <f t="shared" si="14"/>
        <v>3</v>
      </c>
      <c r="H916" s="921" t="s">
        <v>8766</v>
      </c>
    </row>
    <row r="917" spans="1:8" ht="72">
      <c r="A917" s="108" t="s">
        <v>10351</v>
      </c>
      <c r="B917" s="886" t="s">
        <v>10425</v>
      </c>
      <c r="C917" s="922" t="s">
        <v>7418</v>
      </c>
      <c r="D917" s="922" t="s">
        <v>1399</v>
      </c>
      <c r="E917" s="922" t="s">
        <v>1400</v>
      </c>
      <c r="F917" s="922" t="s">
        <v>1401</v>
      </c>
      <c r="G917" s="108">
        <f t="shared" si="14"/>
        <v>2</v>
      </c>
      <c r="H917" s="921" t="s">
        <v>8764</v>
      </c>
    </row>
    <row r="918" spans="1:8" ht="36">
      <c r="A918" s="108" t="s">
        <v>10351</v>
      </c>
      <c r="B918" s="886" t="s">
        <v>7421</v>
      </c>
      <c r="C918" s="922" t="s">
        <v>7422</v>
      </c>
      <c r="D918" s="922" t="s">
        <v>1679</v>
      </c>
      <c r="E918" s="922" t="s">
        <v>1680</v>
      </c>
      <c r="F918" s="922" t="s">
        <v>1681</v>
      </c>
      <c r="G918" s="108">
        <f t="shared" si="14"/>
        <v>4</v>
      </c>
      <c r="H918" s="921" t="s">
        <v>8763</v>
      </c>
    </row>
    <row r="919" spans="1:8" ht="36">
      <c r="A919" s="108" t="s">
        <v>10351</v>
      </c>
      <c r="B919" s="886" t="s">
        <v>10426</v>
      </c>
      <c r="C919" s="922" t="s">
        <v>10</v>
      </c>
      <c r="D919" s="922" t="s">
        <v>1439</v>
      </c>
      <c r="E919" s="922" t="s">
        <v>1440</v>
      </c>
      <c r="F919" s="922" t="s">
        <v>1437</v>
      </c>
      <c r="G919" s="108">
        <f t="shared" si="14"/>
        <v>1</v>
      </c>
      <c r="H919" s="921" t="s">
        <v>8761</v>
      </c>
    </row>
    <row r="920" spans="1:8" ht="36">
      <c r="A920" s="108" t="s">
        <v>10351</v>
      </c>
      <c r="B920" s="886" t="s">
        <v>10427</v>
      </c>
      <c r="C920" s="922" t="s">
        <v>1434</v>
      </c>
      <c r="D920" s="922" t="s">
        <v>1435</v>
      </c>
      <c r="E920" s="922" t="s">
        <v>1436</v>
      </c>
      <c r="F920" s="922" t="s">
        <v>1437</v>
      </c>
      <c r="G920" s="108">
        <f t="shared" si="14"/>
        <v>2</v>
      </c>
      <c r="H920" s="921" t="s">
        <v>8764</v>
      </c>
    </row>
    <row r="921" spans="1:8" ht="48">
      <c r="A921" s="108" t="s">
        <v>10351</v>
      </c>
      <c r="B921" s="886" t="s">
        <v>1535</v>
      </c>
      <c r="C921" s="922" t="s">
        <v>1536</v>
      </c>
      <c r="D921" s="922" t="s">
        <v>1537</v>
      </c>
      <c r="E921" s="922" t="s">
        <v>1538</v>
      </c>
      <c r="F921" s="922" t="s">
        <v>1437</v>
      </c>
      <c r="G921" s="108">
        <f t="shared" si="14"/>
        <v>3</v>
      </c>
      <c r="H921" s="921" t="s">
        <v>8766</v>
      </c>
    </row>
    <row r="922" spans="1:8" ht="24">
      <c r="A922" s="108" t="s">
        <v>10351</v>
      </c>
      <c r="B922" s="886" t="s">
        <v>1346</v>
      </c>
      <c r="C922" s="922" t="s">
        <v>1347</v>
      </c>
      <c r="D922" s="922" t="s">
        <v>1348</v>
      </c>
      <c r="E922" s="922" t="s">
        <v>1349</v>
      </c>
      <c r="F922" s="922" t="s">
        <v>1350</v>
      </c>
      <c r="G922" s="108">
        <f t="shared" si="14"/>
        <v>1</v>
      </c>
      <c r="H922" s="921" t="s">
        <v>8761</v>
      </c>
    </row>
    <row r="923" spans="1:8" ht="24">
      <c r="A923" s="108" t="s">
        <v>10351</v>
      </c>
      <c r="B923" s="886" t="s">
        <v>1380</v>
      </c>
      <c r="C923" s="922" t="s">
        <v>1381</v>
      </c>
      <c r="D923" s="922" t="s">
        <v>1382</v>
      </c>
      <c r="E923" s="922" t="s">
        <v>1383</v>
      </c>
      <c r="F923" s="922" t="s">
        <v>1384</v>
      </c>
      <c r="G923" s="108">
        <f t="shared" si="14"/>
        <v>1</v>
      </c>
      <c r="H923" s="921" t="s">
        <v>8761</v>
      </c>
    </row>
    <row r="924" spans="1:8" ht="24">
      <c r="A924" s="108" t="s">
        <v>10351</v>
      </c>
      <c r="B924" s="886" t="s">
        <v>1385</v>
      </c>
      <c r="C924" s="922" t="s">
        <v>1381</v>
      </c>
      <c r="D924" s="922" t="s">
        <v>1382</v>
      </c>
      <c r="E924" s="922" t="s">
        <v>1383</v>
      </c>
      <c r="F924" s="922" t="s">
        <v>1384</v>
      </c>
      <c r="G924" s="108">
        <f t="shared" si="14"/>
        <v>1</v>
      </c>
      <c r="H924" s="921" t="s">
        <v>8761</v>
      </c>
    </row>
    <row r="925" spans="1:8" ht="24">
      <c r="A925" s="108" t="s">
        <v>10351</v>
      </c>
      <c r="B925" s="886" t="s">
        <v>10428</v>
      </c>
      <c r="C925" s="922" t="s">
        <v>1342</v>
      </c>
      <c r="D925" s="922" t="s">
        <v>1343</v>
      </c>
      <c r="E925" s="922" t="s">
        <v>1344</v>
      </c>
      <c r="F925" s="922" t="s">
        <v>1437</v>
      </c>
      <c r="G925" s="108">
        <f t="shared" si="14"/>
        <v>2</v>
      </c>
      <c r="H925" s="921" t="s">
        <v>8764</v>
      </c>
    </row>
    <row r="926" spans="1:8" ht="24">
      <c r="A926" s="108" t="s">
        <v>10351</v>
      </c>
      <c r="B926" s="886" t="s">
        <v>1402</v>
      </c>
      <c r="C926" s="922">
        <v>1E-3</v>
      </c>
      <c r="D926" s="922">
        <v>0.01</v>
      </c>
      <c r="E926" s="922">
        <v>0.1</v>
      </c>
      <c r="F926" s="922" t="s">
        <v>4783</v>
      </c>
      <c r="G926" s="108">
        <f t="shared" si="14"/>
        <v>2</v>
      </c>
      <c r="H926" s="921" t="s">
        <v>8764</v>
      </c>
    </row>
    <row r="927" spans="1:8" ht="48">
      <c r="A927" s="108" t="s">
        <v>10351</v>
      </c>
      <c r="B927" s="886" t="s">
        <v>1421</v>
      </c>
      <c r="C927" s="922" t="s">
        <v>1422</v>
      </c>
      <c r="D927" s="922">
        <v>2400</v>
      </c>
      <c r="E927" s="922">
        <v>4800</v>
      </c>
      <c r="F927" s="922">
        <v>1000</v>
      </c>
      <c r="G927" s="108">
        <f t="shared" si="14"/>
        <v>2</v>
      </c>
      <c r="H927" s="921" t="s">
        <v>8764</v>
      </c>
    </row>
    <row r="928" spans="1:8" ht="24">
      <c r="A928" s="108" t="s">
        <v>10351</v>
      </c>
      <c r="B928" s="886" t="s">
        <v>1403</v>
      </c>
      <c r="C928" s="922" t="s">
        <v>1332</v>
      </c>
      <c r="D928" s="922" t="s">
        <v>1404</v>
      </c>
      <c r="E928" s="922" t="s">
        <v>1405</v>
      </c>
      <c r="F928" s="922" t="s">
        <v>1437</v>
      </c>
      <c r="G928" s="108">
        <f t="shared" si="14"/>
        <v>1</v>
      </c>
      <c r="H928" s="921" t="s">
        <v>8761</v>
      </c>
    </row>
    <row r="929" spans="1:8" ht="36">
      <c r="A929" s="108" t="s">
        <v>10351</v>
      </c>
      <c r="B929" s="886" t="s">
        <v>1446</v>
      </c>
      <c r="C929" s="922">
        <v>3</v>
      </c>
      <c r="D929" s="922">
        <v>5</v>
      </c>
      <c r="E929" s="922">
        <v>7</v>
      </c>
      <c r="F929" s="922">
        <v>14</v>
      </c>
      <c r="G929" s="108">
        <f t="shared" si="14"/>
        <v>1</v>
      </c>
      <c r="H929" s="921" t="s">
        <v>8761</v>
      </c>
    </row>
    <row r="930" spans="1:8" ht="24">
      <c r="A930" s="108" t="s">
        <v>10351</v>
      </c>
      <c r="B930" s="886" t="s">
        <v>1431</v>
      </c>
      <c r="C930" s="922" t="s">
        <v>1425</v>
      </c>
      <c r="D930" s="922" t="s">
        <v>1426</v>
      </c>
      <c r="E930" s="922" t="s">
        <v>1427</v>
      </c>
      <c r="F930" s="922" t="s">
        <v>1430</v>
      </c>
      <c r="G930" s="108">
        <f t="shared" si="14"/>
        <v>4</v>
      </c>
      <c r="H930" s="921" t="s">
        <v>8763</v>
      </c>
    </row>
    <row r="931" spans="1:8" ht="24">
      <c r="A931" s="108" t="s">
        <v>10351</v>
      </c>
      <c r="B931" s="886" t="s">
        <v>10429</v>
      </c>
      <c r="C931" s="922" t="s">
        <v>1332</v>
      </c>
      <c r="D931" s="922" t="s">
        <v>1333</v>
      </c>
      <c r="E931" s="922" t="s">
        <v>1334</v>
      </c>
      <c r="F931" s="922" t="s">
        <v>1437</v>
      </c>
      <c r="G931" s="108">
        <f t="shared" si="14"/>
        <v>2</v>
      </c>
      <c r="H931" s="921" t="s">
        <v>8764</v>
      </c>
    </row>
    <row r="932" spans="1:8" ht="24">
      <c r="A932" s="108" t="s">
        <v>10351</v>
      </c>
      <c r="B932" s="886" t="s">
        <v>1429</v>
      </c>
      <c r="C932" s="922" t="s">
        <v>1425</v>
      </c>
      <c r="D932" s="922" t="s">
        <v>1426</v>
      </c>
      <c r="E932" s="922" t="s">
        <v>1427</v>
      </c>
      <c r="F932" s="922" t="s">
        <v>1430</v>
      </c>
      <c r="G932" s="108">
        <f t="shared" si="14"/>
        <v>2</v>
      </c>
      <c r="H932" s="921" t="s">
        <v>8764</v>
      </c>
    </row>
    <row r="933" spans="1:8" ht="24">
      <c r="A933" s="108" t="s">
        <v>10351</v>
      </c>
      <c r="B933" s="886" t="s">
        <v>1424</v>
      </c>
      <c r="C933" s="922" t="s">
        <v>1425</v>
      </c>
      <c r="D933" s="922" t="s">
        <v>1426</v>
      </c>
      <c r="E933" s="922" t="s">
        <v>1427</v>
      </c>
      <c r="F933" s="922" t="s">
        <v>1428</v>
      </c>
      <c r="G933" s="108">
        <f t="shared" si="14"/>
        <v>3</v>
      </c>
      <c r="H933" s="921" t="s">
        <v>8766</v>
      </c>
    </row>
    <row r="934" spans="1:8" ht="36">
      <c r="A934" s="108" t="s">
        <v>10351</v>
      </c>
      <c r="B934" s="886" t="s">
        <v>1359</v>
      </c>
      <c r="C934" s="922" t="s">
        <v>1360</v>
      </c>
      <c r="D934" s="922" t="s">
        <v>1361</v>
      </c>
      <c r="E934" s="922" t="s">
        <v>1362</v>
      </c>
      <c r="F934" s="922" t="s">
        <v>1437</v>
      </c>
      <c r="G934" s="108">
        <f t="shared" si="14"/>
        <v>1</v>
      </c>
      <c r="H934" s="921" t="s">
        <v>8761</v>
      </c>
    </row>
    <row r="935" spans="1:8" ht="36">
      <c r="A935" s="108" t="s">
        <v>10351</v>
      </c>
      <c r="B935" s="886" t="s">
        <v>1505</v>
      </c>
      <c r="C935" s="922" t="s">
        <v>1506</v>
      </c>
      <c r="D935" s="922" t="s">
        <v>1507</v>
      </c>
      <c r="E935" s="922" t="s">
        <v>1508</v>
      </c>
      <c r="F935" s="922" t="s">
        <v>1437</v>
      </c>
      <c r="G935" s="108">
        <f t="shared" si="14"/>
        <v>2</v>
      </c>
      <c r="H935" s="921" t="s">
        <v>8764</v>
      </c>
    </row>
    <row r="936" spans="1:8" ht="36">
      <c r="A936" s="108" t="s">
        <v>10351</v>
      </c>
      <c r="B936" s="886" t="s">
        <v>10369</v>
      </c>
      <c r="C936" s="922" t="s">
        <v>10370</v>
      </c>
      <c r="D936" s="922" t="s">
        <v>1502</v>
      </c>
      <c r="E936" s="922" t="s">
        <v>1503</v>
      </c>
      <c r="F936" s="922" t="s">
        <v>1437</v>
      </c>
      <c r="G936" s="108">
        <f t="shared" si="14"/>
        <v>1</v>
      </c>
      <c r="H936" s="921" t="s">
        <v>8761</v>
      </c>
    </row>
    <row r="937" spans="1:8" ht="36">
      <c r="A937" s="108" t="s">
        <v>10351</v>
      </c>
      <c r="B937" s="886" t="s">
        <v>1573</v>
      </c>
      <c r="C937" s="922" t="s">
        <v>1574</v>
      </c>
      <c r="D937" s="922" t="s">
        <v>1575</v>
      </c>
      <c r="E937" s="922" t="s">
        <v>1576</v>
      </c>
      <c r="F937" s="922" t="s">
        <v>1577</v>
      </c>
      <c r="G937" s="108">
        <f t="shared" si="14"/>
        <v>3</v>
      </c>
      <c r="H937" s="921" t="s">
        <v>8766</v>
      </c>
    </row>
    <row r="938" spans="1:8" ht="24">
      <c r="A938" s="108" t="s">
        <v>10351</v>
      </c>
      <c r="B938" s="886" t="s">
        <v>1452</v>
      </c>
      <c r="C938" s="922" t="s">
        <v>1453</v>
      </c>
      <c r="D938" s="922" t="s">
        <v>1454</v>
      </c>
      <c r="E938" s="922" t="s">
        <v>1455</v>
      </c>
      <c r="F938" s="922" t="s">
        <v>1437</v>
      </c>
      <c r="G938" s="108">
        <f t="shared" si="14"/>
        <v>2</v>
      </c>
      <c r="H938" s="921" t="s">
        <v>8764</v>
      </c>
    </row>
    <row r="939" spans="1:8" ht="36">
      <c r="A939" s="108" t="s">
        <v>10351</v>
      </c>
      <c r="B939" s="886" t="s">
        <v>1392</v>
      </c>
      <c r="C939" s="922" t="s">
        <v>1393</v>
      </c>
      <c r="D939" s="922" t="s">
        <v>1394</v>
      </c>
      <c r="E939" s="922" t="s">
        <v>1395</v>
      </c>
      <c r="F939" s="922" t="s">
        <v>1437</v>
      </c>
      <c r="G939" s="108">
        <f t="shared" si="14"/>
        <v>2</v>
      </c>
      <c r="H939" s="921" t="s">
        <v>8764</v>
      </c>
    </row>
    <row r="940" spans="1:8" ht="36">
      <c r="A940" s="108" t="s">
        <v>10351</v>
      </c>
      <c r="B940" s="886" t="s">
        <v>1447</v>
      </c>
      <c r="C940" s="922" t="s">
        <v>1448</v>
      </c>
      <c r="D940" s="922" t="s">
        <v>1449</v>
      </c>
      <c r="E940" s="922" t="s">
        <v>1450</v>
      </c>
      <c r="F940" s="922" t="s">
        <v>1451</v>
      </c>
      <c r="G940" s="108">
        <f t="shared" si="14"/>
        <v>3</v>
      </c>
      <c r="H940" s="921" t="s">
        <v>8766</v>
      </c>
    </row>
    <row r="941" spans="1:8" ht="36">
      <c r="A941" s="108" t="s">
        <v>10351</v>
      </c>
      <c r="B941" s="886" t="s">
        <v>1491</v>
      </c>
      <c r="C941" s="922" t="s">
        <v>1489</v>
      </c>
      <c r="D941" s="922" t="s">
        <v>1492</v>
      </c>
      <c r="E941" s="922" t="s">
        <v>1490</v>
      </c>
      <c r="F941" s="922" t="s">
        <v>1437</v>
      </c>
      <c r="G941" s="108">
        <f t="shared" si="14"/>
        <v>2</v>
      </c>
      <c r="H941" s="921" t="s">
        <v>8764</v>
      </c>
    </row>
    <row r="942" spans="1:8" ht="36">
      <c r="A942" s="108" t="s">
        <v>10351</v>
      </c>
      <c r="B942" s="886" t="s">
        <v>1493</v>
      </c>
      <c r="C942" s="922" t="s">
        <v>1422</v>
      </c>
      <c r="D942" s="922" t="s">
        <v>1494</v>
      </c>
      <c r="E942" s="922" t="s">
        <v>1495</v>
      </c>
      <c r="F942" s="922" t="s">
        <v>1490</v>
      </c>
      <c r="G942" s="108">
        <f t="shared" si="14"/>
        <v>3</v>
      </c>
      <c r="H942" s="921" t="s">
        <v>8766</v>
      </c>
    </row>
    <row r="943" spans="1:8" ht="24">
      <c r="A943" s="108" t="s">
        <v>10351</v>
      </c>
      <c r="B943" s="886" t="s">
        <v>10430</v>
      </c>
      <c r="C943" s="922" t="s">
        <v>10381</v>
      </c>
      <c r="D943" s="922" t="s">
        <v>10382</v>
      </c>
      <c r="E943" s="922" t="s">
        <v>10383</v>
      </c>
      <c r="F943" s="922" t="s">
        <v>1437</v>
      </c>
      <c r="G943" s="108">
        <f t="shared" si="14"/>
        <v>2</v>
      </c>
      <c r="H943" s="921" t="s">
        <v>8764</v>
      </c>
    </row>
    <row r="944" spans="1:8" ht="24">
      <c r="A944" s="108" t="s">
        <v>10351</v>
      </c>
      <c r="B944" s="886" t="s">
        <v>1645</v>
      </c>
      <c r="C944" s="922" t="s">
        <v>1477</v>
      </c>
      <c r="D944" s="922" t="s">
        <v>1478</v>
      </c>
      <c r="E944" s="922" t="s">
        <v>1646</v>
      </c>
      <c r="F944" s="922" t="s">
        <v>1437</v>
      </c>
      <c r="G944" s="108">
        <f t="shared" si="14"/>
        <v>2</v>
      </c>
      <c r="H944" s="921" t="s">
        <v>8764</v>
      </c>
    </row>
    <row r="945" spans="1:8">
      <c r="A945" s="108" t="s">
        <v>10351</v>
      </c>
      <c r="B945" s="886" t="s">
        <v>1543</v>
      </c>
      <c r="C945" s="922" t="s">
        <v>177</v>
      </c>
      <c r="D945" s="922" t="s">
        <v>73</v>
      </c>
      <c r="E945" s="922" t="s">
        <v>557</v>
      </c>
      <c r="F945" s="922" t="s">
        <v>179</v>
      </c>
      <c r="G945" s="108">
        <f t="shared" si="14"/>
        <v>2</v>
      </c>
      <c r="H945" s="921" t="s">
        <v>8764</v>
      </c>
    </row>
    <row r="946" spans="1:8" ht="24">
      <c r="A946" s="108" t="s">
        <v>10351</v>
      </c>
      <c r="B946" s="886" t="s">
        <v>1539</v>
      </c>
      <c r="C946" s="922" t="s">
        <v>1540</v>
      </c>
      <c r="D946" s="922" t="s">
        <v>1541</v>
      </c>
      <c r="E946" s="922" t="s">
        <v>1542</v>
      </c>
      <c r="F946" s="922" t="s">
        <v>1437</v>
      </c>
      <c r="G946" s="108">
        <f t="shared" si="14"/>
        <v>3</v>
      </c>
      <c r="H946" s="921" t="s">
        <v>8766</v>
      </c>
    </row>
    <row r="947" spans="1:8" ht="48">
      <c r="A947" s="108" t="s">
        <v>10351</v>
      </c>
      <c r="B947" s="890" t="s">
        <v>1525</v>
      </c>
      <c r="C947" s="922" t="s">
        <v>1526</v>
      </c>
      <c r="D947" s="922" t="s">
        <v>1527</v>
      </c>
      <c r="E947" s="922" t="s">
        <v>1528</v>
      </c>
      <c r="F947" s="922" t="s">
        <v>1529</v>
      </c>
      <c r="G947" s="108">
        <f t="shared" si="14"/>
        <v>2</v>
      </c>
      <c r="H947" s="279" t="s">
        <v>8764</v>
      </c>
    </row>
    <row r="948" spans="1:8" ht="36.75">
      <c r="A948" s="108" t="s">
        <v>10351</v>
      </c>
      <c r="B948" s="967" t="s">
        <v>1465</v>
      </c>
      <c r="C948" s="967" t="s">
        <v>1466</v>
      </c>
      <c r="D948" s="967" t="s">
        <v>1467</v>
      </c>
      <c r="E948" s="967" t="s">
        <v>1468</v>
      </c>
      <c r="F948" s="967" t="s">
        <v>61</v>
      </c>
      <c r="G948" s="108">
        <f t="shared" si="14"/>
        <v>1</v>
      </c>
      <c r="H948" s="930" t="s">
        <v>8761</v>
      </c>
    </row>
    <row r="949" spans="1:8" ht="36.75">
      <c r="A949" s="108" t="s">
        <v>10351</v>
      </c>
      <c r="B949" s="890" t="s">
        <v>1530</v>
      </c>
      <c r="C949" s="922" t="s">
        <v>1531</v>
      </c>
      <c r="D949" s="922" t="s">
        <v>1532</v>
      </c>
      <c r="E949" s="922" t="s">
        <v>1533</v>
      </c>
      <c r="F949" s="922" t="s">
        <v>1534</v>
      </c>
      <c r="G949" s="108">
        <f t="shared" si="14"/>
        <v>4</v>
      </c>
      <c r="H949" s="279" t="s">
        <v>8763</v>
      </c>
    </row>
    <row r="950" spans="1:8">
      <c r="A950" s="108" t="s">
        <v>10351</v>
      </c>
      <c r="B950" s="890" t="s">
        <v>1556</v>
      </c>
      <c r="C950" s="890" t="s">
        <v>108</v>
      </c>
      <c r="D950" s="890" t="s">
        <v>10431</v>
      </c>
      <c r="E950" s="890" t="s">
        <v>109</v>
      </c>
      <c r="F950" s="890" t="s">
        <v>209</v>
      </c>
      <c r="G950" s="108">
        <f t="shared" si="14"/>
        <v>2</v>
      </c>
      <c r="H950" s="930" t="s">
        <v>8764</v>
      </c>
    </row>
    <row r="951" spans="1:8" ht="60.75">
      <c r="A951" s="108" t="s">
        <v>10351</v>
      </c>
      <c r="B951" s="890" t="s">
        <v>11</v>
      </c>
      <c r="C951" s="890" t="s">
        <v>8</v>
      </c>
      <c r="D951" s="890" t="s">
        <v>12</v>
      </c>
      <c r="E951" s="890" t="s">
        <v>13</v>
      </c>
      <c r="F951" s="890" t="s">
        <v>14</v>
      </c>
      <c r="G951" s="108">
        <f t="shared" si="14"/>
        <v>2</v>
      </c>
      <c r="H951" s="930" t="s">
        <v>8764</v>
      </c>
    </row>
    <row r="952" spans="1:8" ht="36.75">
      <c r="A952" s="108" t="s">
        <v>10351</v>
      </c>
      <c r="B952" s="169" t="s">
        <v>10432</v>
      </c>
      <c r="C952" s="166" t="s">
        <v>1442</v>
      </c>
      <c r="D952" s="166" t="s">
        <v>1443</v>
      </c>
      <c r="E952" s="166" t="s">
        <v>10433</v>
      </c>
      <c r="F952" s="166" t="s">
        <v>1445</v>
      </c>
      <c r="G952" s="108">
        <f t="shared" si="14"/>
        <v>3</v>
      </c>
      <c r="H952" s="930" t="s">
        <v>8766</v>
      </c>
    </row>
    <row r="953" spans="1:8" ht="48.75">
      <c r="A953" s="108" t="s">
        <v>10351</v>
      </c>
      <c r="B953" s="166" t="s">
        <v>1535</v>
      </c>
      <c r="C953" s="169" t="s">
        <v>1536</v>
      </c>
      <c r="D953" s="166" t="s">
        <v>10434</v>
      </c>
      <c r="E953" s="166" t="s">
        <v>10435</v>
      </c>
      <c r="F953" s="166" t="s">
        <v>209</v>
      </c>
      <c r="G953" s="108">
        <f t="shared" si="14"/>
        <v>3</v>
      </c>
      <c r="H953" s="930" t="s">
        <v>8766</v>
      </c>
    </row>
    <row r="954" spans="1:8" ht="48">
      <c r="A954" s="108" t="s">
        <v>10351</v>
      </c>
      <c r="B954" s="166" t="s">
        <v>1654</v>
      </c>
      <c r="C954" s="166" t="s">
        <v>1655</v>
      </c>
      <c r="D954" s="922" t="s">
        <v>1656</v>
      </c>
      <c r="E954" s="284" t="s">
        <v>1657</v>
      </c>
      <c r="F954" s="279" t="s">
        <v>1437</v>
      </c>
      <c r="G954" s="108">
        <f t="shared" si="14"/>
        <v>3</v>
      </c>
      <c r="H954" s="930" t="s">
        <v>8766</v>
      </c>
    </row>
    <row r="955" spans="1:8" ht="36">
      <c r="A955" s="108" t="s">
        <v>10351</v>
      </c>
      <c r="B955" s="886" t="s">
        <v>1593</v>
      </c>
      <c r="C955" s="279" t="s">
        <v>1594</v>
      </c>
      <c r="D955" s="284" t="s">
        <v>1595</v>
      </c>
      <c r="E955" s="279" t="s">
        <v>1596</v>
      </c>
      <c r="F955" s="279" t="s">
        <v>1597</v>
      </c>
      <c r="G955" s="108">
        <f t="shared" si="14"/>
        <v>2</v>
      </c>
      <c r="H955" s="279" t="s">
        <v>8764</v>
      </c>
    </row>
    <row r="956" spans="1:8" ht="24">
      <c r="A956" s="108" t="s">
        <v>10351</v>
      </c>
      <c r="B956" s="166" t="s">
        <v>1452</v>
      </c>
      <c r="C956" s="279" t="s">
        <v>1453</v>
      </c>
      <c r="D956" s="284" t="s">
        <v>1454</v>
      </c>
      <c r="E956" s="279" t="s">
        <v>1455</v>
      </c>
      <c r="F956" s="279" t="s">
        <v>1437</v>
      </c>
      <c r="G956" s="108">
        <f t="shared" si="14"/>
        <v>2</v>
      </c>
      <c r="H956" s="279" t="s">
        <v>8764</v>
      </c>
    </row>
    <row r="957" spans="1:8" ht="36">
      <c r="A957" s="108" t="s">
        <v>10351</v>
      </c>
      <c r="B957" s="886" t="s">
        <v>1447</v>
      </c>
      <c r="C957" s="279" t="s">
        <v>1448</v>
      </c>
      <c r="D957" s="279" t="s">
        <v>1449</v>
      </c>
      <c r="E957" s="284" t="s">
        <v>1450</v>
      </c>
      <c r="F957" s="922" t="s">
        <v>1451</v>
      </c>
      <c r="G957" s="108">
        <f t="shared" si="14"/>
        <v>4</v>
      </c>
      <c r="H957" s="279" t="s">
        <v>8763</v>
      </c>
    </row>
    <row r="958" spans="1:8" ht="24">
      <c r="A958" s="108" t="s">
        <v>10351</v>
      </c>
      <c r="B958" s="886" t="s">
        <v>1549</v>
      </c>
      <c r="C958" s="922" t="s">
        <v>1550</v>
      </c>
      <c r="D958" s="922" t="s">
        <v>1551</v>
      </c>
      <c r="E958" s="284" t="s">
        <v>1552</v>
      </c>
      <c r="F958" s="922" t="s">
        <v>209</v>
      </c>
      <c r="G958" s="108">
        <f t="shared" si="14"/>
        <v>3</v>
      </c>
      <c r="H958" s="279" t="s">
        <v>8766</v>
      </c>
    </row>
    <row r="959" spans="1:8" ht="96">
      <c r="A959" s="108" t="s">
        <v>10351</v>
      </c>
      <c r="B959" s="886" t="s">
        <v>10436</v>
      </c>
      <c r="C959" s="922">
        <v>128000</v>
      </c>
      <c r="D959" s="922">
        <v>340000</v>
      </c>
      <c r="E959" s="922">
        <v>260000</v>
      </c>
      <c r="F959" s="922">
        <v>360000</v>
      </c>
      <c r="G959" s="108">
        <f t="shared" si="14"/>
        <v>2</v>
      </c>
      <c r="H959" s="279" t="s">
        <v>8764</v>
      </c>
    </row>
    <row r="960" spans="1:8" ht="48">
      <c r="A960" s="108" t="s">
        <v>10351</v>
      </c>
      <c r="B960" s="886" t="s">
        <v>1421</v>
      </c>
      <c r="C960" s="922" t="s">
        <v>1422</v>
      </c>
      <c r="D960" s="922">
        <v>2400</v>
      </c>
      <c r="E960" s="922">
        <v>4800</v>
      </c>
      <c r="F960" s="922" t="s">
        <v>1437</v>
      </c>
      <c r="G960" s="108">
        <f t="shared" si="14"/>
        <v>2</v>
      </c>
      <c r="H960" s="279" t="s">
        <v>8764</v>
      </c>
    </row>
    <row r="961" spans="1:8" ht="48">
      <c r="A961" s="108" t="s">
        <v>10351</v>
      </c>
      <c r="B961" s="886" t="s">
        <v>1423</v>
      </c>
      <c r="C961" s="922">
        <v>50400</v>
      </c>
      <c r="D961" s="922">
        <v>25200</v>
      </c>
      <c r="E961" s="284">
        <v>27600</v>
      </c>
      <c r="F961" s="922" t="s">
        <v>1437</v>
      </c>
      <c r="G961" s="108">
        <f t="shared" si="14"/>
        <v>3</v>
      </c>
      <c r="H961" s="279" t="s">
        <v>8766</v>
      </c>
    </row>
    <row r="962" spans="1:8" ht="48">
      <c r="A962" s="108" t="s">
        <v>10351</v>
      </c>
      <c r="B962" s="886" t="s">
        <v>1420</v>
      </c>
      <c r="C962" s="922">
        <v>26400</v>
      </c>
      <c r="D962" s="284">
        <f>28800+50*24*2</f>
        <v>31200</v>
      </c>
      <c r="E962" s="922">
        <v>27600</v>
      </c>
      <c r="F962" s="922">
        <v>28800</v>
      </c>
      <c r="G962" s="108">
        <f t="shared" si="14"/>
        <v>2</v>
      </c>
      <c r="H962" s="279" t="s">
        <v>8764</v>
      </c>
    </row>
    <row r="963" spans="1:8" ht="24">
      <c r="A963" s="108" t="s">
        <v>10351</v>
      </c>
      <c r="B963" s="886" t="s">
        <v>1403</v>
      </c>
      <c r="C963" s="284" t="s">
        <v>1332</v>
      </c>
      <c r="D963" s="922" t="s">
        <v>1404</v>
      </c>
      <c r="E963" s="922" t="s">
        <v>1405</v>
      </c>
      <c r="F963" s="922" t="s">
        <v>1437</v>
      </c>
      <c r="G963" s="108">
        <f t="shared" ref="G963:G1026" si="15">IF(H963="A",1,IF(H963="B",2,IF(H963="C",3,IF(H963="D",4,0))))</f>
        <v>1</v>
      </c>
      <c r="H963" s="279" t="s">
        <v>8761</v>
      </c>
    </row>
    <row r="964" spans="1:8" ht="36">
      <c r="A964" s="108" t="s">
        <v>10351</v>
      </c>
      <c r="B964" s="886" t="s">
        <v>1446</v>
      </c>
      <c r="C964" s="284">
        <v>3</v>
      </c>
      <c r="D964" s="922">
        <v>5</v>
      </c>
      <c r="E964" s="922">
        <v>7</v>
      </c>
      <c r="F964" s="922" t="s">
        <v>1437</v>
      </c>
      <c r="G964" s="108">
        <f t="shared" si="15"/>
        <v>1</v>
      </c>
      <c r="H964" s="279" t="s">
        <v>8761</v>
      </c>
    </row>
    <row r="965" spans="1:8" ht="24">
      <c r="A965" s="108" t="s">
        <v>10351</v>
      </c>
      <c r="B965" s="886" t="s">
        <v>1432</v>
      </c>
      <c r="C965" s="922" t="s">
        <v>1332</v>
      </c>
      <c r="D965" s="284" t="s">
        <v>1333</v>
      </c>
      <c r="E965" s="922" t="s">
        <v>1334</v>
      </c>
      <c r="F965" s="922" t="s">
        <v>1437</v>
      </c>
      <c r="G965" s="108">
        <f t="shared" si="15"/>
        <v>2</v>
      </c>
      <c r="H965" s="279" t="s">
        <v>8764</v>
      </c>
    </row>
    <row r="966" spans="1:8" ht="24">
      <c r="A966" s="108" t="s">
        <v>10351</v>
      </c>
      <c r="B966" s="886" t="s">
        <v>1424</v>
      </c>
      <c r="C966" s="922" t="s">
        <v>1425</v>
      </c>
      <c r="D966" s="922" t="s">
        <v>1426</v>
      </c>
      <c r="E966" s="284" t="s">
        <v>1427</v>
      </c>
      <c r="F966" s="922" t="s">
        <v>1428</v>
      </c>
      <c r="G966" s="108">
        <f t="shared" si="15"/>
        <v>3</v>
      </c>
      <c r="H966" s="279" t="s">
        <v>8766</v>
      </c>
    </row>
    <row r="967" spans="1:8" ht="24">
      <c r="A967" s="108" t="s">
        <v>10351</v>
      </c>
      <c r="B967" s="886" t="s">
        <v>1416</v>
      </c>
      <c r="C967" s="922" t="s">
        <v>1417</v>
      </c>
      <c r="D967" s="284" t="s">
        <v>1418</v>
      </c>
      <c r="E967" s="922" t="s">
        <v>1419</v>
      </c>
      <c r="F967" s="922" t="s">
        <v>1437</v>
      </c>
      <c r="G967" s="108">
        <f t="shared" si="15"/>
        <v>2</v>
      </c>
      <c r="H967" s="279" t="s">
        <v>8764</v>
      </c>
    </row>
    <row r="968" spans="1:8" ht="24">
      <c r="A968" s="108" t="s">
        <v>10351</v>
      </c>
      <c r="B968" s="922" t="s">
        <v>1375</v>
      </c>
      <c r="C968" s="922" t="s">
        <v>1376</v>
      </c>
      <c r="D968" s="922" t="s">
        <v>1377</v>
      </c>
      <c r="E968" s="922" t="s">
        <v>1378</v>
      </c>
      <c r="F968" s="284" t="s">
        <v>1379</v>
      </c>
      <c r="G968" s="108">
        <f t="shared" si="15"/>
        <v>4</v>
      </c>
      <c r="H968" s="279" t="s">
        <v>8763</v>
      </c>
    </row>
    <row r="969" spans="1:8" ht="24">
      <c r="A969" s="108" t="s">
        <v>10351</v>
      </c>
      <c r="B969" s="886" t="s">
        <v>1307</v>
      </c>
      <c r="C969" s="284">
        <v>46.25</v>
      </c>
      <c r="D969" s="922">
        <v>80</v>
      </c>
      <c r="E969" s="922">
        <v>100</v>
      </c>
      <c r="F969" s="922" t="s">
        <v>1308</v>
      </c>
      <c r="G969" s="108">
        <f t="shared" si="15"/>
        <v>2</v>
      </c>
      <c r="H969" s="279" t="s">
        <v>8764</v>
      </c>
    </row>
    <row r="970" spans="1:8" ht="24">
      <c r="A970" s="108" t="s">
        <v>10351</v>
      </c>
      <c r="B970" s="886" t="s">
        <v>1632</v>
      </c>
      <c r="C970" s="922" t="s">
        <v>1633</v>
      </c>
      <c r="D970" s="922" t="s">
        <v>1634</v>
      </c>
      <c r="E970" s="284" t="s">
        <v>1635</v>
      </c>
      <c r="F970" s="922" t="s">
        <v>1437</v>
      </c>
      <c r="G970" s="108">
        <f t="shared" si="15"/>
        <v>3</v>
      </c>
      <c r="H970" s="279" t="s">
        <v>8766</v>
      </c>
    </row>
    <row r="971" spans="1:8" ht="48">
      <c r="A971" s="108" t="s">
        <v>10351</v>
      </c>
      <c r="B971" s="886" t="s">
        <v>10437</v>
      </c>
      <c r="C971" s="922" t="s">
        <v>10438</v>
      </c>
      <c r="D971" s="284" t="s">
        <v>10439</v>
      </c>
      <c r="E971" s="922" t="s">
        <v>10440</v>
      </c>
      <c r="F971" s="922" t="s">
        <v>1437</v>
      </c>
      <c r="G971" s="108">
        <f t="shared" si="15"/>
        <v>2</v>
      </c>
      <c r="H971" s="279" t="s">
        <v>8764</v>
      </c>
    </row>
    <row r="972" spans="1:8" ht="48">
      <c r="A972" s="108" t="s">
        <v>10351</v>
      </c>
      <c r="B972" s="886" t="s">
        <v>1407</v>
      </c>
      <c r="C972" s="284" t="s">
        <v>1408</v>
      </c>
      <c r="D972" s="922" t="s">
        <v>1409</v>
      </c>
      <c r="E972" s="922" t="s">
        <v>1410</v>
      </c>
      <c r="F972" s="922" t="s">
        <v>1437</v>
      </c>
      <c r="G972" s="108">
        <f t="shared" si="15"/>
        <v>1</v>
      </c>
      <c r="H972" s="279" t="s">
        <v>8761</v>
      </c>
    </row>
    <row r="973" spans="1:8" ht="36">
      <c r="A973" s="108" t="s">
        <v>10351</v>
      </c>
      <c r="B973" s="166" t="s">
        <v>1465</v>
      </c>
      <c r="C973" s="887" t="s">
        <v>10441</v>
      </c>
      <c r="D973" s="166" t="s">
        <v>10442</v>
      </c>
      <c r="E973" s="166" t="s">
        <v>10443</v>
      </c>
      <c r="F973" s="170" t="s">
        <v>61</v>
      </c>
      <c r="G973" s="108">
        <f t="shared" si="15"/>
        <v>1</v>
      </c>
      <c r="H973" s="930" t="s">
        <v>8761</v>
      </c>
    </row>
    <row r="974" spans="1:8" ht="36">
      <c r="A974" s="108" t="s">
        <v>10351</v>
      </c>
      <c r="B974" s="166" t="s">
        <v>7421</v>
      </c>
      <c r="C974" s="166" t="s">
        <v>7422</v>
      </c>
      <c r="D974" s="166" t="s">
        <v>1679</v>
      </c>
      <c r="E974" s="166" t="s">
        <v>1680</v>
      </c>
      <c r="F974" s="887" t="s">
        <v>1681</v>
      </c>
      <c r="G974" s="108">
        <f t="shared" si="15"/>
        <v>4</v>
      </c>
      <c r="H974" s="930" t="s">
        <v>8763</v>
      </c>
    </row>
    <row r="975" spans="1:8" ht="24">
      <c r="A975" s="108" t="s">
        <v>10351</v>
      </c>
      <c r="B975" s="166" t="s">
        <v>1431</v>
      </c>
      <c r="C975" s="170" t="s">
        <v>1425</v>
      </c>
      <c r="D975" s="170" t="s">
        <v>1426</v>
      </c>
      <c r="E975" s="170" t="s">
        <v>1427</v>
      </c>
      <c r="F975" s="170" t="s">
        <v>1430</v>
      </c>
      <c r="G975" s="108">
        <f t="shared" si="15"/>
        <v>4</v>
      </c>
      <c r="H975" s="930" t="s">
        <v>8763</v>
      </c>
    </row>
    <row r="976" spans="1:8" ht="36">
      <c r="A976" s="108" t="s">
        <v>10351</v>
      </c>
      <c r="B976" s="166" t="s">
        <v>1359</v>
      </c>
      <c r="C976" s="166" t="s">
        <v>1360</v>
      </c>
      <c r="D976" s="166" t="s">
        <v>1361</v>
      </c>
      <c r="E976" s="166" t="s">
        <v>1362</v>
      </c>
      <c r="F976" s="166" t="s">
        <v>1437</v>
      </c>
      <c r="G976" s="108">
        <f t="shared" si="15"/>
        <v>1</v>
      </c>
      <c r="H976" s="930" t="s">
        <v>8761</v>
      </c>
    </row>
    <row r="977" spans="1:8">
      <c r="A977" s="108" t="s">
        <v>10351</v>
      </c>
      <c r="B977" s="166" t="s">
        <v>10444</v>
      </c>
      <c r="C977" s="166" t="s">
        <v>10445</v>
      </c>
      <c r="D977" s="887" t="s">
        <v>1366</v>
      </c>
      <c r="E977" s="166" t="s">
        <v>1367</v>
      </c>
      <c r="F977" s="166" t="s">
        <v>209</v>
      </c>
      <c r="G977" s="108">
        <f t="shared" si="15"/>
        <v>2</v>
      </c>
      <c r="H977" s="930" t="s">
        <v>8764</v>
      </c>
    </row>
    <row r="978" spans="1:8" ht="36">
      <c r="A978" s="108" t="s">
        <v>10351</v>
      </c>
      <c r="B978" s="166" t="s">
        <v>1573</v>
      </c>
      <c r="C978" s="166" t="s">
        <v>1574</v>
      </c>
      <c r="D978" s="166" t="s">
        <v>1575</v>
      </c>
      <c r="E978" s="166" t="s">
        <v>1576</v>
      </c>
      <c r="F978" s="166" t="s">
        <v>1577</v>
      </c>
      <c r="G978" s="108">
        <f t="shared" si="15"/>
        <v>3</v>
      </c>
      <c r="H978" s="930" t="s">
        <v>8766</v>
      </c>
    </row>
    <row r="979" spans="1:8" ht="36">
      <c r="A979" s="108" t="s">
        <v>10351</v>
      </c>
      <c r="B979" s="166" t="s">
        <v>1493</v>
      </c>
      <c r="C979" s="166" t="s">
        <v>1422</v>
      </c>
      <c r="D979" s="166" t="s">
        <v>1494</v>
      </c>
      <c r="E979" s="166" t="s">
        <v>5986</v>
      </c>
      <c r="F979" s="166" t="s">
        <v>1490</v>
      </c>
      <c r="G979" s="108">
        <f t="shared" si="15"/>
        <v>3</v>
      </c>
      <c r="H979" s="930" t="s">
        <v>8766</v>
      </c>
    </row>
    <row r="980" spans="1:8" ht="24.75">
      <c r="A980" s="108" t="s">
        <v>10351</v>
      </c>
      <c r="B980" s="169" t="s">
        <v>10446</v>
      </c>
      <c r="C980" s="171">
        <v>0.04</v>
      </c>
      <c r="D980" s="170">
        <v>0.02</v>
      </c>
      <c r="E980" s="170">
        <v>0.03</v>
      </c>
      <c r="F980" s="170">
        <v>0.05</v>
      </c>
      <c r="G980" s="108">
        <f t="shared" si="15"/>
        <v>1</v>
      </c>
      <c r="H980" s="930" t="s">
        <v>8761</v>
      </c>
    </row>
    <row r="981" spans="1:8" ht="24">
      <c r="A981" s="108" t="s">
        <v>10351</v>
      </c>
      <c r="B981" s="166" t="s">
        <v>1544</v>
      </c>
      <c r="C981" s="887" t="s">
        <v>1545</v>
      </c>
      <c r="D981" s="166" t="s">
        <v>1546</v>
      </c>
      <c r="E981" s="166" t="s">
        <v>1547</v>
      </c>
      <c r="F981" s="166" t="s">
        <v>328</v>
      </c>
      <c r="G981" s="108">
        <f t="shared" si="15"/>
        <v>1</v>
      </c>
      <c r="H981" s="930" t="s">
        <v>8761</v>
      </c>
    </row>
    <row r="982" spans="1:8" ht="24">
      <c r="A982" s="108" t="s">
        <v>10351</v>
      </c>
      <c r="B982" s="166" t="s">
        <v>10447</v>
      </c>
      <c r="C982" s="887" t="s">
        <v>10448</v>
      </c>
      <c r="D982" s="166" t="s">
        <v>10449</v>
      </c>
      <c r="E982" s="166" t="s">
        <v>10450</v>
      </c>
      <c r="F982" s="166" t="s">
        <v>10451</v>
      </c>
      <c r="G982" s="108">
        <f t="shared" si="15"/>
        <v>1</v>
      </c>
      <c r="H982" s="930" t="s">
        <v>8761</v>
      </c>
    </row>
    <row r="983" spans="1:8" ht="24">
      <c r="A983" s="108" t="s">
        <v>10351</v>
      </c>
      <c r="B983" s="166" t="s">
        <v>1663</v>
      </c>
      <c r="C983" s="166" t="s">
        <v>10452</v>
      </c>
      <c r="D983" s="887" t="s">
        <v>10453</v>
      </c>
      <c r="E983" s="166" t="s">
        <v>10454</v>
      </c>
      <c r="F983" s="166" t="s">
        <v>10455</v>
      </c>
      <c r="G983" s="108">
        <f t="shared" si="15"/>
        <v>2</v>
      </c>
      <c r="H983" s="930" t="s">
        <v>8764</v>
      </c>
    </row>
    <row r="984" spans="1:8" ht="24">
      <c r="A984" s="108" t="s">
        <v>10351</v>
      </c>
      <c r="B984" s="166" t="s">
        <v>1658</v>
      </c>
      <c r="C984" s="170" t="s">
        <v>1659</v>
      </c>
      <c r="D984" s="171" t="s">
        <v>1660</v>
      </c>
      <c r="E984" s="170" t="s">
        <v>1661</v>
      </c>
      <c r="F984" s="170" t="s">
        <v>1662</v>
      </c>
      <c r="G984" s="108">
        <f t="shared" si="15"/>
        <v>2</v>
      </c>
      <c r="H984" s="930" t="s">
        <v>8764</v>
      </c>
    </row>
    <row r="985" spans="1:8">
      <c r="A985" s="108" t="s">
        <v>10351</v>
      </c>
      <c r="B985" s="924" t="s">
        <v>10456</v>
      </c>
      <c r="C985" s="968">
        <v>110130150</v>
      </c>
      <c r="D985" s="924" t="s">
        <v>10457</v>
      </c>
      <c r="E985" s="924" t="s">
        <v>10458</v>
      </c>
      <c r="F985" s="924" t="s">
        <v>10459</v>
      </c>
      <c r="G985" s="108">
        <f t="shared" si="15"/>
        <v>4</v>
      </c>
      <c r="H985" s="969" t="s">
        <v>8763</v>
      </c>
    </row>
    <row r="986" spans="1:8" ht="36">
      <c r="A986" s="108" t="s">
        <v>10351</v>
      </c>
      <c r="B986" s="931" t="s">
        <v>1295</v>
      </c>
      <c r="C986" s="284" t="s">
        <v>1296</v>
      </c>
      <c r="D986" s="279" t="s">
        <v>1297</v>
      </c>
      <c r="E986" s="279" t="s">
        <v>1298</v>
      </c>
      <c r="F986" s="279" t="s">
        <v>1299</v>
      </c>
      <c r="G986" s="108">
        <f t="shared" si="15"/>
        <v>1</v>
      </c>
      <c r="H986" s="279" t="s">
        <v>8761</v>
      </c>
    </row>
    <row r="987" spans="1:8" ht="72">
      <c r="A987" s="108" t="s">
        <v>10351</v>
      </c>
      <c r="B987" s="931" t="s">
        <v>10460</v>
      </c>
      <c r="C987" s="279" t="s">
        <v>7418</v>
      </c>
      <c r="D987" s="279" t="s">
        <v>1399</v>
      </c>
      <c r="E987" s="279" t="s">
        <v>1400</v>
      </c>
      <c r="F987" s="279" t="s">
        <v>1401</v>
      </c>
      <c r="G987" s="108">
        <f t="shared" si="15"/>
        <v>2</v>
      </c>
      <c r="H987" s="279" t="s">
        <v>8764</v>
      </c>
    </row>
    <row r="988" spans="1:8" ht="24">
      <c r="A988" s="108" t="s">
        <v>10351</v>
      </c>
      <c r="B988" s="931" t="s">
        <v>1544</v>
      </c>
      <c r="C988" s="279" t="s">
        <v>1545</v>
      </c>
      <c r="D988" s="279" t="s">
        <v>1546</v>
      </c>
      <c r="E988" s="279" t="s">
        <v>1547</v>
      </c>
      <c r="F988" s="279" t="s">
        <v>328</v>
      </c>
      <c r="G988" s="108">
        <f t="shared" si="15"/>
        <v>1</v>
      </c>
      <c r="H988" s="279" t="s">
        <v>8761</v>
      </c>
    </row>
    <row r="989" spans="1:8" ht="48">
      <c r="A989" s="108" t="s">
        <v>10351</v>
      </c>
      <c r="B989" s="931" t="s">
        <v>1535</v>
      </c>
      <c r="C989" s="279" t="s">
        <v>1536</v>
      </c>
      <c r="D989" s="279" t="s">
        <v>1537</v>
      </c>
      <c r="E989" s="279" t="s">
        <v>1538</v>
      </c>
      <c r="F989" s="279" t="s">
        <v>1437</v>
      </c>
      <c r="G989" s="108">
        <f t="shared" si="15"/>
        <v>3</v>
      </c>
      <c r="H989" s="279" t="s">
        <v>8766</v>
      </c>
    </row>
    <row r="990" spans="1:8" ht="24">
      <c r="A990" s="108" t="s">
        <v>10351</v>
      </c>
      <c r="B990" s="931" t="s">
        <v>1380</v>
      </c>
      <c r="C990" s="279" t="s">
        <v>1381</v>
      </c>
      <c r="D990" s="279" t="s">
        <v>1382</v>
      </c>
      <c r="E990" s="279" t="s">
        <v>1383</v>
      </c>
      <c r="F990" s="279" t="s">
        <v>1384</v>
      </c>
      <c r="G990" s="108">
        <f t="shared" si="15"/>
        <v>1</v>
      </c>
      <c r="H990" s="279" t="s">
        <v>8761</v>
      </c>
    </row>
    <row r="991" spans="1:8" ht="24">
      <c r="A991" s="108" t="s">
        <v>10351</v>
      </c>
      <c r="B991" s="931" t="s">
        <v>10461</v>
      </c>
      <c r="C991" s="279" t="s">
        <v>1342</v>
      </c>
      <c r="D991" s="279" t="s">
        <v>1343</v>
      </c>
      <c r="E991" s="279" t="s">
        <v>1344</v>
      </c>
      <c r="F991" s="279" t="s">
        <v>1437</v>
      </c>
      <c r="G991" s="108">
        <f t="shared" si="15"/>
        <v>2</v>
      </c>
      <c r="H991" s="279" t="s">
        <v>8764</v>
      </c>
    </row>
    <row r="992" spans="1:8" ht="24">
      <c r="A992" s="108" t="s">
        <v>10351</v>
      </c>
      <c r="B992" s="931" t="s">
        <v>10462</v>
      </c>
      <c r="C992" s="279">
        <v>1E-3</v>
      </c>
      <c r="D992" s="279">
        <v>0.01</v>
      </c>
      <c r="E992" s="279">
        <v>0.1</v>
      </c>
      <c r="F992" s="279" t="s">
        <v>4783</v>
      </c>
      <c r="G992" s="108">
        <f t="shared" si="15"/>
        <v>2</v>
      </c>
      <c r="H992" s="279" t="s">
        <v>8764</v>
      </c>
    </row>
    <row r="993" spans="1:8" ht="36">
      <c r="A993" s="108" t="s">
        <v>10351</v>
      </c>
      <c r="B993" s="931" t="s">
        <v>1446</v>
      </c>
      <c r="C993" s="279">
        <v>3</v>
      </c>
      <c r="D993" s="279">
        <v>5</v>
      </c>
      <c r="E993" s="279">
        <v>7</v>
      </c>
      <c r="F993" s="279" t="s">
        <v>1437</v>
      </c>
      <c r="G993" s="108">
        <f t="shared" si="15"/>
        <v>1</v>
      </c>
      <c r="H993" s="279" t="s">
        <v>8761</v>
      </c>
    </row>
    <row r="994" spans="1:8" ht="24">
      <c r="A994" s="108" t="s">
        <v>10351</v>
      </c>
      <c r="B994" s="931" t="s">
        <v>1429</v>
      </c>
      <c r="C994" s="279" t="s">
        <v>1425</v>
      </c>
      <c r="D994" s="279" t="s">
        <v>1426</v>
      </c>
      <c r="E994" s="279" t="s">
        <v>1427</v>
      </c>
      <c r="F994" s="279" t="s">
        <v>1430</v>
      </c>
      <c r="G994" s="108">
        <f t="shared" si="15"/>
        <v>2</v>
      </c>
      <c r="H994" s="279" t="s">
        <v>8764</v>
      </c>
    </row>
    <row r="995" spans="1:8" ht="36">
      <c r="A995" s="108" t="s">
        <v>10351</v>
      </c>
      <c r="B995" s="931" t="s">
        <v>10463</v>
      </c>
      <c r="C995" s="279" t="s">
        <v>1360</v>
      </c>
      <c r="D995" s="279" t="s">
        <v>1361</v>
      </c>
      <c r="E995" s="279" t="s">
        <v>1362</v>
      </c>
      <c r="F995" s="279" t="s">
        <v>1437</v>
      </c>
      <c r="G995" s="108">
        <f t="shared" si="15"/>
        <v>1</v>
      </c>
      <c r="H995" s="279" t="s">
        <v>8761</v>
      </c>
    </row>
    <row r="996" spans="1:8" ht="24">
      <c r="A996" s="108" t="s">
        <v>10351</v>
      </c>
      <c r="B996" s="931" t="s">
        <v>1375</v>
      </c>
      <c r="C996" s="279" t="s">
        <v>1376</v>
      </c>
      <c r="D996" s="279" t="s">
        <v>1377</v>
      </c>
      <c r="E996" s="279" t="s">
        <v>1378</v>
      </c>
      <c r="F996" s="279" t="s">
        <v>1379</v>
      </c>
      <c r="G996" s="108">
        <f t="shared" si="15"/>
        <v>4</v>
      </c>
      <c r="H996" s="279" t="s">
        <v>8763</v>
      </c>
    </row>
    <row r="997" spans="1:8" ht="24">
      <c r="A997" s="108" t="s">
        <v>10351</v>
      </c>
      <c r="B997" s="931" t="s">
        <v>10464</v>
      </c>
      <c r="C997" s="279" t="s">
        <v>1652</v>
      </c>
      <c r="D997" s="279" t="s">
        <v>1653</v>
      </c>
      <c r="E997" s="279" t="s">
        <v>1362</v>
      </c>
      <c r="F997" s="279" t="s">
        <v>328</v>
      </c>
      <c r="G997" s="108">
        <f t="shared" si="15"/>
        <v>1</v>
      </c>
      <c r="H997" s="279" t="s">
        <v>8761</v>
      </c>
    </row>
    <row r="998" spans="1:8" ht="24">
      <c r="A998" s="108" t="s">
        <v>10351</v>
      </c>
      <c r="B998" s="931" t="s">
        <v>1632</v>
      </c>
      <c r="C998" s="279" t="s">
        <v>1633</v>
      </c>
      <c r="D998" s="279" t="s">
        <v>1634</v>
      </c>
      <c r="E998" s="279" t="s">
        <v>1635</v>
      </c>
      <c r="F998" s="279" t="s">
        <v>1437</v>
      </c>
      <c r="G998" s="108">
        <f t="shared" si="15"/>
        <v>3</v>
      </c>
      <c r="H998" s="279" t="s">
        <v>8766</v>
      </c>
    </row>
    <row r="999" spans="1:8" ht="24">
      <c r="A999" s="108" t="s">
        <v>10351</v>
      </c>
      <c r="B999" s="931" t="s">
        <v>1564</v>
      </c>
      <c r="C999" s="279" t="s">
        <v>1565</v>
      </c>
      <c r="D999" s="279" t="s">
        <v>94</v>
      </c>
      <c r="E999" s="279" t="s">
        <v>95</v>
      </c>
      <c r="F999" s="279" t="s">
        <v>1437</v>
      </c>
      <c r="G999" s="108">
        <f t="shared" si="15"/>
        <v>3</v>
      </c>
      <c r="H999" s="279" t="s">
        <v>8766</v>
      </c>
    </row>
    <row r="1000" spans="1:8" ht="24">
      <c r="A1000" s="108" t="s">
        <v>10351</v>
      </c>
      <c r="B1000" s="931" t="s">
        <v>10465</v>
      </c>
      <c r="C1000" s="279">
        <v>10</v>
      </c>
      <c r="D1000" s="279">
        <v>15</v>
      </c>
      <c r="E1000" s="279">
        <v>25</v>
      </c>
      <c r="F1000" s="279">
        <v>30</v>
      </c>
      <c r="G1000" s="108">
        <f t="shared" si="15"/>
        <v>3</v>
      </c>
      <c r="H1000" s="279" t="s">
        <v>8766</v>
      </c>
    </row>
    <row r="1001" spans="1:8" ht="24">
      <c r="A1001" s="108" t="s">
        <v>10351</v>
      </c>
      <c r="B1001" s="931" t="s">
        <v>1578</v>
      </c>
      <c r="C1001" s="279" t="s">
        <v>1332</v>
      </c>
      <c r="D1001" s="279" t="s">
        <v>1579</v>
      </c>
      <c r="E1001" s="279" t="s">
        <v>1580</v>
      </c>
      <c r="F1001" s="279" t="s">
        <v>10466</v>
      </c>
      <c r="G1001" s="108">
        <f t="shared" si="15"/>
        <v>2</v>
      </c>
      <c r="H1001" s="279" t="s">
        <v>8764</v>
      </c>
    </row>
    <row r="1002" spans="1:8" ht="24">
      <c r="A1002" s="108" t="s">
        <v>10351</v>
      </c>
      <c r="B1002" s="931" t="s">
        <v>1452</v>
      </c>
      <c r="C1002" s="279" t="s">
        <v>1453</v>
      </c>
      <c r="D1002" s="279" t="s">
        <v>1454</v>
      </c>
      <c r="E1002" s="279" t="s">
        <v>1455</v>
      </c>
      <c r="F1002" s="279" t="s">
        <v>1437</v>
      </c>
      <c r="G1002" s="108">
        <f t="shared" si="15"/>
        <v>2</v>
      </c>
      <c r="H1002" s="279" t="s">
        <v>8764</v>
      </c>
    </row>
    <row r="1003" spans="1:8" ht="36">
      <c r="A1003" s="108" t="s">
        <v>10351</v>
      </c>
      <c r="B1003" s="931" t="s">
        <v>1392</v>
      </c>
      <c r="C1003" s="279" t="s">
        <v>1393</v>
      </c>
      <c r="D1003" s="279" t="s">
        <v>1394</v>
      </c>
      <c r="E1003" s="279" t="s">
        <v>1395</v>
      </c>
      <c r="F1003" s="279" t="s">
        <v>1437</v>
      </c>
      <c r="G1003" s="108">
        <f t="shared" si="15"/>
        <v>2</v>
      </c>
      <c r="H1003" s="279" t="s">
        <v>8764</v>
      </c>
    </row>
    <row r="1004" spans="1:8" ht="36">
      <c r="A1004" s="108" t="s">
        <v>10351</v>
      </c>
      <c r="B1004" s="931" t="s">
        <v>1447</v>
      </c>
      <c r="C1004" s="279" t="s">
        <v>1448</v>
      </c>
      <c r="D1004" s="279" t="s">
        <v>1449</v>
      </c>
      <c r="E1004" s="279" t="s">
        <v>1450</v>
      </c>
      <c r="F1004" s="279" t="s">
        <v>1451</v>
      </c>
      <c r="G1004" s="108">
        <f t="shared" si="15"/>
        <v>3</v>
      </c>
      <c r="H1004" s="279" t="s">
        <v>8766</v>
      </c>
    </row>
    <row r="1005" spans="1:8" ht="24">
      <c r="A1005" s="108" t="s">
        <v>10351</v>
      </c>
      <c r="B1005" s="931" t="s">
        <v>1515</v>
      </c>
      <c r="C1005" s="279" t="s">
        <v>1516</v>
      </c>
      <c r="D1005" s="279" t="s">
        <v>1517</v>
      </c>
      <c r="E1005" s="279" t="s">
        <v>1518</v>
      </c>
      <c r="F1005" s="284" t="s">
        <v>1519</v>
      </c>
      <c r="G1005" s="108">
        <f t="shared" si="15"/>
        <v>4</v>
      </c>
      <c r="H1005" s="279" t="s">
        <v>8763</v>
      </c>
    </row>
    <row r="1006" spans="1:8" ht="36">
      <c r="A1006" s="108" t="s">
        <v>10351</v>
      </c>
      <c r="B1006" s="931" t="s">
        <v>1647</v>
      </c>
      <c r="C1006" s="284" t="s">
        <v>1648</v>
      </c>
      <c r="D1006" s="279" t="s">
        <v>10467</v>
      </c>
      <c r="E1006" s="279" t="s">
        <v>1650</v>
      </c>
      <c r="F1006" s="279" t="s">
        <v>1437</v>
      </c>
      <c r="G1006" s="108">
        <f t="shared" si="15"/>
        <v>1</v>
      </c>
      <c r="H1006" s="279" t="s">
        <v>8761</v>
      </c>
    </row>
    <row r="1007" spans="1:8" ht="45">
      <c r="A1007" s="108" t="s">
        <v>10468</v>
      </c>
      <c r="B1007" s="706" t="s">
        <v>10469</v>
      </c>
      <c r="C1007" s="932" t="s">
        <v>10470</v>
      </c>
      <c r="D1007" s="866" t="s">
        <v>10471</v>
      </c>
      <c r="E1007" s="866" t="s">
        <v>10472</v>
      </c>
      <c r="F1007" s="866" t="s">
        <v>10473</v>
      </c>
      <c r="G1007" s="108">
        <f t="shared" si="15"/>
        <v>1</v>
      </c>
      <c r="H1007" s="672" t="s">
        <v>8761</v>
      </c>
    </row>
    <row r="1008" spans="1:8" ht="30">
      <c r="A1008" s="108" t="s">
        <v>10468</v>
      </c>
      <c r="B1008" s="706" t="s">
        <v>10474</v>
      </c>
      <c r="C1008" s="706" t="s">
        <v>10475</v>
      </c>
      <c r="D1008" s="706" t="s">
        <v>600</v>
      </c>
      <c r="E1008" s="706" t="s">
        <v>601</v>
      </c>
      <c r="F1008" s="725" t="s">
        <v>602</v>
      </c>
      <c r="G1008" s="108">
        <f t="shared" si="15"/>
        <v>4</v>
      </c>
      <c r="H1008" s="672" t="s">
        <v>8763</v>
      </c>
    </row>
    <row r="1009" spans="1:8">
      <c r="A1009" s="108" t="s">
        <v>10468</v>
      </c>
      <c r="B1009" s="706" t="s">
        <v>10476</v>
      </c>
      <c r="C1009" s="706" t="s">
        <v>525</v>
      </c>
      <c r="D1009" s="706" t="s">
        <v>526</v>
      </c>
      <c r="E1009" s="725" t="s">
        <v>527</v>
      </c>
      <c r="F1009" s="706" t="s">
        <v>528</v>
      </c>
      <c r="G1009" s="108">
        <f t="shared" si="15"/>
        <v>3</v>
      </c>
      <c r="H1009" s="672" t="s">
        <v>8766</v>
      </c>
    </row>
    <row r="1010" spans="1:8">
      <c r="A1010" s="108" t="s">
        <v>10468</v>
      </c>
      <c r="B1010" s="682" t="s">
        <v>10477</v>
      </c>
      <c r="C1010" s="682" t="s">
        <v>530</v>
      </c>
      <c r="D1010" s="682" t="s">
        <v>531</v>
      </c>
      <c r="E1010" s="725" t="s">
        <v>532</v>
      </c>
      <c r="F1010" s="682" t="s">
        <v>533</v>
      </c>
      <c r="G1010" s="108">
        <f t="shared" si="15"/>
        <v>3</v>
      </c>
      <c r="H1010" s="672" t="s">
        <v>8766</v>
      </c>
    </row>
    <row r="1011" spans="1:8">
      <c r="A1011" s="108" t="s">
        <v>10468</v>
      </c>
      <c r="B1011" s="682" t="s">
        <v>10478</v>
      </c>
      <c r="C1011" s="682" t="s">
        <v>535</v>
      </c>
      <c r="D1011" s="725" t="s">
        <v>536</v>
      </c>
      <c r="E1011" s="682" t="s">
        <v>537</v>
      </c>
      <c r="F1011" s="682" t="s">
        <v>538</v>
      </c>
      <c r="G1011" s="108">
        <f t="shared" si="15"/>
        <v>2</v>
      </c>
      <c r="H1011" s="672" t="s">
        <v>8764</v>
      </c>
    </row>
    <row r="1012" spans="1:8">
      <c r="A1012" s="108" t="s">
        <v>10468</v>
      </c>
      <c r="B1012" s="682" t="s">
        <v>10479</v>
      </c>
      <c r="C1012" s="682" t="s">
        <v>540</v>
      </c>
      <c r="D1012" s="682" t="s">
        <v>541</v>
      </c>
      <c r="E1012" s="725" t="s">
        <v>542</v>
      </c>
      <c r="F1012" s="682" t="s">
        <v>543</v>
      </c>
      <c r="G1012" s="108">
        <f t="shared" si="15"/>
        <v>3</v>
      </c>
      <c r="H1012" s="672" t="s">
        <v>8766</v>
      </c>
    </row>
    <row r="1013" spans="1:8" ht="90">
      <c r="A1013" s="108" t="s">
        <v>10468</v>
      </c>
      <c r="B1013" s="682" t="s">
        <v>10480</v>
      </c>
      <c r="C1013" s="682" t="s">
        <v>545</v>
      </c>
      <c r="D1013" s="725" t="s">
        <v>546</v>
      </c>
      <c r="E1013" s="682" t="s">
        <v>547</v>
      </c>
      <c r="F1013" s="682" t="s">
        <v>548</v>
      </c>
      <c r="G1013" s="108">
        <f t="shared" si="15"/>
        <v>2</v>
      </c>
      <c r="H1013" s="672" t="s">
        <v>8764</v>
      </c>
    </row>
    <row r="1014" spans="1:8" ht="45">
      <c r="A1014" s="108" t="s">
        <v>10468</v>
      </c>
      <c r="B1014" s="682" t="s">
        <v>10481</v>
      </c>
      <c r="C1014" s="682" t="s">
        <v>10482</v>
      </c>
      <c r="D1014" s="682" t="s">
        <v>10483</v>
      </c>
      <c r="E1014" s="725" t="s">
        <v>10484</v>
      </c>
      <c r="F1014" s="682" t="s">
        <v>10485</v>
      </c>
      <c r="G1014" s="108">
        <f t="shared" si="15"/>
        <v>3</v>
      </c>
      <c r="H1014" s="672" t="s">
        <v>8766</v>
      </c>
    </row>
    <row r="1015" spans="1:8">
      <c r="A1015" s="108" t="s">
        <v>10468</v>
      </c>
      <c r="B1015" s="682" t="s">
        <v>10486</v>
      </c>
      <c r="C1015" s="671" t="s">
        <v>74</v>
      </c>
      <c r="D1015" s="671" t="s">
        <v>266</v>
      </c>
      <c r="E1015" s="933" t="s">
        <v>174</v>
      </c>
      <c r="F1015" s="682" t="s">
        <v>550</v>
      </c>
      <c r="G1015" s="108">
        <f t="shared" si="15"/>
        <v>3</v>
      </c>
      <c r="H1015" s="672" t="s">
        <v>8766</v>
      </c>
    </row>
    <row r="1016" spans="1:8" ht="75">
      <c r="A1016" s="108" t="s">
        <v>10468</v>
      </c>
      <c r="B1016" s="682" t="s">
        <v>551</v>
      </c>
      <c r="C1016" s="682" t="s">
        <v>10487</v>
      </c>
      <c r="D1016" s="682" t="s">
        <v>553</v>
      </c>
      <c r="E1016" s="725" t="s">
        <v>554</v>
      </c>
      <c r="F1016" s="682" t="s">
        <v>555</v>
      </c>
      <c r="G1016" s="108">
        <f t="shared" si="15"/>
        <v>3</v>
      </c>
      <c r="H1016" s="672" t="s">
        <v>8766</v>
      </c>
    </row>
    <row r="1017" spans="1:8" ht="30">
      <c r="A1017" s="108" t="s">
        <v>10468</v>
      </c>
      <c r="B1017" s="682" t="s">
        <v>10488</v>
      </c>
      <c r="C1017" s="682" t="s">
        <v>10489</v>
      </c>
      <c r="D1017" s="725" t="s">
        <v>10490</v>
      </c>
      <c r="E1017" s="682" t="s">
        <v>10491</v>
      </c>
      <c r="F1017" s="682" t="s">
        <v>1000</v>
      </c>
      <c r="G1017" s="108">
        <f t="shared" si="15"/>
        <v>2</v>
      </c>
      <c r="H1017" s="672" t="s">
        <v>8764</v>
      </c>
    </row>
    <row r="1018" spans="1:8" ht="60">
      <c r="A1018" s="108" t="s">
        <v>10468</v>
      </c>
      <c r="B1018" s="682" t="s">
        <v>10492</v>
      </c>
      <c r="C1018" s="682" t="s">
        <v>10493</v>
      </c>
      <c r="D1018" s="725" t="s">
        <v>10494</v>
      </c>
      <c r="E1018" s="682" t="s">
        <v>10495</v>
      </c>
      <c r="F1018" s="671" t="s">
        <v>10496</v>
      </c>
      <c r="G1018" s="108">
        <f t="shared" si="15"/>
        <v>2</v>
      </c>
      <c r="H1018" s="672" t="s">
        <v>8764</v>
      </c>
    </row>
    <row r="1019" spans="1:8">
      <c r="A1019" s="108" t="s">
        <v>10468</v>
      </c>
      <c r="B1019" s="682" t="s">
        <v>10497</v>
      </c>
      <c r="C1019" s="682" t="s">
        <v>179</v>
      </c>
      <c r="D1019" s="725" t="s">
        <v>137</v>
      </c>
      <c r="E1019" s="682" t="s">
        <v>74</v>
      </c>
      <c r="F1019" s="682" t="s">
        <v>557</v>
      </c>
      <c r="G1019" s="108">
        <f t="shared" si="15"/>
        <v>2</v>
      </c>
      <c r="H1019" s="672" t="s">
        <v>8764</v>
      </c>
    </row>
    <row r="1020" spans="1:8">
      <c r="A1020" s="108" t="s">
        <v>10468</v>
      </c>
      <c r="B1020" s="682" t="s">
        <v>10498</v>
      </c>
      <c r="C1020" s="874" t="s">
        <v>179</v>
      </c>
      <c r="D1020" s="676" t="s">
        <v>137</v>
      </c>
      <c r="E1020" s="676" t="s">
        <v>174</v>
      </c>
      <c r="F1020" s="676" t="s">
        <v>74</v>
      </c>
      <c r="G1020" s="108">
        <f t="shared" si="15"/>
        <v>1</v>
      </c>
      <c r="H1020" s="672" t="s">
        <v>8761</v>
      </c>
    </row>
    <row r="1021" spans="1:8" ht="30">
      <c r="A1021" s="108" t="s">
        <v>10468</v>
      </c>
      <c r="B1021" s="676" t="s">
        <v>10499</v>
      </c>
      <c r="C1021" s="676" t="s">
        <v>10500</v>
      </c>
      <c r="D1021" s="874" t="s">
        <v>10501</v>
      </c>
      <c r="E1021" s="676" t="s">
        <v>562</v>
      </c>
      <c r="F1021" s="676" t="s">
        <v>563</v>
      </c>
      <c r="G1021" s="108">
        <f t="shared" si="15"/>
        <v>2</v>
      </c>
      <c r="H1021" s="672" t="s">
        <v>8764</v>
      </c>
    </row>
    <row r="1022" spans="1:8" ht="60">
      <c r="A1022" s="108" t="s">
        <v>10468</v>
      </c>
      <c r="B1022" s="676" t="s">
        <v>564</v>
      </c>
      <c r="C1022" s="676" t="s">
        <v>10502</v>
      </c>
      <c r="D1022" s="676" t="s">
        <v>10503</v>
      </c>
      <c r="E1022" s="874" t="s">
        <v>10504</v>
      </c>
      <c r="F1022" s="676" t="s">
        <v>10505</v>
      </c>
      <c r="G1022" s="108">
        <f t="shared" si="15"/>
        <v>3</v>
      </c>
      <c r="H1022" s="672" t="s">
        <v>8766</v>
      </c>
    </row>
    <row r="1023" spans="1:8">
      <c r="A1023" s="108" t="s">
        <v>10468</v>
      </c>
      <c r="B1023" s="676" t="s">
        <v>10506</v>
      </c>
      <c r="C1023" s="676" t="s">
        <v>10507</v>
      </c>
      <c r="D1023" s="874" t="s">
        <v>10508</v>
      </c>
      <c r="E1023" s="676" t="s">
        <v>10509</v>
      </c>
      <c r="F1023" s="676" t="s">
        <v>9155</v>
      </c>
      <c r="G1023" s="108">
        <f t="shared" si="15"/>
        <v>2</v>
      </c>
      <c r="H1023" s="672" t="s">
        <v>8764</v>
      </c>
    </row>
    <row r="1024" spans="1:8" ht="30">
      <c r="A1024" s="108" t="s">
        <v>10468</v>
      </c>
      <c r="B1024" s="676" t="s">
        <v>10510</v>
      </c>
      <c r="C1024" s="874" t="s">
        <v>570</v>
      </c>
      <c r="D1024" s="676" t="s">
        <v>571</v>
      </c>
      <c r="E1024" s="676" t="s">
        <v>452</v>
      </c>
      <c r="F1024" s="676" t="s">
        <v>572</v>
      </c>
      <c r="G1024" s="108">
        <f t="shared" si="15"/>
        <v>1</v>
      </c>
      <c r="H1024" s="672" t="s">
        <v>8761</v>
      </c>
    </row>
    <row r="1025" spans="1:8" ht="45">
      <c r="A1025" s="108" t="s">
        <v>10468</v>
      </c>
      <c r="B1025" s="676" t="s">
        <v>10511</v>
      </c>
      <c r="C1025" s="676" t="s">
        <v>574</v>
      </c>
      <c r="D1025" s="874" t="s">
        <v>575</v>
      </c>
      <c r="E1025" s="676" t="s">
        <v>576</v>
      </c>
      <c r="F1025" s="676" t="s">
        <v>577</v>
      </c>
      <c r="G1025" s="108">
        <f t="shared" si="15"/>
        <v>2</v>
      </c>
      <c r="H1025" s="672" t="s">
        <v>8764</v>
      </c>
    </row>
    <row r="1026" spans="1:8" ht="30">
      <c r="A1026" s="108" t="s">
        <v>10468</v>
      </c>
      <c r="B1026" s="676" t="s">
        <v>10512</v>
      </c>
      <c r="C1026" s="676" t="s">
        <v>579</v>
      </c>
      <c r="D1026" s="676" t="s">
        <v>580</v>
      </c>
      <c r="E1026" s="676" t="s">
        <v>581</v>
      </c>
      <c r="F1026" s="874" t="s">
        <v>582</v>
      </c>
      <c r="G1026" s="108">
        <f t="shared" si="15"/>
        <v>4</v>
      </c>
      <c r="H1026" s="672" t="s">
        <v>8763</v>
      </c>
    </row>
    <row r="1027" spans="1:8" ht="30">
      <c r="A1027" s="108" t="s">
        <v>10468</v>
      </c>
      <c r="B1027" s="671" t="s">
        <v>10513</v>
      </c>
      <c r="C1027" s="676" t="s">
        <v>584</v>
      </c>
      <c r="D1027" s="676" t="s">
        <v>585</v>
      </c>
      <c r="E1027" s="676" t="s">
        <v>586</v>
      </c>
      <c r="F1027" s="874" t="s">
        <v>587</v>
      </c>
      <c r="G1027" s="108">
        <f t="shared" ref="G1027:G1090" si="16">IF(H1027="A",1,IF(H1027="B",2,IF(H1027="C",3,IF(H1027="D",4,0))))</f>
        <v>4</v>
      </c>
      <c r="H1027" s="672" t="s">
        <v>8763</v>
      </c>
    </row>
    <row r="1028" spans="1:8" ht="45">
      <c r="A1028" s="108" t="s">
        <v>10468</v>
      </c>
      <c r="B1028" s="671" t="s">
        <v>10514</v>
      </c>
      <c r="C1028" s="671" t="s">
        <v>589</v>
      </c>
      <c r="D1028" s="671" t="s">
        <v>590</v>
      </c>
      <c r="E1028" s="671" t="s">
        <v>591</v>
      </c>
      <c r="F1028" s="933" t="s">
        <v>592</v>
      </c>
      <c r="G1028" s="108">
        <f t="shared" si="16"/>
        <v>4</v>
      </c>
      <c r="H1028" s="672" t="s">
        <v>8763</v>
      </c>
    </row>
    <row r="1029" spans="1:8" ht="45">
      <c r="A1029" s="108" t="s">
        <v>10468</v>
      </c>
      <c r="B1029" s="676" t="s">
        <v>593</v>
      </c>
      <c r="C1029" s="671" t="s">
        <v>594</v>
      </c>
      <c r="D1029" s="671" t="s">
        <v>595</v>
      </c>
      <c r="E1029" s="933" t="s">
        <v>10515</v>
      </c>
      <c r="F1029" s="671" t="s">
        <v>597</v>
      </c>
      <c r="G1029" s="108">
        <f t="shared" si="16"/>
        <v>3</v>
      </c>
      <c r="H1029" s="672" t="s">
        <v>8766</v>
      </c>
    </row>
    <row r="1030" spans="1:8" ht="105">
      <c r="A1030" s="108" t="s">
        <v>10468</v>
      </c>
      <c r="B1030" s="671" t="s">
        <v>10516</v>
      </c>
      <c r="C1030" s="671" t="s">
        <v>10517</v>
      </c>
      <c r="D1030" s="671" t="s">
        <v>10518</v>
      </c>
      <c r="E1030" s="671" t="s">
        <v>10519</v>
      </c>
      <c r="F1030" s="701" t="s">
        <v>10520</v>
      </c>
      <c r="G1030" s="108">
        <f t="shared" si="16"/>
        <v>4</v>
      </c>
      <c r="H1030" s="672" t="s">
        <v>8763</v>
      </c>
    </row>
    <row r="1031" spans="1:8">
      <c r="A1031" s="108" t="s">
        <v>10468</v>
      </c>
      <c r="B1031" s="934" t="s">
        <v>10521</v>
      </c>
      <c r="C1031" s="870" t="s">
        <v>10522</v>
      </c>
      <c r="D1031" s="870" t="s">
        <v>10523</v>
      </c>
      <c r="E1031" s="870" t="s">
        <v>10524</v>
      </c>
      <c r="F1031" s="874" t="s">
        <v>10525</v>
      </c>
      <c r="G1031" s="108">
        <f t="shared" si="16"/>
        <v>4</v>
      </c>
      <c r="H1031" s="870" t="s">
        <v>8763</v>
      </c>
    </row>
    <row r="1032" spans="1:8" ht="30">
      <c r="A1032" s="108" t="s">
        <v>10468</v>
      </c>
      <c r="B1032" s="870" t="s">
        <v>598</v>
      </c>
      <c r="C1032" s="870" t="s">
        <v>599</v>
      </c>
      <c r="D1032" s="870" t="s">
        <v>600</v>
      </c>
      <c r="E1032" s="870" t="s">
        <v>601</v>
      </c>
      <c r="F1032" s="874" t="s">
        <v>602</v>
      </c>
      <c r="G1032" s="108">
        <f t="shared" si="16"/>
        <v>4</v>
      </c>
      <c r="H1032" s="870" t="s">
        <v>8763</v>
      </c>
    </row>
    <row r="1033" spans="1:8">
      <c r="A1033" s="108" t="s">
        <v>10468</v>
      </c>
      <c r="B1033" s="870" t="s">
        <v>10526</v>
      </c>
      <c r="C1033" s="870" t="s">
        <v>10527</v>
      </c>
      <c r="D1033" s="870" t="s">
        <v>531</v>
      </c>
      <c r="E1033" s="874" t="s">
        <v>605</v>
      </c>
      <c r="F1033" s="870" t="s">
        <v>533</v>
      </c>
      <c r="G1033" s="108">
        <f t="shared" si="16"/>
        <v>3</v>
      </c>
      <c r="H1033" s="870" t="s">
        <v>8766</v>
      </c>
    </row>
    <row r="1034" spans="1:8">
      <c r="A1034" s="108" t="s">
        <v>10468</v>
      </c>
      <c r="B1034" s="870" t="s">
        <v>10528</v>
      </c>
      <c r="C1034" s="870" t="s">
        <v>607</v>
      </c>
      <c r="D1034" s="870" t="s">
        <v>608</v>
      </c>
      <c r="E1034" s="874" t="s">
        <v>609</v>
      </c>
      <c r="F1034" s="870" t="s">
        <v>610</v>
      </c>
      <c r="G1034" s="108">
        <f t="shared" si="16"/>
        <v>3</v>
      </c>
      <c r="H1034" s="870" t="s">
        <v>8766</v>
      </c>
    </row>
    <row r="1035" spans="1:8" ht="45">
      <c r="A1035" s="108" t="s">
        <v>10468</v>
      </c>
      <c r="B1035" s="870" t="s">
        <v>10529</v>
      </c>
      <c r="C1035" s="870" t="s">
        <v>10530</v>
      </c>
      <c r="D1035" s="874" t="s">
        <v>10531</v>
      </c>
      <c r="E1035" s="870" t="s">
        <v>10532</v>
      </c>
      <c r="F1035" s="870" t="s">
        <v>10533</v>
      </c>
      <c r="G1035" s="108">
        <f t="shared" si="16"/>
        <v>2</v>
      </c>
      <c r="H1035" s="870" t="s">
        <v>8764</v>
      </c>
    </row>
    <row r="1036" spans="1:8" ht="45">
      <c r="A1036" s="108" t="s">
        <v>10468</v>
      </c>
      <c r="B1036" s="870" t="s">
        <v>10534</v>
      </c>
      <c r="C1036" s="870" t="s">
        <v>10535</v>
      </c>
      <c r="D1036" s="870" t="s">
        <v>10536</v>
      </c>
      <c r="E1036" s="874" t="s">
        <v>10537</v>
      </c>
      <c r="F1036" s="870" t="s">
        <v>10538</v>
      </c>
      <c r="G1036" s="108">
        <f t="shared" si="16"/>
        <v>3</v>
      </c>
      <c r="H1036" s="870" t="s">
        <v>8766</v>
      </c>
    </row>
    <row r="1037" spans="1:8">
      <c r="A1037" s="108" t="s">
        <v>10468</v>
      </c>
      <c r="B1037" s="870" t="s">
        <v>10539</v>
      </c>
      <c r="C1037" s="870" t="s">
        <v>533</v>
      </c>
      <c r="D1037" s="874" t="s">
        <v>612</v>
      </c>
      <c r="E1037" s="870" t="s">
        <v>613</v>
      </c>
      <c r="F1037" s="870" t="s">
        <v>614</v>
      </c>
      <c r="G1037" s="108">
        <f t="shared" si="16"/>
        <v>2</v>
      </c>
      <c r="H1037" s="870" t="s">
        <v>8764</v>
      </c>
    </row>
    <row r="1038" spans="1:8">
      <c r="A1038" s="108" t="s">
        <v>8526</v>
      </c>
      <c r="B1038" s="935" t="s">
        <v>10540</v>
      </c>
      <c r="C1038" s="936" t="s">
        <v>1836</v>
      </c>
      <c r="D1038" s="937" t="s">
        <v>1837</v>
      </c>
      <c r="E1038" s="936" t="s">
        <v>1838</v>
      </c>
      <c r="F1038" s="936" t="s">
        <v>1839</v>
      </c>
      <c r="G1038" s="108">
        <f t="shared" si="16"/>
        <v>2</v>
      </c>
      <c r="H1038" s="279" t="s">
        <v>8764</v>
      </c>
    </row>
    <row r="1039" spans="1:8" ht="24">
      <c r="A1039" s="108" t="s">
        <v>8526</v>
      </c>
      <c r="B1039" s="938" t="s">
        <v>1850</v>
      </c>
      <c r="C1039" s="937" t="s">
        <v>1851</v>
      </c>
      <c r="D1039" s="936" t="s">
        <v>1852</v>
      </c>
      <c r="E1039" s="936" t="s">
        <v>1853</v>
      </c>
      <c r="F1039" s="936" t="s">
        <v>1854</v>
      </c>
      <c r="G1039" s="108">
        <f t="shared" si="16"/>
        <v>1</v>
      </c>
      <c r="H1039" s="279" t="s">
        <v>8761</v>
      </c>
    </row>
    <row r="1040" spans="1:8" ht="24">
      <c r="A1040" s="108" t="s">
        <v>8526</v>
      </c>
      <c r="B1040" s="935" t="s">
        <v>1845</v>
      </c>
      <c r="C1040" s="936" t="s">
        <v>10541</v>
      </c>
      <c r="D1040" s="937" t="s">
        <v>10542</v>
      </c>
      <c r="E1040" s="936" t="s">
        <v>1848</v>
      </c>
      <c r="F1040" s="936" t="s">
        <v>1849</v>
      </c>
      <c r="G1040" s="108">
        <f t="shared" si="16"/>
        <v>2</v>
      </c>
      <c r="H1040" s="279" t="s">
        <v>8764</v>
      </c>
    </row>
    <row r="1041" spans="1:8" ht="36">
      <c r="A1041" s="108" t="s">
        <v>8526</v>
      </c>
      <c r="B1041" s="935" t="s">
        <v>10543</v>
      </c>
      <c r="C1041" s="936" t="s">
        <v>10544</v>
      </c>
      <c r="D1041" s="936" t="s">
        <v>10545</v>
      </c>
      <c r="E1041" s="937" t="s">
        <v>10546</v>
      </c>
      <c r="F1041" s="279" t="s">
        <v>8765</v>
      </c>
      <c r="G1041" s="108">
        <f t="shared" si="16"/>
        <v>3</v>
      </c>
      <c r="H1041" s="279" t="s">
        <v>8766</v>
      </c>
    </row>
    <row r="1042" spans="1:8">
      <c r="A1042" s="108" t="s">
        <v>8526</v>
      </c>
      <c r="B1042" s="935" t="s">
        <v>10547</v>
      </c>
      <c r="C1042" s="937" t="s">
        <v>1841</v>
      </c>
      <c r="D1042" s="936" t="s">
        <v>1842</v>
      </c>
      <c r="E1042" s="936" t="s">
        <v>1843</v>
      </c>
      <c r="F1042" s="936" t="s">
        <v>1844</v>
      </c>
      <c r="G1042" s="108">
        <f t="shared" si="16"/>
        <v>1</v>
      </c>
      <c r="H1042" s="279" t="s">
        <v>8761</v>
      </c>
    </row>
    <row r="1043" spans="1:8" ht="24">
      <c r="A1043" s="108" t="s">
        <v>8526</v>
      </c>
      <c r="B1043" s="935" t="s">
        <v>10548</v>
      </c>
      <c r="C1043" s="279" t="s">
        <v>1826</v>
      </c>
      <c r="D1043" s="937" t="s">
        <v>1827</v>
      </c>
      <c r="E1043" s="936" t="s">
        <v>1828</v>
      </c>
      <c r="F1043" s="936" t="s">
        <v>1829</v>
      </c>
      <c r="G1043" s="108">
        <f t="shared" si="16"/>
        <v>2</v>
      </c>
      <c r="H1043" s="279" t="s">
        <v>8764</v>
      </c>
    </row>
    <row r="1044" spans="1:8" ht="24">
      <c r="A1044" s="108" t="s">
        <v>8526</v>
      </c>
      <c r="B1044" s="935" t="s">
        <v>1855</v>
      </c>
      <c r="C1044" s="937" t="s">
        <v>1856</v>
      </c>
      <c r="D1044" s="936" t="s">
        <v>1857</v>
      </c>
      <c r="E1044" s="936" t="s">
        <v>1858</v>
      </c>
      <c r="F1044" s="936" t="s">
        <v>10549</v>
      </c>
      <c r="G1044" s="108">
        <f t="shared" si="16"/>
        <v>1</v>
      </c>
      <c r="H1044" s="279" t="s">
        <v>8761</v>
      </c>
    </row>
    <row r="1045" spans="1:8" ht="36">
      <c r="A1045" s="108" t="s">
        <v>8526</v>
      </c>
      <c r="B1045" s="935" t="s">
        <v>10550</v>
      </c>
      <c r="C1045" s="279" t="s">
        <v>10551</v>
      </c>
      <c r="D1045" s="284" t="s">
        <v>10552</v>
      </c>
      <c r="E1045" s="279" t="s">
        <v>10553</v>
      </c>
      <c r="F1045" s="279" t="s">
        <v>8765</v>
      </c>
      <c r="G1045" s="108">
        <f t="shared" si="16"/>
        <v>2</v>
      </c>
      <c r="H1045" s="279" t="s">
        <v>8764</v>
      </c>
    </row>
    <row r="1046" spans="1:8" ht="48">
      <c r="A1046" s="108" t="s">
        <v>8526</v>
      </c>
      <c r="B1046" s="935" t="s">
        <v>1865</v>
      </c>
      <c r="C1046" s="937" t="s">
        <v>1866</v>
      </c>
      <c r="D1046" s="936" t="s">
        <v>1867</v>
      </c>
      <c r="E1046" s="936" t="s">
        <v>1868</v>
      </c>
      <c r="F1046" s="936" t="s">
        <v>1869</v>
      </c>
      <c r="G1046" s="108">
        <f t="shared" si="16"/>
        <v>1</v>
      </c>
      <c r="H1046" s="279" t="s">
        <v>8761</v>
      </c>
    </row>
    <row r="1047" spans="1:8" ht="48">
      <c r="A1047" s="108" t="s">
        <v>8526</v>
      </c>
      <c r="B1047" s="935" t="s">
        <v>1860</v>
      </c>
      <c r="C1047" s="937" t="s">
        <v>1861</v>
      </c>
      <c r="D1047" s="936" t="s">
        <v>1862</v>
      </c>
      <c r="E1047" s="936" t="s">
        <v>1863</v>
      </c>
      <c r="F1047" s="936" t="s">
        <v>1864</v>
      </c>
      <c r="G1047" s="108">
        <f t="shared" si="16"/>
        <v>1</v>
      </c>
      <c r="H1047" s="279" t="s">
        <v>8761</v>
      </c>
    </row>
    <row r="1048" spans="1:8" ht="24">
      <c r="A1048" s="108" t="s">
        <v>7414</v>
      </c>
      <c r="B1048" s="939" t="s">
        <v>10554</v>
      </c>
      <c r="C1048" s="939" t="s">
        <v>10555</v>
      </c>
      <c r="D1048" s="939" t="s">
        <v>10556</v>
      </c>
      <c r="E1048" s="939" t="s">
        <v>10557</v>
      </c>
      <c r="F1048" s="940" t="s">
        <v>10558</v>
      </c>
      <c r="G1048" s="108">
        <f t="shared" si="16"/>
        <v>4</v>
      </c>
      <c r="H1048" s="941" t="s">
        <v>8763</v>
      </c>
    </row>
    <row r="1049" spans="1:8" ht="24">
      <c r="A1049" s="108" t="s">
        <v>7414</v>
      </c>
      <c r="B1049" s="939" t="s">
        <v>10559</v>
      </c>
      <c r="C1049" s="939" t="s">
        <v>1929</v>
      </c>
      <c r="D1049" s="940" t="s">
        <v>1930</v>
      </c>
      <c r="E1049" s="939" t="s">
        <v>1931</v>
      </c>
      <c r="F1049" s="939" t="s">
        <v>10560</v>
      </c>
      <c r="G1049" s="108">
        <f t="shared" si="16"/>
        <v>2</v>
      </c>
      <c r="H1049" s="941" t="s">
        <v>8764</v>
      </c>
    </row>
    <row r="1050" spans="1:8" ht="24">
      <c r="A1050" s="108" t="s">
        <v>7414</v>
      </c>
      <c r="B1050" s="939" t="s">
        <v>10561</v>
      </c>
      <c r="C1050" s="939" t="s">
        <v>10562</v>
      </c>
      <c r="D1050" s="939" t="s">
        <v>10563</v>
      </c>
      <c r="E1050" s="939" t="s">
        <v>10564</v>
      </c>
      <c r="F1050" s="940" t="s">
        <v>1869</v>
      </c>
      <c r="G1050" s="108">
        <f t="shared" si="16"/>
        <v>4</v>
      </c>
      <c r="H1050" s="941" t="s">
        <v>8763</v>
      </c>
    </row>
    <row r="1051" spans="1:8" ht="36">
      <c r="A1051" s="108" t="s">
        <v>7414</v>
      </c>
      <c r="B1051" s="939" t="s">
        <v>10565</v>
      </c>
      <c r="C1051" s="939" t="s">
        <v>1943</v>
      </c>
      <c r="D1051" s="939" t="s">
        <v>1944</v>
      </c>
      <c r="E1051" s="940" t="s">
        <v>1945</v>
      </c>
      <c r="F1051" s="939" t="s">
        <v>328</v>
      </c>
      <c r="G1051" s="108">
        <f t="shared" si="16"/>
        <v>3</v>
      </c>
      <c r="H1051" s="941" t="s">
        <v>8766</v>
      </c>
    </row>
    <row r="1052" spans="1:8" ht="48">
      <c r="A1052" s="108" t="s">
        <v>7414</v>
      </c>
      <c r="B1052" s="939" t="s">
        <v>10566</v>
      </c>
      <c r="C1052" s="939" t="s">
        <v>1929</v>
      </c>
      <c r="D1052" s="939" t="s">
        <v>1930</v>
      </c>
      <c r="E1052" s="939" t="s">
        <v>1952</v>
      </c>
      <c r="F1052" s="940" t="s">
        <v>1953</v>
      </c>
      <c r="G1052" s="108">
        <f t="shared" si="16"/>
        <v>4</v>
      </c>
      <c r="H1052" s="941" t="s">
        <v>8763</v>
      </c>
    </row>
    <row r="1053" spans="1:8" ht="24">
      <c r="A1053" s="108" t="s">
        <v>7414</v>
      </c>
      <c r="B1053" s="939" t="s">
        <v>10567</v>
      </c>
      <c r="C1053" s="939" t="s">
        <v>1955</v>
      </c>
      <c r="D1053" s="940" t="s">
        <v>1956</v>
      </c>
      <c r="E1053" s="939" t="s">
        <v>1957</v>
      </c>
      <c r="F1053" s="939" t="s">
        <v>1958</v>
      </c>
      <c r="G1053" s="108">
        <f t="shared" si="16"/>
        <v>2</v>
      </c>
      <c r="H1053" s="941" t="s">
        <v>8764</v>
      </c>
    </row>
    <row r="1054" spans="1:8" ht="24">
      <c r="A1054" s="108" t="s">
        <v>7414</v>
      </c>
      <c r="B1054" s="939" t="s">
        <v>10568</v>
      </c>
      <c r="C1054" s="940">
        <v>0.04</v>
      </c>
      <c r="D1054" s="939">
        <v>0.02</v>
      </c>
      <c r="E1054" s="939">
        <v>0.03</v>
      </c>
      <c r="F1054" s="939">
        <v>0.05</v>
      </c>
      <c r="G1054" s="108">
        <f t="shared" si="16"/>
        <v>1</v>
      </c>
      <c r="H1054" s="941" t="s">
        <v>8761</v>
      </c>
    </row>
    <row r="1055" spans="1:8" ht="72">
      <c r="A1055" s="108" t="s">
        <v>7414</v>
      </c>
      <c r="B1055" s="886" t="s">
        <v>10569</v>
      </c>
      <c r="C1055" s="887" t="s">
        <v>10570</v>
      </c>
      <c r="D1055" s="886" t="s">
        <v>10571</v>
      </c>
      <c r="E1055" s="886" t="s">
        <v>10572</v>
      </c>
      <c r="F1055" s="886" t="s">
        <v>10573</v>
      </c>
      <c r="G1055" s="108">
        <f t="shared" si="16"/>
        <v>1</v>
      </c>
      <c r="H1055" s="889" t="s">
        <v>8761</v>
      </c>
    </row>
    <row r="1056" spans="1:8" ht="48">
      <c r="A1056" s="108" t="s">
        <v>7414</v>
      </c>
      <c r="B1056" s="886" t="s">
        <v>10574</v>
      </c>
      <c r="C1056" s="886" t="s">
        <v>1947</v>
      </c>
      <c r="D1056" s="886" t="s">
        <v>1948</v>
      </c>
      <c r="E1056" s="887" t="s">
        <v>1949</v>
      </c>
      <c r="F1056" s="886" t="s">
        <v>1950</v>
      </c>
      <c r="G1056" s="108">
        <f t="shared" si="16"/>
        <v>3</v>
      </c>
      <c r="H1056" s="889" t="s">
        <v>8766</v>
      </c>
    </row>
    <row r="1057" spans="1:8" ht="48">
      <c r="A1057" s="108" t="s">
        <v>7414</v>
      </c>
      <c r="B1057" s="886" t="s">
        <v>10575</v>
      </c>
      <c r="C1057" s="886" t="s">
        <v>10576</v>
      </c>
      <c r="D1057" s="887" t="s">
        <v>10577</v>
      </c>
      <c r="E1057" s="886" t="s">
        <v>10578</v>
      </c>
      <c r="F1057" s="886" t="s">
        <v>10579</v>
      </c>
      <c r="G1057" s="108">
        <f t="shared" si="16"/>
        <v>2</v>
      </c>
      <c r="H1057" s="922" t="s">
        <v>8764</v>
      </c>
    </row>
    <row r="1058" spans="1:8" ht="36">
      <c r="A1058" s="108" t="s">
        <v>7414</v>
      </c>
      <c r="B1058" s="886" t="s">
        <v>10580</v>
      </c>
      <c r="C1058" s="886" t="s">
        <v>1531</v>
      </c>
      <c r="D1058" s="886" t="s">
        <v>1532</v>
      </c>
      <c r="E1058" s="886" t="s">
        <v>1533</v>
      </c>
      <c r="F1058" s="887" t="s">
        <v>1534</v>
      </c>
      <c r="G1058" s="108">
        <f t="shared" si="16"/>
        <v>4</v>
      </c>
      <c r="H1058" s="922" t="s">
        <v>8763</v>
      </c>
    </row>
    <row r="1059" spans="1:8" ht="24">
      <c r="A1059" s="108" t="s">
        <v>7414</v>
      </c>
      <c r="B1059" s="886" t="s">
        <v>10581</v>
      </c>
      <c r="C1059" s="887" t="s">
        <v>1545</v>
      </c>
      <c r="D1059" s="886" t="s">
        <v>1546</v>
      </c>
      <c r="E1059" s="886" t="s">
        <v>1547</v>
      </c>
      <c r="F1059" s="886" t="s">
        <v>10582</v>
      </c>
      <c r="G1059" s="108">
        <f t="shared" si="16"/>
        <v>1</v>
      </c>
      <c r="H1059" s="889" t="s">
        <v>8761</v>
      </c>
    </row>
    <row r="1060" spans="1:8" ht="48">
      <c r="A1060" s="108" t="s">
        <v>7414</v>
      </c>
      <c r="B1060" s="886" t="s">
        <v>10583</v>
      </c>
      <c r="C1060" s="887" t="s">
        <v>10584</v>
      </c>
      <c r="D1060" s="886" t="s">
        <v>10585</v>
      </c>
      <c r="E1060" s="886" t="s">
        <v>10586</v>
      </c>
      <c r="F1060" s="886" t="s">
        <v>209</v>
      </c>
      <c r="G1060" s="108">
        <f t="shared" si="16"/>
        <v>1</v>
      </c>
      <c r="H1060" s="889" t="s">
        <v>8761</v>
      </c>
    </row>
    <row r="1061" spans="1:8" ht="24">
      <c r="A1061" s="108" t="s">
        <v>7414</v>
      </c>
      <c r="B1061" s="942" t="s">
        <v>1918</v>
      </c>
      <c r="C1061" s="942" t="s">
        <v>1919</v>
      </c>
      <c r="D1061" s="942" t="s">
        <v>1920</v>
      </c>
      <c r="E1061" s="942" t="s">
        <v>1921</v>
      </c>
      <c r="F1061" s="943" t="s">
        <v>1922</v>
      </c>
      <c r="G1061" s="108">
        <f t="shared" si="16"/>
        <v>4</v>
      </c>
      <c r="H1061" s="944" t="s">
        <v>8763</v>
      </c>
    </row>
    <row r="1062" spans="1:8" ht="24">
      <c r="A1062" s="108" t="s">
        <v>7414</v>
      </c>
      <c r="B1062" s="942" t="s">
        <v>1928</v>
      </c>
      <c r="C1062" s="942" t="s">
        <v>1929</v>
      </c>
      <c r="D1062" s="943" t="s">
        <v>1930</v>
      </c>
      <c r="E1062" s="942" t="s">
        <v>1931</v>
      </c>
      <c r="F1062" s="942" t="s">
        <v>1932</v>
      </c>
      <c r="G1062" s="108">
        <f t="shared" si="16"/>
        <v>2</v>
      </c>
      <c r="H1062" s="944" t="s">
        <v>8764</v>
      </c>
    </row>
    <row r="1063" spans="1:8" ht="24">
      <c r="A1063" s="108" t="s">
        <v>7414</v>
      </c>
      <c r="B1063" s="942" t="s">
        <v>1954</v>
      </c>
      <c r="C1063" s="942" t="s">
        <v>1955</v>
      </c>
      <c r="D1063" s="943" t="s">
        <v>1956</v>
      </c>
      <c r="E1063" s="942" t="s">
        <v>1957</v>
      </c>
      <c r="F1063" s="942" t="s">
        <v>1958</v>
      </c>
      <c r="G1063" s="108">
        <f t="shared" si="16"/>
        <v>2</v>
      </c>
      <c r="H1063" s="942" t="s">
        <v>8764</v>
      </c>
    </row>
    <row r="1064" spans="1:8" ht="24">
      <c r="A1064" s="108" t="s">
        <v>7414</v>
      </c>
      <c r="B1064" s="942" t="s">
        <v>1959</v>
      </c>
      <c r="C1064" s="942" t="s">
        <v>1960</v>
      </c>
      <c r="D1064" s="942" t="s">
        <v>1961</v>
      </c>
      <c r="E1064" s="943" t="s">
        <v>1962</v>
      </c>
      <c r="F1064" s="942" t="s">
        <v>1963</v>
      </c>
      <c r="G1064" s="108">
        <f t="shared" si="16"/>
        <v>3</v>
      </c>
      <c r="H1064" s="942" t="s">
        <v>8766</v>
      </c>
    </row>
    <row r="1065" spans="1:8">
      <c r="A1065" s="108" t="s">
        <v>7414</v>
      </c>
      <c r="B1065" s="942" t="s">
        <v>1974</v>
      </c>
      <c r="C1065" s="942" t="s">
        <v>1975</v>
      </c>
      <c r="D1065" s="943" t="s">
        <v>1976</v>
      </c>
      <c r="E1065" s="942" t="s">
        <v>1977</v>
      </c>
      <c r="F1065" s="942" t="s">
        <v>1978</v>
      </c>
      <c r="G1065" s="108">
        <f t="shared" si="16"/>
        <v>2</v>
      </c>
      <c r="H1065" s="942" t="s">
        <v>8764</v>
      </c>
    </row>
    <row r="1066" spans="1:8" ht="36">
      <c r="A1066" s="108" t="s">
        <v>7414</v>
      </c>
      <c r="B1066" s="942" t="s">
        <v>10587</v>
      </c>
      <c r="C1066" s="942" t="s">
        <v>1992</v>
      </c>
      <c r="D1066" s="943" t="s">
        <v>1993</v>
      </c>
      <c r="E1066" s="942" t="s">
        <v>1994</v>
      </c>
      <c r="F1066" s="942" t="s">
        <v>1995</v>
      </c>
      <c r="G1066" s="108">
        <f t="shared" si="16"/>
        <v>2</v>
      </c>
      <c r="H1066" s="944" t="s">
        <v>8764</v>
      </c>
    </row>
    <row r="1067" spans="1:8" ht="36">
      <c r="A1067" s="108" t="s">
        <v>7414</v>
      </c>
      <c r="B1067" s="942" t="s">
        <v>2027</v>
      </c>
      <c r="C1067" s="942" t="s">
        <v>2028</v>
      </c>
      <c r="D1067" s="942" t="s">
        <v>2029</v>
      </c>
      <c r="E1067" s="942" t="s">
        <v>2030</v>
      </c>
      <c r="F1067" s="943" t="s">
        <v>2031</v>
      </c>
      <c r="G1067" s="108">
        <f t="shared" si="16"/>
        <v>4</v>
      </c>
      <c r="H1067" s="944" t="s">
        <v>8763</v>
      </c>
    </row>
    <row r="1068" spans="1:8">
      <c r="A1068" s="108" t="s">
        <v>7414</v>
      </c>
      <c r="B1068" s="942" t="s">
        <v>2037</v>
      </c>
      <c r="C1068" s="942" t="s">
        <v>2038</v>
      </c>
      <c r="D1068" s="943" t="s">
        <v>2039</v>
      </c>
      <c r="E1068" s="942" t="s">
        <v>2040</v>
      </c>
      <c r="F1068" s="942" t="s">
        <v>61</v>
      </c>
      <c r="G1068" s="108">
        <f t="shared" si="16"/>
        <v>2</v>
      </c>
      <c r="H1068" s="944" t="s">
        <v>8764</v>
      </c>
    </row>
    <row r="1069" spans="1:8" ht="24">
      <c r="A1069" s="108" t="s">
        <v>7414</v>
      </c>
      <c r="B1069" s="942" t="s">
        <v>2051</v>
      </c>
      <c r="C1069" s="942" t="s">
        <v>2052</v>
      </c>
      <c r="D1069" s="943" t="s">
        <v>2053</v>
      </c>
      <c r="E1069" s="942" t="s">
        <v>2054</v>
      </c>
      <c r="F1069" s="942" t="s">
        <v>2055</v>
      </c>
      <c r="G1069" s="108">
        <f t="shared" si="16"/>
        <v>2</v>
      </c>
      <c r="H1069" s="944" t="s">
        <v>8764</v>
      </c>
    </row>
    <row r="1070" spans="1:8">
      <c r="A1070" s="108" t="s">
        <v>7414</v>
      </c>
      <c r="B1070" s="942" t="s">
        <v>2056</v>
      </c>
      <c r="C1070" s="942" t="s">
        <v>557</v>
      </c>
      <c r="D1070" s="942" t="s">
        <v>179</v>
      </c>
      <c r="E1070" s="943" t="s">
        <v>76</v>
      </c>
      <c r="F1070" s="942" t="s">
        <v>73</v>
      </c>
      <c r="G1070" s="108">
        <f t="shared" si="16"/>
        <v>3</v>
      </c>
      <c r="H1070" s="944" t="s">
        <v>8766</v>
      </c>
    </row>
    <row r="1071" spans="1:8">
      <c r="A1071" s="108" t="s">
        <v>7414</v>
      </c>
      <c r="B1071" s="942" t="s">
        <v>2075</v>
      </c>
      <c r="C1071" s="942" t="s">
        <v>2076</v>
      </c>
      <c r="D1071" s="942" t="s">
        <v>2077</v>
      </c>
      <c r="E1071" s="943" t="s">
        <v>2078</v>
      </c>
      <c r="F1071" s="942" t="s">
        <v>61</v>
      </c>
      <c r="G1071" s="108">
        <f t="shared" si="16"/>
        <v>3</v>
      </c>
      <c r="H1071" s="944" t="s">
        <v>8766</v>
      </c>
    </row>
    <row r="1072" spans="1:8" ht="30">
      <c r="A1072" s="108" t="s">
        <v>10588</v>
      </c>
      <c r="B1072" s="866" t="s">
        <v>2221</v>
      </c>
      <c r="C1072" s="866" t="s">
        <v>2222</v>
      </c>
      <c r="D1072" s="866" t="s">
        <v>2204</v>
      </c>
      <c r="E1072" s="866" t="s">
        <v>2203</v>
      </c>
      <c r="F1072" s="932" t="s">
        <v>2223</v>
      </c>
      <c r="G1072" s="108">
        <f t="shared" si="16"/>
        <v>4</v>
      </c>
      <c r="H1072" s="945" t="s">
        <v>8763</v>
      </c>
    </row>
    <row r="1073" spans="1:8" ht="45">
      <c r="A1073" s="108" t="s">
        <v>10588</v>
      </c>
      <c r="B1073" s="866" t="s">
        <v>2211</v>
      </c>
      <c r="C1073" s="866" t="s">
        <v>2212</v>
      </c>
      <c r="D1073" s="866" t="s">
        <v>2213</v>
      </c>
      <c r="E1073" s="866" t="s">
        <v>2214</v>
      </c>
      <c r="F1073" s="932" t="s">
        <v>3102</v>
      </c>
      <c r="G1073" s="108">
        <f t="shared" si="16"/>
        <v>4</v>
      </c>
      <c r="H1073" s="945" t="s">
        <v>8763</v>
      </c>
    </row>
    <row r="1074" spans="1:8" ht="30">
      <c r="A1074" s="108" t="s">
        <v>10588</v>
      </c>
      <c r="B1074" s="866" t="s">
        <v>2229</v>
      </c>
      <c r="C1074" s="932" t="s">
        <v>179</v>
      </c>
      <c r="D1074" s="866" t="s">
        <v>557</v>
      </c>
      <c r="E1074" s="866" t="s">
        <v>137</v>
      </c>
      <c r="F1074" s="866" t="s">
        <v>76</v>
      </c>
      <c r="G1074" s="108">
        <f t="shared" si="16"/>
        <v>1</v>
      </c>
      <c r="H1074" s="945" t="s">
        <v>8761</v>
      </c>
    </row>
    <row r="1075" spans="1:8" ht="30">
      <c r="A1075" s="108" t="s">
        <v>10588</v>
      </c>
      <c r="B1075" s="866" t="s">
        <v>10589</v>
      </c>
      <c r="C1075" s="866" t="s">
        <v>179</v>
      </c>
      <c r="D1075" s="932" t="s">
        <v>557</v>
      </c>
      <c r="E1075" s="866" t="s">
        <v>137</v>
      </c>
      <c r="F1075" s="866" t="s">
        <v>76</v>
      </c>
      <c r="G1075" s="108">
        <f t="shared" si="16"/>
        <v>2</v>
      </c>
      <c r="H1075" s="945" t="s">
        <v>8764</v>
      </c>
    </row>
    <row r="1076" spans="1:8" ht="30">
      <c r="A1076" s="108" t="s">
        <v>10588</v>
      </c>
      <c r="B1076" s="866" t="s">
        <v>10590</v>
      </c>
      <c r="C1076" s="866">
        <v>1</v>
      </c>
      <c r="D1076" s="866">
        <v>3</v>
      </c>
      <c r="E1076" s="932">
        <v>2</v>
      </c>
      <c r="F1076" s="866">
        <v>4</v>
      </c>
      <c r="G1076" s="108">
        <f t="shared" si="16"/>
        <v>3</v>
      </c>
      <c r="H1076" s="945" t="s">
        <v>8766</v>
      </c>
    </row>
    <row r="1077" spans="1:8" ht="45">
      <c r="A1077" s="108" t="s">
        <v>10588</v>
      </c>
      <c r="B1077" s="866" t="s">
        <v>2205</v>
      </c>
      <c r="C1077" s="866" t="s">
        <v>2206</v>
      </c>
      <c r="D1077" s="932" t="s">
        <v>2207</v>
      </c>
      <c r="E1077" s="866" t="s">
        <v>2208</v>
      </c>
      <c r="F1077" s="866" t="s">
        <v>2209</v>
      </c>
      <c r="G1077" s="108">
        <f t="shared" si="16"/>
        <v>2</v>
      </c>
      <c r="H1077" s="945" t="s">
        <v>8764</v>
      </c>
    </row>
    <row r="1078" spans="1:8" ht="60">
      <c r="A1078" s="108" t="s">
        <v>10588</v>
      </c>
      <c r="B1078" s="866" t="s">
        <v>2224</v>
      </c>
      <c r="C1078" s="866" t="s">
        <v>2225</v>
      </c>
      <c r="D1078" s="866" t="s">
        <v>2226</v>
      </c>
      <c r="E1078" s="866" t="s">
        <v>2227</v>
      </c>
      <c r="F1078" s="932" t="s">
        <v>2228</v>
      </c>
      <c r="G1078" s="108">
        <f t="shared" si="16"/>
        <v>4</v>
      </c>
      <c r="H1078" s="946" t="s">
        <v>8763</v>
      </c>
    </row>
    <row r="1079" spans="1:8" ht="45">
      <c r="A1079" s="108" t="s">
        <v>10588</v>
      </c>
      <c r="B1079" s="866" t="s">
        <v>2200</v>
      </c>
      <c r="C1079" s="866" t="s">
        <v>2201</v>
      </c>
      <c r="D1079" s="932" t="s">
        <v>2202</v>
      </c>
      <c r="E1079" s="866" t="s">
        <v>2203</v>
      </c>
      <c r="F1079" s="866" t="s">
        <v>2204</v>
      </c>
      <c r="G1079" s="108">
        <f t="shared" si="16"/>
        <v>2</v>
      </c>
      <c r="H1079" s="945" t="s">
        <v>8764</v>
      </c>
    </row>
    <row r="1080" spans="1:8" ht="45">
      <c r="A1080" s="108" t="s">
        <v>10588</v>
      </c>
      <c r="B1080" s="866" t="s">
        <v>10591</v>
      </c>
      <c r="C1080" s="866" t="s">
        <v>2217</v>
      </c>
      <c r="D1080" s="866" t="s">
        <v>2218</v>
      </c>
      <c r="E1080" s="866" t="s">
        <v>2219</v>
      </c>
      <c r="F1080" s="932" t="s">
        <v>2220</v>
      </c>
      <c r="G1080" s="108">
        <f t="shared" si="16"/>
        <v>4</v>
      </c>
      <c r="H1080" s="945" t="s">
        <v>8763</v>
      </c>
    </row>
    <row r="1081" spans="1:8" ht="25.5">
      <c r="A1081" s="108" t="s">
        <v>10592</v>
      </c>
      <c r="B1081" s="947" t="s">
        <v>10593</v>
      </c>
      <c r="C1081" s="947" t="s">
        <v>993</v>
      </c>
      <c r="D1081" s="947" t="s">
        <v>995</v>
      </c>
      <c r="E1081" s="947" t="s">
        <v>2279</v>
      </c>
      <c r="F1081" s="947" t="s">
        <v>2120</v>
      </c>
      <c r="G1081" s="108">
        <f t="shared" si="16"/>
        <v>2</v>
      </c>
      <c r="H1081" s="843" t="s">
        <v>8764</v>
      </c>
    </row>
    <row r="1082" spans="1:8" ht="38.25">
      <c r="A1082" s="108" t="s">
        <v>10592</v>
      </c>
      <c r="B1082" s="798" t="s">
        <v>2280</v>
      </c>
      <c r="C1082" s="947" t="s">
        <v>2281</v>
      </c>
      <c r="D1082" s="947" t="s">
        <v>2282</v>
      </c>
      <c r="E1082" s="947" t="s">
        <v>2283</v>
      </c>
      <c r="F1082" s="947" t="s">
        <v>2284</v>
      </c>
      <c r="G1082" s="108">
        <f t="shared" si="16"/>
        <v>3</v>
      </c>
      <c r="H1082" s="843" t="s">
        <v>8766</v>
      </c>
    </row>
    <row r="1083" spans="1:8" ht="51">
      <c r="A1083" s="108" t="s">
        <v>10592</v>
      </c>
      <c r="B1083" s="798" t="s">
        <v>2285</v>
      </c>
      <c r="C1083" s="947" t="s">
        <v>2286</v>
      </c>
      <c r="D1083" s="947" t="s">
        <v>2287</v>
      </c>
      <c r="E1083" s="947" t="s">
        <v>2288</v>
      </c>
      <c r="F1083" s="947" t="s">
        <v>2289</v>
      </c>
      <c r="G1083" s="108">
        <f t="shared" si="16"/>
        <v>2</v>
      </c>
      <c r="H1083" s="843" t="s">
        <v>8764</v>
      </c>
    </row>
    <row r="1084" spans="1:8">
      <c r="A1084" s="108" t="s">
        <v>10592</v>
      </c>
      <c r="B1084" s="798" t="s">
        <v>2290</v>
      </c>
      <c r="C1084" s="947" t="s">
        <v>2291</v>
      </c>
      <c r="D1084" s="947" t="s">
        <v>2292</v>
      </c>
      <c r="E1084" s="947" t="s">
        <v>2293</v>
      </c>
      <c r="F1084" s="947" t="s">
        <v>1000</v>
      </c>
      <c r="G1084" s="108">
        <f t="shared" si="16"/>
        <v>2</v>
      </c>
      <c r="H1084" s="843" t="s">
        <v>8764</v>
      </c>
    </row>
    <row r="1085" spans="1:8">
      <c r="A1085" s="108" t="s">
        <v>10592</v>
      </c>
      <c r="B1085" s="798" t="s">
        <v>2294</v>
      </c>
      <c r="C1085" s="947" t="s">
        <v>2295</v>
      </c>
      <c r="D1085" s="947" t="s">
        <v>2296</v>
      </c>
      <c r="E1085" s="947" t="s">
        <v>2297</v>
      </c>
      <c r="F1085" s="947" t="s">
        <v>1000</v>
      </c>
      <c r="G1085" s="108">
        <f t="shared" si="16"/>
        <v>4</v>
      </c>
      <c r="H1085" s="843" t="s">
        <v>8763</v>
      </c>
    </row>
    <row r="1086" spans="1:8">
      <c r="A1086" s="108" t="s">
        <v>10592</v>
      </c>
      <c r="B1086" s="798" t="s">
        <v>2298</v>
      </c>
      <c r="C1086" s="947" t="s">
        <v>2299</v>
      </c>
      <c r="D1086" s="947" t="s">
        <v>2300</v>
      </c>
      <c r="E1086" s="947" t="s">
        <v>2301</v>
      </c>
      <c r="F1086" s="947" t="s">
        <v>2302</v>
      </c>
      <c r="G1086" s="108">
        <f t="shared" si="16"/>
        <v>1</v>
      </c>
      <c r="H1086" s="843" t="s">
        <v>8761</v>
      </c>
    </row>
    <row r="1087" spans="1:8" ht="38.25">
      <c r="A1087" s="108" t="s">
        <v>10592</v>
      </c>
      <c r="B1087" s="798" t="s">
        <v>10594</v>
      </c>
      <c r="C1087" s="947" t="s">
        <v>2304</v>
      </c>
      <c r="D1087" s="947" t="s">
        <v>2305</v>
      </c>
      <c r="E1087" s="947" t="s">
        <v>2306</v>
      </c>
      <c r="F1087" s="947" t="s">
        <v>2307</v>
      </c>
      <c r="G1087" s="108">
        <f t="shared" si="16"/>
        <v>2</v>
      </c>
      <c r="H1087" s="843" t="s">
        <v>8764</v>
      </c>
    </row>
    <row r="1088" spans="1:8" ht="25.5">
      <c r="A1088" s="108" t="s">
        <v>10592</v>
      </c>
      <c r="B1088" s="798" t="s">
        <v>10595</v>
      </c>
      <c r="C1088" s="947" t="s">
        <v>2309</v>
      </c>
      <c r="D1088" s="947" t="s">
        <v>2310</v>
      </c>
      <c r="E1088" s="947" t="s">
        <v>2311</v>
      </c>
      <c r="F1088" s="947" t="s">
        <v>2312</v>
      </c>
      <c r="G1088" s="108">
        <f t="shared" si="16"/>
        <v>4</v>
      </c>
      <c r="H1088" s="843" t="s">
        <v>8763</v>
      </c>
    </row>
    <row r="1089" spans="1:8">
      <c r="A1089" s="108" t="s">
        <v>10592</v>
      </c>
      <c r="B1089" s="798" t="s">
        <v>2313</v>
      </c>
      <c r="C1089" s="947" t="s">
        <v>2314</v>
      </c>
      <c r="D1089" s="947" t="s">
        <v>2315</v>
      </c>
      <c r="E1089" s="947" t="s">
        <v>2316</v>
      </c>
      <c r="F1089" s="947" t="s">
        <v>2317</v>
      </c>
      <c r="G1089" s="108">
        <f t="shared" si="16"/>
        <v>3</v>
      </c>
      <c r="H1089" s="843" t="s">
        <v>8766</v>
      </c>
    </row>
    <row r="1090" spans="1:8" ht="38.25">
      <c r="A1090" s="108" t="s">
        <v>10592</v>
      </c>
      <c r="B1090" s="798" t="s">
        <v>2318</v>
      </c>
      <c r="C1090" s="947" t="s">
        <v>2319</v>
      </c>
      <c r="D1090" s="947" t="s">
        <v>2320</v>
      </c>
      <c r="E1090" s="947" t="s">
        <v>2321</v>
      </c>
      <c r="F1090" s="947" t="s">
        <v>2322</v>
      </c>
      <c r="G1090" s="108">
        <f t="shared" si="16"/>
        <v>3</v>
      </c>
      <c r="H1090" s="843" t="s">
        <v>8766</v>
      </c>
    </row>
    <row r="1091" spans="1:8" ht="25.5">
      <c r="A1091" s="108" t="s">
        <v>10592</v>
      </c>
      <c r="B1091" s="798" t="s">
        <v>2323</v>
      </c>
      <c r="C1091" s="136" t="s">
        <v>2324</v>
      </c>
      <c r="D1091" s="136" t="s">
        <v>2325</v>
      </c>
      <c r="E1091" s="136" t="s">
        <v>2326</v>
      </c>
      <c r="F1091" s="136" t="s">
        <v>2327</v>
      </c>
      <c r="G1091" s="108">
        <f t="shared" ref="G1091:G1154" si="17">IF(H1091="A",1,IF(H1091="B",2,IF(H1091="C",3,IF(H1091="D",4,0))))</f>
        <v>3</v>
      </c>
      <c r="H1091" s="136" t="s">
        <v>8766</v>
      </c>
    </row>
    <row r="1092" spans="1:8" ht="38.25">
      <c r="A1092" s="108" t="s">
        <v>10592</v>
      </c>
      <c r="B1092" s="798" t="s">
        <v>2328</v>
      </c>
      <c r="C1092" s="136" t="s">
        <v>2324</v>
      </c>
      <c r="D1092" s="136" t="s">
        <v>2325</v>
      </c>
      <c r="E1092" s="136" t="s">
        <v>2326</v>
      </c>
      <c r="F1092" s="136" t="s">
        <v>2327</v>
      </c>
      <c r="G1092" s="108">
        <f t="shared" si="17"/>
        <v>2</v>
      </c>
      <c r="H1092" s="136" t="s">
        <v>8764</v>
      </c>
    </row>
    <row r="1093" spans="1:8" ht="51">
      <c r="A1093" s="108" t="s">
        <v>10592</v>
      </c>
      <c r="B1093" s="798" t="s">
        <v>2329</v>
      </c>
      <c r="C1093" s="136" t="s">
        <v>2330</v>
      </c>
      <c r="D1093" s="136" t="s">
        <v>2331</v>
      </c>
      <c r="E1093" s="136" t="s">
        <v>2332</v>
      </c>
      <c r="F1093" s="136" t="s">
        <v>2333</v>
      </c>
      <c r="G1093" s="108">
        <f t="shared" si="17"/>
        <v>2</v>
      </c>
      <c r="H1093" s="136" t="s">
        <v>8764</v>
      </c>
    </row>
    <row r="1094" spans="1:8" ht="25.5">
      <c r="A1094" s="108" t="s">
        <v>10592</v>
      </c>
      <c r="B1094" s="798" t="s">
        <v>10596</v>
      </c>
      <c r="C1094" s="948" t="s">
        <v>2335</v>
      </c>
      <c r="D1094" s="949" t="s">
        <v>1086</v>
      </c>
      <c r="E1094" s="949" t="s">
        <v>2336</v>
      </c>
      <c r="F1094" s="949" t="s">
        <v>2337</v>
      </c>
      <c r="G1094" s="108">
        <f t="shared" si="17"/>
        <v>2</v>
      </c>
      <c r="H1094" s="136" t="s">
        <v>8764</v>
      </c>
    </row>
    <row r="1095" spans="1:8" ht="51">
      <c r="A1095" s="108" t="s">
        <v>10592</v>
      </c>
      <c r="B1095" s="798" t="s">
        <v>2338</v>
      </c>
      <c r="C1095" s="798" t="s">
        <v>2339</v>
      </c>
      <c r="D1095" s="798" t="s">
        <v>2340</v>
      </c>
      <c r="E1095" s="798" t="s">
        <v>2341</v>
      </c>
      <c r="F1095" s="798" t="s">
        <v>2342</v>
      </c>
      <c r="G1095" s="108">
        <f t="shared" si="17"/>
        <v>2</v>
      </c>
      <c r="H1095" s="798" t="s">
        <v>8764</v>
      </c>
    </row>
    <row r="1096" spans="1:8" ht="26.25">
      <c r="A1096" s="108" t="s">
        <v>10592</v>
      </c>
      <c r="B1096" s="950" t="s">
        <v>2343</v>
      </c>
      <c r="C1096" s="950" t="s">
        <v>2344</v>
      </c>
      <c r="D1096" s="950" t="s">
        <v>2345</v>
      </c>
      <c r="E1096" s="950" t="s">
        <v>2346</v>
      </c>
      <c r="F1096" s="950" t="s">
        <v>2347</v>
      </c>
      <c r="G1096" s="108">
        <f t="shared" si="17"/>
        <v>1</v>
      </c>
      <c r="H1096" s="843" t="s">
        <v>8761</v>
      </c>
    </row>
    <row r="1097" spans="1:8" ht="26.25">
      <c r="A1097" s="108" t="s">
        <v>10592</v>
      </c>
      <c r="B1097" s="950" t="s">
        <v>2348</v>
      </c>
      <c r="C1097" s="950" t="s">
        <v>2349</v>
      </c>
      <c r="D1097" s="950" t="s">
        <v>2345</v>
      </c>
      <c r="E1097" s="950" t="s">
        <v>2346</v>
      </c>
      <c r="F1097" s="950" t="s">
        <v>2314</v>
      </c>
      <c r="G1097" s="108">
        <f t="shared" si="17"/>
        <v>1</v>
      </c>
      <c r="H1097" s="843" t="s">
        <v>8761</v>
      </c>
    </row>
    <row r="1098" spans="1:8">
      <c r="A1098" s="108" t="s">
        <v>10592</v>
      </c>
      <c r="B1098" s="950" t="s">
        <v>2350</v>
      </c>
      <c r="C1098" s="950" t="s">
        <v>1029</v>
      </c>
      <c r="D1098" s="950" t="s">
        <v>1030</v>
      </c>
      <c r="E1098" s="950" t="s">
        <v>1031</v>
      </c>
      <c r="F1098" s="950" t="s">
        <v>2351</v>
      </c>
      <c r="G1098" s="108">
        <f t="shared" si="17"/>
        <v>4</v>
      </c>
      <c r="H1098" s="843" t="s">
        <v>8763</v>
      </c>
    </row>
    <row r="1099" spans="1:8">
      <c r="A1099" s="108" t="s">
        <v>10592</v>
      </c>
      <c r="B1099" s="950" t="s">
        <v>10597</v>
      </c>
      <c r="C1099" s="951">
        <v>0.155</v>
      </c>
      <c r="D1099" s="951">
        <v>0.16</v>
      </c>
      <c r="E1099" s="951">
        <v>0.14000000000000001</v>
      </c>
      <c r="F1099" s="951">
        <v>0.15</v>
      </c>
      <c r="G1099" s="108">
        <f t="shared" si="17"/>
        <v>1</v>
      </c>
      <c r="H1099" s="843" t="s">
        <v>8761</v>
      </c>
    </row>
    <row r="1100" spans="1:8" ht="26.25">
      <c r="A1100" s="108" t="s">
        <v>10592</v>
      </c>
      <c r="B1100" s="798" t="s">
        <v>2353</v>
      </c>
      <c r="C1100" s="798" t="s">
        <v>2354</v>
      </c>
      <c r="D1100" s="798" t="s">
        <v>2355</v>
      </c>
      <c r="E1100" s="950" t="s">
        <v>2356</v>
      </c>
      <c r="F1100" s="798" t="s">
        <v>2357</v>
      </c>
      <c r="G1100" s="108">
        <f t="shared" si="17"/>
        <v>3</v>
      </c>
      <c r="H1100" s="798" t="s">
        <v>8766</v>
      </c>
    </row>
    <row r="1101" spans="1:8" ht="26.25">
      <c r="A1101" s="108" t="s">
        <v>10592</v>
      </c>
      <c r="B1101" s="950" t="s">
        <v>2358</v>
      </c>
      <c r="C1101" s="951">
        <v>6.0000000000000001E-3</v>
      </c>
      <c r="D1101" s="951">
        <v>4.0000000000000001E-3</v>
      </c>
      <c r="E1101" s="951">
        <v>5.0000000000000001E-3</v>
      </c>
      <c r="F1101" s="951">
        <v>7.4999999999999997E-3</v>
      </c>
      <c r="G1101" s="108">
        <f t="shared" si="17"/>
        <v>3</v>
      </c>
      <c r="H1101" s="843" t="s">
        <v>8766</v>
      </c>
    </row>
    <row r="1102" spans="1:8" ht="26.25">
      <c r="A1102" s="108" t="s">
        <v>10592</v>
      </c>
      <c r="B1102" s="950" t="s">
        <v>8756</v>
      </c>
      <c r="C1102" s="950" t="s">
        <v>2360</v>
      </c>
      <c r="D1102" s="950" t="s">
        <v>2361</v>
      </c>
      <c r="E1102" s="950" t="s">
        <v>2362</v>
      </c>
      <c r="F1102" s="950" t="s">
        <v>2363</v>
      </c>
      <c r="G1102" s="108">
        <f t="shared" si="17"/>
        <v>4</v>
      </c>
      <c r="H1102" s="843" t="s">
        <v>8763</v>
      </c>
    </row>
    <row r="1103" spans="1:8">
      <c r="A1103" s="108" t="s">
        <v>10592</v>
      </c>
      <c r="B1103" s="950" t="s">
        <v>2364</v>
      </c>
      <c r="C1103" s="950" t="s">
        <v>2365</v>
      </c>
      <c r="D1103" s="950" t="s">
        <v>2366</v>
      </c>
      <c r="E1103" s="950" t="s">
        <v>2367</v>
      </c>
      <c r="F1103" s="950" t="s">
        <v>2368</v>
      </c>
      <c r="G1103" s="108">
        <f t="shared" si="17"/>
        <v>2</v>
      </c>
      <c r="H1103" s="843" t="s">
        <v>8764</v>
      </c>
    </row>
    <row r="1104" spans="1:8">
      <c r="A1104" s="108" t="s">
        <v>10592</v>
      </c>
      <c r="B1104" s="950" t="s">
        <v>2369</v>
      </c>
      <c r="C1104" s="950" t="s">
        <v>2370</v>
      </c>
      <c r="D1104" s="950" t="s">
        <v>2371</v>
      </c>
      <c r="E1104" s="950" t="s">
        <v>2316</v>
      </c>
      <c r="F1104" s="950" t="s">
        <v>2317</v>
      </c>
      <c r="G1104" s="108">
        <f t="shared" si="17"/>
        <v>3</v>
      </c>
      <c r="H1104" s="843" t="s">
        <v>8766</v>
      </c>
    </row>
    <row r="1105" spans="1:8" ht="26.25">
      <c r="A1105" s="108" t="s">
        <v>10592</v>
      </c>
      <c r="B1105" s="950" t="s">
        <v>2372</v>
      </c>
      <c r="C1105" s="952">
        <v>0.3</v>
      </c>
      <c r="D1105" s="952">
        <v>0.1</v>
      </c>
      <c r="E1105" s="952">
        <v>0.2</v>
      </c>
      <c r="F1105" s="952">
        <v>0.12</v>
      </c>
      <c r="G1105" s="108">
        <f t="shared" si="17"/>
        <v>2</v>
      </c>
      <c r="H1105" s="843" t="s">
        <v>8764</v>
      </c>
    </row>
    <row r="1106" spans="1:8" ht="26.25">
      <c r="A1106" s="108" t="s">
        <v>10592</v>
      </c>
      <c r="B1106" s="950" t="s">
        <v>2373</v>
      </c>
      <c r="C1106" s="951">
        <v>5.7200000000000001E-2</v>
      </c>
      <c r="D1106" s="951">
        <v>3.3399999999999999E-2</v>
      </c>
      <c r="E1106" s="950" t="s">
        <v>2374</v>
      </c>
      <c r="F1106" s="952">
        <v>1</v>
      </c>
      <c r="G1106" s="108">
        <f t="shared" si="17"/>
        <v>3</v>
      </c>
      <c r="H1106" s="843" t="s">
        <v>8766</v>
      </c>
    </row>
    <row r="1107" spans="1:8" ht="26.25">
      <c r="A1107" s="108" t="s">
        <v>10592</v>
      </c>
      <c r="B1107" s="798" t="s">
        <v>2375</v>
      </c>
      <c r="C1107" s="950" t="s">
        <v>2376</v>
      </c>
      <c r="D1107" s="950" t="s">
        <v>2377</v>
      </c>
      <c r="E1107" s="950" t="s">
        <v>2378</v>
      </c>
      <c r="F1107" s="950" t="s">
        <v>2379</v>
      </c>
      <c r="G1107" s="108">
        <f t="shared" si="17"/>
        <v>3</v>
      </c>
      <c r="H1107" s="843" t="s">
        <v>8766</v>
      </c>
    </row>
    <row r="1108" spans="1:8" ht="39">
      <c r="A1108" s="108" t="s">
        <v>10592</v>
      </c>
      <c r="B1108" s="798" t="s">
        <v>10598</v>
      </c>
      <c r="C1108" s="950" t="s">
        <v>2381</v>
      </c>
      <c r="D1108" s="950" t="s">
        <v>2382</v>
      </c>
      <c r="E1108" s="950" t="s">
        <v>2383</v>
      </c>
      <c r="F1108" s="950" t="s">
        <v>2384</v>
      </c>
      <c r="G1108" s="108">
        <f t="shared" si="17"/>
        <v>2</v>
      </c>
      <c r="H1108" s="843" t="s">
        <v>8764</v>
      </c>
    </row>
    <row r="1109" spans="1:8" ht="38.25">
      <c r="A1109" s="108" t="s">
        <v>10592</v>
      </c>
      <c r="B1109" s="798" t="s">
        <v>2385</v>
      </c>
      <c r="C1109" s="950" t="s">
        <v>2386</v>
      </c>
      <c r="D1109" s="950" t="s">
        <v>2387</v>
      </c>
      <c r="E1109" s="950" t="s">
        <v>2388</v>
      </c>
      <c r="F1109" s="950" t="s">
        <v>2389</v>
      </c>
      <c r="G1109" s="108">
        <f t="shared" si="17"/>
        <v>2</v>
      </c>
      <c r="H1109" s="843" t="s">
        <v>8764</v>
      </c>
    </row>
    <row r="1110" spans="1:8" ht="26.25">
      <c r="A1110" s="108" t="s">
        <v>10592</v>
      </c>
      <c r="B1110" s="798" t="s">
        <v>2390</v>
      </c>
      <c r="C1110" s="950" t="s">
        <v>2391</v>
      </c>
      <c r="D1110" s="950" t="s">
        <v>2392</v>
      </c>
      <c r="E1110" s="950" t="s">
        <v>2393</v>
      </c>
      <c r="F1110" s="950" t="s">
        <v>2394</v>
      </c>
      <c r="G1110" s="108">
        <f t="shared" si="17"/>
        <v>2</v>
      </c>
      <c r="H1110" s="843" t="s">
        <v>8764</v>
      </c>
    </row>
    <row r="1111" spans="1:8" ht="39">
      <c r="A1111" s="108" t="s">
        <v>10592</v>
      </c>
      <c r="B1111" s="798" t="s">
        <v>2395</v>
      </c>
      <c r="C1111" s="950" t="s">
        <v>2396</v>
      </c>
      <c r="D1111" s="950" t="s">
        <v>2397</v>
      </c>
      <c r="E1111" s="950" t="s">
        <v>2398</v>
      </c>
      <c r="F1111" s="950" t="s">
        <v>2399</v>
      </c>
      <c r="G1111" s="108">
        <f t="shared" si="17"/>
        <v>3</v>
      </c>
      <c r="H1111" s="843" t="s">
        <v>8766</v>
      </c>
    </row>
    <row r="1112" spans="1:8" ht="39">
      <c r="A1112" s="108" t="s">
        <v>10592</v>
      </c>
      <c r="B1112" s="798" t="s">
        <v>10599</v>
      </c>
      <c r="C1112" s="950" t="s">
        <v>10600</v>
      </c>
      <c r="D1112" s="950" t="s">
        <v>10601</v>
      </c>
      <c r="E1112" s="950" t="s">
        <v>10602</v>
      </c>
      <c r="F1112" s="950" t="s">
        <v>10603</v>
      </c>
      <c r="G1112" s="108">
        <f t="shared" si="17"/>
        <v>3</v>
      </c>
      <c r="H1112" s="843" t="s">
        <v>8766</v>
      </c>
    </row>
    <row r="1113" spans="1:8" ht="39">
      <c r="A1113" s="108" t="s">
        <v>10592</v>
      </c>
      <c r="B1113" s="798" t="s">
        <v>2400</v>
      </c>
      <c r="C1113" s="950" t="s">
        <v>2401</v>
      </c>
      <c r="D1113" s="950" t="s">
        <v>2402</v>
      </c>
      <c r="E1113" s="950" t="s">
        <v>2403</v>
      </c>
      <c r="F1113" s="950" t="s">
        <v>2404</v>
      </c>
      <c r="G1113" s="108">
        <f t="shared" si="17"/>
        <v>2</v>
      </c>
      <c r="H1113" s="843" t="s">
        <v>8764</v>
      </c>
    </row>
    <row r="1114" spans="1:8" ht="39">
      <c r="A1114" s="108" t="s">
        <v>10592</v>
      </c>
      <c r="B1114" s="798" t="s">
        <v>2405</v>
      </c>
      <c r="C1114" s="950" t="s">
        <v>2406</v>
      </c>
      <c r="D1114" s="950" t="s">
        <v>2407</v>
      </c>
      <c r="E1114" s="950" t="s">
        <v>2408</v>
      </c>
      <c r="F1114" s="950" t="s">
        <v>2409</v>
      </c>
      <c r="G1114" s="108">
        <f t="shared" si="17"/>
        <v>2</v>
      </c>
      <c r="H1114" s="843" t="s">
        <v>8764</v>
      </c>
    </row>
    <row r="1115" spans="1:8">
      <c r="A1115" s="108" t="s">
        <v>10592</v>
      </c>
      <c r="B1115" s="798" t="s">
        <v>2410</v>
      </c>
      <c r="C1115" s="950" t="s">
        <v>2411</v>
      </c>
      <c r="D1115" s="950" t="s">
        <v>2412</v>
      </c>
      <c r="E1115" s="950" t="s">
        <v>2413</v>
      </c>
      <c r="F1115" s="858" t="s">
        <v>8765</v>
      </c>
      <c r="G1115" s="108">
        <f t="shared" si="17"/>
        <v>2</v>
      </c>
      <c r="H1115" s="843" t="s">
        <v>8764</v>
      </c>
    </row>
    <row r="1116" spans="1:8" ht="39">
      <c r="A1116" s="108" t="s">
        <v>10592</v>
      </c>
      <c r="B1116" s="950" t="s">
        <v>2415</v>
      </c>
      <c r="C1116" s="950" t="s">
        <v>2416</v>
      </c>
      <c r="D1116" s="950" t="s">
        <v>2417</v>
      </c>
      <c r="E1116" s="950" t="s">
        <v>2418</v>
      </c>
      <c r="F1116" s="950" t="s">
        <v>10604</v>
      </c>
      <c r="G1116" s="108">
        <f t="shared" si="17"/>
        <v>3</v>
      </c>
      <c r="H1116" s="843" t="s">
        <v>8766</v>
      </c>
    </row>
    <row r="1117" spans="1:8" ht="26.25">
      <c r="A1117" s="108" t="s">
        <v>10592</v>
      </c>
      <c r="B1117" s="950" t="s">
        <v>2420</v>
      </c>
      <c r="C1117" s="952">
        <v>0.9</v>
      </c>
      <c r="D1117" s="952">
        <v>0.85</v>
      </c>
      <c r="E1117" s="952">
        <v>0.8</v>
      </c>
      <c r="F1117" s="952">
        <v>0.75</v>
      </c>
      <c r="G1117" s="108">
        <f t="shared" si="17"/>
        <v>2</v>
      </c>
      <c r="H1117" s="843" t="s">
        <v>8764</v>
      </c>
    </row>
    <row r="1118" spans="1:8" ht="26.25">
      <c r="A1118" s="108" t="s">
        <v>10592</v>
      </c>
      <c r="B1118" s="950" t="s">
        <v>2421</v>
      </c>
      <c r="C1118" s="950" t="s">
        <v>2422</v>
      </c>
      <c r="D1118" s="950" t="s">
        <v>2423</v>
      </c>
      <c r="E1118" s="950" t="s">
        <v>2424</v>
      </c>
      <c r="F1118" s="950" t="s">
        <v>2425</v>
      </c>
      <c r="G1118" s="108">
        <f t="shared" si="17"/>
        <v>2</v>
      </c>
      <c r="H1118" s="843" t="s">
        <v>8764</v>
      </c>
    </row>
    <row r="1119" spans="1:8" ht="26.25">
      <c r="A1119" s="108" t="s">
        <v>10592</v>
      </c>
      <c r="B1119" s="950" t="s">
        <v>8711</v>
      </c>
      <c r="C1119" s="950" t="s">
        <v>2427</v>
      </c>
      <c r="D1119" s="950" t="s">
        <v>2428</v>
      </c>
      <c r="E1119" s="950" t="s">
        <v>2429</v>
      </c>
      <c r="F1119" s="950" t="s">
        <v>2430</v>
      </c>
      <c r="G1119" s="108">
        <f t="shared" si="17"/>
        <v>1</v>
      </c>
      <c r="H1119" s="843" t="s">
        <v>8761</v>
      </c>
    </row>
    <row r="1120" spans="1:8" ht="39">
      <c r="A1120" s="108" t="s">
        <v>10592</v>
      </c>
      <c r="B1120" s="950" t="s">
        <v>2431</v>
      </c>
      <c r="C1120" s="950" t="s">
        <v>2432</v>
      </c>
      <c r="D1120" s="950" t="s">
        <v>2433</v>
      </c>
      <c r="E1120" s="950" t="s">
        <v>2434</v>
      </c>
      <c r="F1120" s="950" t="s">
        <v>2430</v>
      </c>
      <c r="G1120" s="108">
        <f t="shared" si="17"/>
        <v>1</v>
      </c>
      <c r="H1120" s="843" t="s">
        <v>8761</v>
      </c>
    </row>
    <row r="1121" spans="1:8" ht="26.25">
      <c r="A1121" s="108" t="s">
        <v>10592</v>
      </c>
      <c r="B1121" s="798" t="s">
        <v>2435</v>
      </c>
      <c r="C1121" s="950" t="s">
        <v>2436</v>
      </c>
      <c r="D1121" s="950" t="s">
        <v>2437</v>
      </c>
      <c r="E1121" s="950" t="s">
        <v>2438</v>
      </c>
      <c r="F1121" s="950" t="s">
        <v>2439</v>
      </c>
      <c r="G1121" s="108">
        <f t="shared" si="17"/>
        <v>2</v>
      </c>
      <c r="H1121" s="843" t="s">
        <v>8764</v>
      </c>
    </row>
    <row r="1122" spans="1:8" ht="26.25">
      <c r="A1122" s="108" t="s">
        <v>10592</v>
      </c>
      <c r="B1122" s="798" t="s">
        <v>2440</v>
      </c>
      <c r="C1122" s="950" t="s">
        <v>2441</v>
      </c>
      <c r="D1122" s="950" t="s">
        <v>2442</v>
      </c>
      <c r="E1122" s="950" t="s">
        <v>2443</v>
      </c>
      <c r="F1122" s="950" t="s">
        <v>2444</v>
      </c>
      <c r="G1122" s="108">
        <f t="shared" si="17"/>
        <v>2</v>
      </c>
      <c r="H1122" s="843" t="s">
        <v>8764</v>
      </c>
    </row>
    <row r="1123" spans="1:8" ht="51">
      <c r="A1123" s="108" t="s">
        <v>10592</v>
      </c>
      <c r="B1123" s="798" t="s">
        <v>2445</v>
      </c>
      <c r="C1123" s="950">
        <v>1</v>
      </c>
      <c r="D1123" s="950">
        <v>2</v>
      </c>
      <c r="E1123" s="950">
        <v>3</v>
      </c>
      <c r="F1123" s="950" t="s">
        <v>2449</v>
      </c>
      <c r="G1123" s="108">
        <f t="shared" si="17"/>
        <v>4</v>
      </c>
      <c r="H1123" s="843" t="s">
        <v>8763</v>
      </c>
    </row>
    <row r="1124" spans="1:8" ht="26.25">
      <c r="A1124" s="108" t="s">
        <v>10592</v>
      </c>
      <c r="B1124" s="798" t="s">
        <v>2450</v>
      </c>
      <c r="C1124" s="950" t="s">
        <v>2451</v>
      </c>
      <c r="D1124" s="950" t="s">
        <v>2452</v>
      </c>
      <c r="E1124" s="950" t="s">
        <v>2453</v>
      </c>
      <c r="F1124" s="950" t="s">
        <v>2454</v>
      </c>
      <c r="G1124" s="108">
        <f t="shared" si="17"/>
        <v>3</v>
      </c>
      <c r="H1124" s="843" t="s">
        <v>8766</v>
      </c>
    </row>
    <row r="1125" spans="1:8" ht="39">
      <c r="A1125" s="108" t="s">
        <v>10592</v>
      </c>
      <c r="B1125" s="798" t="s">
        <v>10605</v>
      </c>
      <c r="C1125" s="950" t="s">
        <v>2456</v>
      </c>
      <c r="D1125" s="950" t="s">
        <v>10606</v>
      </c>
      <c r="E1125" s="950" t="s">
        <v>2458</v>
      </c>
      <c r="F1125" s="950" t="s">
        <v>2459</v>
      </c>
      <c r="G1125" s="108">
        <f t="shared" si="17"/>
        <v>2</v>
      </c>
      <c r="H1125" s="843" t="s">
        <v>8764</v>
      </c>
    </row>
    <row r="1126" spans="1:8" ht="26.25">
      <c r="A1126" s="108" t="s">
        <v>10592</v>
      </c>
      <c r="B1126" s="798" t="s">
        <v>2460</v>
      </c>
      <c r="C1126" s="950" t="s">
        <v>2461</v>
      </c>
      <c r="D1126" s="950" t="s">
        <v>2462</v>
      </c>
      <c r="E1126" s="950" t="s">
        <v>2463</v>
      </c>
      <c r="F1126" s="950" t="s">
        <v>2464</v>
      </c>
      <c r="G1126" s="108">
        <f t="shared" si="17"/>
        <v>3</v>
      </c>
      <c r="H1126" s="843" t="s">
        <v>8766</v>
      </c>
    </row>
    <row r="1127" spans="1:8" ht="39">
      <c r="A1127" s="108" t="s">
        <v>10592</v>
      </c>
      <c r="B1127" s="798" t="s">
        <v>2465</v>
      </c>
      <c r="C1127" s="950" t="s">
        <v>2466</v>
      </c>
      <c r="D1127" s="950" t="s">
        <v>2467</v>
      </c>
      <c r="E1127" s="950" t="s">
        <v>2468</v>
      </c>
      <c r="F1127" s="950" t="s">
        <v>2469</v>
      </c>
      <c r="G1127" s="108">
        <f t="shared" si="17"/>
        <v>2</v>
      </c>
      <c r="H1127" s="843" t="s">
        <v>8764</v>
      </c>
    </row>
    <row r="1128" spans="1:8" ht="26.25">
      <c r="A1128" s="108" t="s">
        <v>10592</v>
      </c>
      <c r="B1128" s="950" t="s">
        <v>2470</v>
      </c>
      <c r="C1128" s="950" t="s">
        <v>2471</v>
      </c>
      <c r="D1128" s="950" t="s">
        <v>2472</v>
      </c>
      <c r="E1128" s="950" t="s">
        <v>2473</v>
      </c>
      <c r="F1128" s="950" t="s">
        <v>74</v>
      </c>
      <c r="G1128" s="108">
        <f t="shared" si="17"/>
        <v>1</v>
      </c>
      <c r="H1128" s="843" t="s">
        <v>8761</v>
      </c>
    </row>
    <row r="1129" spans="1:8" ht="26.25">
      <c r="A1129" s="108" t="s">
        <v>10592</v>
      </c>
      <c r="B1129" s="798" t="s">
        <v>2474</v>
      </c>
      <c r="C1129" s="950" t="s">
        <v>2475</v>
      </c>
      <c r="D1129" s="950" t="s">
        <v>2476</v>
      </c>
      <c r="E1129" s="950" t="s">
        <v>2477</v>
      </c>
      <c r="F1129" s="950" t="s">
        <v>2478</v>
      </c>
      <c r="G1129" s="108">
        <f t="shared" si="17"/>
        <v>2</v>
      </c>
      <c r="H1129" s="843" t="s">
        <v>8764</v>
      </c>
    </row>
    <row r="1130" spans="1:8">
      <c r="A1130" s="108" t="s">
        <v>10592</v>
      </c>
      <c r="B1130" s="970" t="s">
        <v>10607</v>
      </c>
      <c r="C1130" s="970" t="s">
        <v>10608</v>
      </c>
      <c r="D1130" s="970" t="s">
        <v>993</v>
      </c>
      <c r="E1130" s="970" t="s">
        <v>995</v>
      </c>
      <c r="F1130" s="970" t="s">
        <v>10609</v>
      </c>
      <c r="G1130" s="108">
        <f t="shared" si="17"/>
        <v>3</v>
      </c>
      <c r="H1130" s="746" t="s">
        <v>8766</v>
      </c>
    </row>
    <row r="1131" spans="1:8">
      <c r="A1131" s="108" t="s">
        <v>10592</v>
      </c>
      <c r="B1131" s="970" t="s">
        <v>10610</v>
      </c>
      <c r="C1131" s="971">
        <v>0.14000000000000001</v>
      </c>
      <c r="D1131" s="971">
        <v>0.16</v>
      </c>
      <c r="E1131" s="972">
        <v>0.14499999999999999</v>
      </c>
      <c r="F1131" s="972">
        <v>0.155</v>
      </c>
      <c r="G1131" s="108">
        <f t="shared" si="17"/>
        <v>4</v>
      </c>
      <c r="H1131" s="746" t="s">
        <v>8763</v>
      </c>
    </row>
    <row r="1132" spans="1:8" ht="25.5">
      <c r="A1132" s="108" t="s">
        <v>10592</v>
      </c>
      <c r="B1132" s="970" t="s">
        <v>10611</v>
      </c>
      <c r="C1132" s="970" t="s">
        <v>10612</v>
      </c>
      <c r="D1132" s="970" t="s">
        <v>10613</v>
      </c>
      <c r="E1132" s="970" t="s">
        <v>10614</v>
      </c>
      <c r="F1132" s="970" t="s">
        <v>10615</v>
      </c>
      <c r="G1132" s="108">
        <f t="shared" si="17"/>
        <v>2</v>
      </c>
      <c r="H1132" s="746" t="s">
        <v>8764</v>
      </c>
    </row>
    <row r="1133" spans="1:8">
      <c r="A1133" s="108" t="s">
        <v>10592</v>
      </c>
      <c r="B1133" s="970" t="s">
        <v>2479</v>
      </c>
      <c r="C1133" s="970" t="s">
        <v>2120</v>
      </c>
      <c r="D1133" s="970" t="s">
        <v>2121</v>
      </c>
      <c r="E1133" s="970" t="s">
        <v>2480</v>
      </c>
      <c r="F1133" s="970" t="s">
        <v>2481</v>
      </c>
      <c r="G1133" s="108">
        <f t="shared" si="17"/>
        <v>1</v>
      </c>
      <c r="H1133" s="746" t="s">
        <v>8761</v>
      </c>
    </row>
    <row r="1134" spans="1:8" ht="25.5">
      <c r="A1134" s="108" t="s">
        <v>10592</v>
      </c>
      <c r="B1134" s="970" t="s">
        <v>2482</v>
      </c>
      <c r="C1134" s="971">
        <v>0.01</v>
      </c>
      <c r="D1134" s="971">
        <v>0.05</v>
      </c>
      <c r="E1134" s="972">
        <v>7.4999999999999997E-3</v>
      </c>
      <c r="F1134" s="972">
        <v>3.5000000000000003E-2</v>
      </c>
      <c r="G1134" s="108">
        <f t="shared" si="17"/>
        <v>3</v>
      </c>
      <c r="H1134" s="748" t="s">
        <v>8766</v>
      </c>
    </row>
    <row r="1135" spans="1:8" ht="25.5">
      <c r="A1135" s="108" t="s">
        <v>10592</v>
      </c>
      <c r="B1135" s="970" t="s">
        <v>10616</v>
      </c>
      <c r="C1135" s="973" t="s">
        <v>1086</v>
      </c>
      <c r="D1135" s="973" t="s">
        <v>10617</v>
      </c>
      <c r="E1135" s="973" t="s">
        <v>1084</v>
      </c>
      <c r="F1135" s="973" t="s">
        <v>1168</v>
      </c>
      <c r="G1135" s="108">
        <f t="shared" si="17"/>
        <v>1</v>
      </c>
      <c r="H1135" s="748" t="s">
        <v>8761</v>
      </c>
    </row>
    <row r="1136" spans="1:8" ht="25.5">
      <c r="A1136" s="108" t="s">
        <v>10592</v>
      </c>
      <c r="B1136" s="970" t="s">
        <v>2483</v>
      </c>
      <c r="C1136" s="970" t="s">
        <v>2484</v>
      </c>
      <c r="D1136" s="970" t="s">
        <v>2485</v>
      </c>
      <c r="E1136" s="970" t="s">
        <v>2486</v>
      </c>
      <c r="F1136" s="970" t="s">
        <v>2487</v>
      </c>
      <c r="G1136" s="108">
        <f t="shared" si="17"/>
        <v>3</v>
      </c>
      <c r="H1136" s="748" t="s">
        <v>8766</v>
      </c>
    </row>
    <row r="1137" spans="1:8" ht="25.5">
      <c r="A1137" s="108" t="s">
        <v>10592</v>
      </c>
      <c r="B1137" s="970" t="s">
        <v>2488</v>
      </c>
      <c r="C1137" s="970" t="s">
        <v>2489</v>
      </c>
      <c r="D1137" s="970" t="s">
        <v>2490</v>
      </c>
      <c r="E1137" s="970" t="s">
        <v>2491</v>
      </c>
      <c r="F1137" s="970" t="s">
        <v>2492</v>
      </c>
      <c r="G1137" s="108">
        <f t="shared" si="17"/>
        <v>2</v>
      </c>
      <c r="H1137" s="748" t="s">
        <v>8764</v>
      </c>
    </row>
    <row r="1138" spans="1:8" ht="25.5">
      <c r="A1138" s="108" t="s">
        <v>10592</v>
      </c>
      <c r="B1138" s="970" t="s">
        <v>10618</v>
      </c>
      <c r="C1138" s="970" t="s">
        <v>10619</v>
      </c>
      <c r="D1138" s="970" t="s">
        <v>10620</v>
      </c>
      <c r="E1138" s="970" t="s">
        <v>10621</v>
      </c>
      <c r="F1138" s="970" t="s">
        <v>10622</v>
      </c>
      <c r="G1138" s="108">
        <f t="shared" si="17"/>
        <v>4</v>
      </c>
      <c r="H1138" s="748" t="s">
        <v>8763</v>
      </c>
    </row>
    <row r="1139" spans="1:8" ht="25.5">
      <c r="A1139" s="108" t="s">
        <v>10592</v>
      </c>
      <c r="B1139" s="970" t="s">
        <v>2493</v>
      </c>
      <c r="C1139" s="970" t="s">
        <v>1490</v>
      </c>
      <c r="D1139" s="970" t="s">
        <v>1136</v>
      </c>
      <c r="E1139" s="970" t="s">
        <v>1137</v>
      </c>
      <c r="F1139" s="970" t="s">
        <v>2494</v>
      </c>
      <c r="G1139" s="108">
        <f t="shared" si="17"/>
        <v>2</v>
      </c>
      <c r="H1139" s="748" t="s">
        <v>8764</v>
      </c>
    </row>
    <row r="1140" spans="1:8" ht="38.25">
      <c r="A1140" s="108" t="s">
        <v>10592</v>
      </c>
      <c r="B1140" s="970" t="s">
        <v>10623</v>
      </c>
      <c r="C1140" s="971">
        <v>0.05</v>
      </c>
      <c r="D1140" s="972">
        <v>3.27E-2</v>
      </c>
      <c r="E1140" s="972">
        <v>5.28E-2</v>
      </c>
      <c r="F1140" s="972">
        <v>5.4699999999999999E-2</v>
      </c>
      <c r="G1140" s="108">
        <f t="shared" si="17"/>
        <v>3</v>
      </c>
      <c r="H1140" s="748" t="s">
        <v>8766</v>
      </c>
    </row>
    <row r="1141" spans="1:8">
      <c r="A1141" s="108" t="s">
        <v>10592</v>
      </c>
      <c r="B1141" s="970" t="s">
        <v>2495</v>
      </c>
      <c r="C1141" s="970" t="s">
        <v>2496</v>
      </c>
      <c r="D1141" s="970" t="s">
        <v>2497</v>
      </c>
      <c r="E1141" s="970" t="s">
        <v>2498</v>
      </c>
      <c r="F1141" s="970" t="s">
        <v>2499</v>
      </c>
      <c r="G1141" s="108">
        <f t="shared" si="17"/>
        <v>1</v>
      </c>
      <c r="H1141" s="748" t="s">
        <v>8761</v>
      </c>
    </row>
    <row r="1142" spans="1:8" ht="25.5">
      <c r="A1142" s="108" t="s">
        <v>10592</v>
      </c>
      <c r="B1142" s="970" t="s">
        <v>2500</v>
      </c>
      <c r="C1142" s="970" t="s">
        <v>2501</v>
      </c>
      <c r="D1142" s="970" t="s">
        <v>2502</v>
      </c>
      <c r="E1142" s="970" t="s">
        <v>2503</v>
      </c>
      <c r="F1142" s="970" t="s">
        <v>2504</v>
      </c>
      <c r="G1142" s="108">
        <f t="shared" si="17"/>
        <v>3</v>
      </c>
      <c r="H1142" s="748" t="s">
        <v>8766</v>
      </c>
    </row>
    <row r="1143" spans="1:8" ht="25.5">
      <c r="A1143" s="108" t="s">
        <v>10592</v>
      </c>
      <c r="B1143" s="970" t="s">
        <v>10624</v>
      </c>
      <c r="C1143" s="973" t="s">
        <v>1084</v>
      </c>
      <c r="D1143" s="973" t="s">
        <v>1085</v>
      </c>
      <c r="E1143" s="973" t="s">
        <v>1086</v>
      </c>
      <c r="F1143" s="970" t="s">
        <v>1168</v>
      </c>
      <c r="G1143" s="108">
        <f t="shared" si="17"/>
        <v>3</v>
      </c>
      <c r="H1143" s="748" t="s">
        <v>8766</v>
      </c>
    </row>
    <row r="1144" spans="1:8" ht="25.5">
      <c r="A1144" s="108" t="s">
        <v>10592</v>
      </c>
      <c r="B1144" s="970" t="s">
        <v>10625</v>
      </c>
      <c r="C1144" s="971">
        <v>0.5</v>
      </c>
      <c r="D1144" s="971">
        <v>0.3</v>
      </c>
      <c r="E1144" s="971">
        <v>1</v>
      </c>
      <c r="F1144" s="971">
        <v>0.15</v>
      </c>
      <c r="G1144" s="108">
        <f t="shared" si="17"/>
        <v>1</v>
      </c>
      <c r="H1144" s="748" t="s">
        <v>8761</v>
      </c>
    </row>
    <row r="1145" spans="1:8" ht="25.5">
      <c r="A1145" s="108" t="s">
        <v>10592</v>
      </c>
      <c r="B1145" s="970" t="s">
        <v>10626</v>
      </c>
      <c r="C1145" s="970" t="s">
        <v>1136</v>
      </c>
      <c r="D1145" s="970" t="s">
        <v>10627</v>
      </c>
      <c r="E1145" s="970" t="s">
        <v>5012</v>
      </c>
      <c r="F1145" s="970" t="s">
        <v>10628</v>
      </c>
      <c r="G1145" s="108">
        <f t="shared" si="17"/>
        <v>2</v>
      </c>
      <c r="H1145" s="748" t="s">
        <v>8764</v>
      </c>
    </row>
    <row r="1146" spans="1:8" ht="25.5">
      <c r="A1146" s="108" t="s">
        <v>10592</v>
      </c>
      <c r="B1146" s="970" t="s">
        <v>2505</v>
      </c>
      <c r="C1146" s="974">
        <v>8.4027777777777771E-2</v>
      </c>
      <c r="D1146" s="974">
        <v>4.2361111111111106E-2</v>
      </c>
      <c r="E1146" s="970" t="s">
        <v>2506</v>
      </c>
      <c r="F1146" s="970" t="s">
        <v>2507</v>
      </c>
      <c r="G1146" s="108">
        <f t="shared" si="17"/>
        <v>1</v>
      </c>
      <c r="H1146" s="748" t="s">
        <v>8761</v>
      </c>
    </row>
    <row r="1147" spans="1:8" ht="38.25">
      <c r="A1147" s="108" t="s">
        <v>10592</v>
      </c>
      <c r="B1147" s="970" t="s">
        <v>2508</v>
      </c>
      <c r="C1147" s="970" t="s">
        <v>2509</v>
      </c>
      <c r="D1147" s="970" t="s">
        <v>2510</v>
      </c>
      <c r="E1147" s="970" t="s">
        <v>2511</v>
      </c>
      <c r="F1147" s="970" t="s">
        <v>2512</v>
      </c>
      <c r="G1147" s="108">
        <f t="shared" si="17"/>
        <v>2</v>
      </c>
      <c r="H1147" s="748" t="s">
        <v>8764</v>
      </c>
    </row>
    <row r="1148" spans="1:8" ht="25.5">
      <c r="A1148" s="108" t="s">
        <v>10592</v>
      </c>
      <c r="B1148" s="970" t="s">
        <v>10629</v>
      </c>
      <c r="C1148" s="970" t="s">
        <v>2514</v>
      </c>
      <c r="D1148" s="970" t="s">
        <v>2515</v>
      </c>
      <c r="E1148" s="970" t="s">
        <v>2516</v>
      </c>
      <c r="F1148" s="970" t="s">
        <v>2517</v>
      </c>
      <c r="G1148" s="108">
        <f t="shared" si="17"/>
        <v>3</v>
      </c>
      <c r="H1148" s="748" t="s">
        <v>8766</v>
      </c>
    </row>
    <row r="1149" spans="1:8" ht="25.5">
      <c r="A1149" s="108" t="s">
        <v>10592</v>
      </c>
      <c r="B1149" s="970" t="s">
        <v>10630</v>
      </c>
      <c r="C1149" s="970" t="s">
        <v>10631</v>
      </c>
      <c r="D1149" s="970" t="s">
        <v>10632</v>
      </c>
      <c r="E1149" s="970" t="s">
        <v>10633</v>
      </c>
      <c r="F1149" s="970" t="s">
        <v>10634</v>
      </c>
      <c r="G1149" s="108">
        <f t="shared" si="17"/>
        <v>2</v>
      </c>
      <c r="H1149" s="748" t="s">
        <v>8764</v>
      </c>
    </row>
    <row r="1150" spans="1:8" ht="25.5">
      <c r="A1150" s="108" t="s">
        <v>10592</v>
      </c>
      <c r="B1150" s="970" t="s">
        <v>10635</v>
      </c>
      <c r="C1150" s="970" t="s">
        <v>10636</v>
      </c>
      <c r="D1150" s="970" t="s">
        <v>10637</v>
      </c>
      <c r="E1150" s="970" t="s">
        <v>10638</v>
      </c>
      <c r="F1150" s="970" t="s">
        <v>10639</v>
      </c>
      <c r="G1150" s="108">
        <f t="shared" si="17"/>
        <v>3</v>
      </c>
      <c r="H1150" s="748" t="s">
        <v>8766</v>
      </c>
    </row>
    <row r="1151" spans="1:8">
      <c r="A1151" s="108" t="s">
        <v>10592</v>
      </c>
      <c r="B1151" s="970" t="s">
        <v>2518</v>
      </c>
      <c r="C1151" s="970" t="s">
        <v>90</v>
      </c>
      <c r="D1151" s="970" t="s">
        <v>46</v>
      </c>
      <c r="E1151" s="970" t="s">
        <v>45</v>
      </c>
      <c r="F1151" s="970" t="s">
        <v>44</v>
      </c>
      <c r="G1151" s="108">
        <f t="shared" si="17"/>
        <v>3</v>
      </c>
      <c r="H1151" s="748" t="s">
        <v>8766</v>
      </c>
    </row>
    <row r="1152" spans="1:8" ht="25.5">
      <c r="A1152" s="108" t="s">
        <v>10592</v>
      </c>
      <c r="B1152" s="970" t="s">
        <v>10640</v>
      </c>
      <c r="C1152" s="970" t="s">
        <v>10641</v>
      </c>
      <c r="D1152" s="970" t="s">
        <v>10642</v>
      </c>
      <c r="E1152" s="970" t="s">
        <v>10643</v>
      </c>
      <c r="F1152" s="970" t="s">
        <v>10644</v>
      </c>
      <c r="G1152" s="108">
        <f t="shared" si="17"/>
        <v>2</v>
      </c>
      <c r="H1152" s="748" t="s">
        <v>8764</v>
      </c>
    </row>
    <row r="1153" spans="1:8" ht="25.5">
      <c r="A1153" s="108" t="s">
        <v>10592</v>
      </c>
      <c r="B1153" s="970" t="s">
        <v>2519</v>
      </c>
      <c r="C1153" s="970" t="s">
        <v>10645</v>
      </c>
      <c r="D1153" s="971">
        <v>0.01</v>
      </c>
      <c r="E1153" s="971">
        <v>0.05</v>
      </c>
      <c r="F1153" s="971">
        <v>0.02</v>
      </c>
      <c r="G1153" s="108">
        <f t="shared" si="17"/>
        <v>4</v>
      </c>
      <c r="H1153" s="748" t="s">
        <v>8763</v>
      </c>
    </row>
    <row r="1154" spans="1:8" ht="25.5">
      <c r="A1154" s="108" t="s">
        <v>10592</v>
      </c>
      <c r="B1154" s="970" t="s">
        <v>2621</v>
      </c>
      <c r="C1154" s="970" t="s">
        <v>10646</v>
      </c>
      <c r="D1154" s="970" t="s">
        <v>10647</v>
      </c>
      <c r="E1154" s="970" t="s">
        <v>2624</v>
      </c>
      <c r="F1154" s="970" t="s">
        <v>2625</v>
      </c>
      <c r="G1154" s="108">
        <f t="shared" si="17"/>
        <v>1</v>
      </c>
      <c r="H1154" s="748" t="s">
        <v>8761</v>
      </c>
    </row>
    <row r="1155" spans="1:8" ht="25.5">
      <c r="A1155" s="108" t="s">
        <v>10592</v>
      </c>
      <c r="B1155" s="970" t="s">
        <v>2520</v>
      </c>
      <c r="C1155" s="970" t="s">
        <v>2521</v>
      </c>
      <c r="D1155" s="970" t="s">
        <v>2522</v>
      </c>
      <c r="E1155" s="970" t="s">
        <v>2523</v>
      </c>
      <c r="F1155" s="970" t="s">
        <v>2524</v>
      </c>
      <c r="G1155" s="108">
        <f t="shared" ref="G1155:G1218" si="18">IF(H1155="A",1,IF(H1155="B",2,IF(H1155="C",3,IF(H1155="D",4,0))))</f>
        <v>3</v>
      </c>
      <c r="H1155" s="748" t="s">
        <v>8766</v>
      </c>
    </row>
    <row r="1156" spans="1:8" ht="25.5">
      <c r="A1156" s="108" t="s">
        <v>10592</v>
      </c>
      <c r="B1156" s="975" t="s">
        <v>10648</v>
      </c>
      <c r="C1156" s="972">
        <v>0.68500000000000005</v>
      </c>
      <c r="D1156" s="971">
        <v>0.75</v>
      </c>
      <c r="E1156" s="971">
        <v>0.8</v>
      </c>
      <c r="F1156" s="971">
        <v>0.85</v>
      </c>
      <c r="G1156" s="108">
        <f t="shared" si="18"/>
        <v>4</v>
      </c>
      <c r="H1156" s="748" t="s">
        <v>8763</v>
      </c>
    </row>
    <row r="1157" spans="1:8" ht="25.5">
      <c r="A1157" s="108" t="s">
        <v>10592</v>
      </c>
      <c r="B1157" s="975" t="s">
        <v>10649</v>
      </c>
      <c r="C1157" s="970" t="s">
        <v>2527</v>
      </c>
      <c r="D1157" s="970" t="s">
        <v>10650</v>
      </c>
      <c r="E1157" s="970" t="s">
        <v>2529</v>
      </c>
      <c r="F1157" s="970" t="s">
        <v>2530</v>
      </c>
      <c r="G1157" s="108">
        <f t="shared" si="18"/>
        <v>2</v>
      </c>
      <c r="H1157" s="748" t="s">
        <v>8764</v>
      </c>
    </row>
    <row r="1158" spans="1:8" ht="25.5">
      <c r="A1158" s="108" t="s">
        <v>10592</v>
      </c>
      <c r="B1158" s="970" t="s">
        <v>2531</v>
      </c>
      <c r="C1158" s="970" t="s">
        <v>2532</v>
      </c>
      <c r="D1158" s="970" t="s">
        <v>2533</v>
      </c>
      <c r="E1158" s="970" t="s">
        <v>2534</v>
      </c>
      <c r="F1158" s="970" t="s">
        <v>2535</v>
      </c>
      <c r="G1158" s="108">
        <f t="shared" si="18"/>
        <v>3</v>
      </c>
      <c r="H1158" s="748" t="s">
        <v>8766</v>
      </c>
    </row>
    <row r="1159" spans="1:8">
      <c r="A1159" s="108" t="s">
        <v>10592</v>
      </c>
      <c r="B1159" s="970" t="s">
        <v>2536</v>
      </c>
      <c r="C1159" s="970" t="s">
        <v>2122</v>
      </c>
      <c r="D1159" s="970" t="s">
        <v>2537</v>
      </c>
      <c r="E1159" s="970" t="s">
        <v>2120</v>
      </c>
      <c r="F1159" s="970" t="s">
        <v>2121</v>
      </c>
      <c r="G1159" s="108">
        <f t="shared" si="18"/>
        <v>4</v>
      </c>
      <c r="H1159" s="748" t="s">
        <v>8763</v>
      </c>
    </row>
    <row r="1160" spans="1:8" ht="38.25">
      <c r="A1160" s="108" t="s">
        <v>10592</v>
      </c>
      <c r="B1160" s="970" t="s">
        <v>2538</v>
      </c>
      <c r="C1160" s="970" t="s">
        <v>2539</v>
      </c>
      <c r="D1160" s="970" t="s">
        <v>2540</v>
      </c>
      <c r="E1160" s="970" t="s">
        <v>10651</v>
      </c>
      <c r="F1160" s="970" t="s">
        <v>2542</v>
      </c>
      <c r="G1160" s="108">
        <f t="shared" si="18"/>
        <v>3</v>
      </c>
      <c r="H1160" s="976" t="s">
        <v>8766</v>
      </c>
    </row>
    <row r="1161" spans="1:8">
      <c r="A1161" s="108" t="s">
        <v>10592</v>
      </c>
      <c r="B1161" s="970" t="s">
        <v>2543</v>
      </c>
      <c r="C1161" s="970" t="s">
        <v>2544</v>
      </c>
      <c r="D1161" s="970" t="s">
        <v>2545</v>
      </c>
      <c r="E1161" s="970" t="s">
        <v>2546</v>
      </c>
      <c r="F1161" s="970" t="s">
        <v>2547</v>
      </c>
      <c r="G1161" s="108">
        <f t="shared" si="18"/>
        <v>2</v>
      </c>
      <c r="H1161" s="748" t="s">
        <v>8764</v>
      </c>
    </row>
    <row r="1162" spans="1:8">
      <c r="A1162" s="108" t="s">
        <v>10592</v>
      </c>
      <c r="B1162" s="970" t="s">
        <v>2548</v>
      </c>
      <c r="C1162" s="970" t="s">
        <v>2549</v>
      </c>
      <c r="D1162" s="970" t="s">
        <v>2550</v>
      </c>
      <c r="E1162" s="970" t="s">
        <v>2551</v>
      </c>
      <c r="F1162" s="970" t="s">
        <v>2552</v>
      </c>
      <c r="G1162" s="108">
        <f t="shared" si="18"/>
        <v>4</v>
      </c>
      <c r="H1162" s="976" t="s">
        <v>8763</v>
      </c>
    </row>
    <row r="1163" spans="1:8" ht="25.5">
      <c r="A1163" s="108" t="s">
        <v>10592</v>
      </c>
      <c r="B1163" s="970" t="s">
        <v>2553</v>
      </c>
      <c r="C1163" s="970" t="s">
        <v>2514</v>
      </c>
      <c r="D1163" s="970" t="s">
        <v>2517</v>
      </c>
      <c r="E1163" s="970" t="s">
        <v>2515</v>
      </c>
      <c r="F1163" s="970" t="s">
        <v>2554</v>
      </c>
      <c r="G1163" s="108">
        <f t="shared" si="18"/>
        <v>3</v>
      </c>
      <c r="H1163" s="748" t="s">
        <v>8766</v>
      </c>
    </row>
    <row r="1164" spans="1:8">
      <c r="A1164" s="108" t="s">
        <v>10592</v>
      </c>
      <c r="B1164" s="970" t="s">
        <v>10652</v>
      </c>
      <c r="C1164" s="970">
        <v>2</v>
      </c>
      <c r="D1164" s="970">
        <v>6</v>
      </c>
      <c r="E1164" s="970">
        <v>3</v>
      </c>
      <c r="F1164" s="970">
        <v>5</v>
      </c>
      <c r="G1164" s="108">
        <f t="shared" si="18"/>
        <v>4</v>
      </c>
      <c r="H1164" s="748" t="s">
        <v>8763</v>
      </c>
    </row>
    <row r="1165" spans="1:8" ht="25.5">
      <c r="A1165" s="108" t="s">
        <v>10592</v>
      </c>
      <c r="B1165" s="970" t="s">
        <v>10653</v>
      </c>
      <c r="C1165" s="971">
        <v>0.02</v>
      </c>
      <c r="D1165" s="971">
        <v>0.01</v>
      </c>
      <c r="E1165" s="972">
        <v>5.0000000000000001E-3</v>
      </c>
      <c r="F1165" s="970" t="s">
        <v>10654</v>
      </c>
      <c r="G1165" s="108">
        <f t="shared" si="18"/>
        <v>3</v>
      </c>
      <c r="H1165" s="748" t="s">
        <v>8766</v>
      </c>
    </row>
    <row r="1166" spans="1:8" ht="25.5">
      <c r="A1166" s="108" t="s">
        <v>10592</v>
      </c>
      <c r="B1166" s="970" t="s">
        <v>10655</v>
      </c>
      <c r="C1166" s="970" t="s">
        <v>9379</v>
      </c>
      <c r="D1166" s="970" t="s">
        <v>10656</v>
      </c>
      <c r="E1166" s="970" t="s">
        <v>10657</v>
      </c>
      <c r="F1166" s="970" t="s">
        <v>10658</v>
      </c>
      <c r="G1166" s="108">
        <f t="shared" si="18"/>
        <v>2</v>
      </c>
      <c r="H1166" s="748" t="s">
        <v>8764</v>
      </c>
    </row>
    <row r="1167" spans="1:8" ht="25.5">
      <c r="A1167" s="108" t="s">
        <v>10592</v>
      </c>
      <c r="B1167" s="970" t="s">
        <v>10659</v>
      </c>
      <c r="C1167" s="970" t="s">
        <v>10660</v>
      </c>
      <c r="D1167" s="970" t="s">
        <v>10661</v>
      </c>
      <c r="E1167" s="970" t="s">
        <v>10662</v>
      </c>
      <c r="F1167" s="970" t="s">
        <v>10663</v>
      </c>
      <c r="G1167" s="108">
        <f t="shared" si="18"/>
        <v>1</v>
      </c>
      <c r="H1167" s="748" t="s">
        <v>8761</v>
      </c>
    </row>
    <row r="1168" spans="1:8" ht="25.5">
      <c r="A1168" s="108" t="s">
        <v>10592</v>
      </c>
      <c r="B1168" s="970" t="s">
        <v>10664</v>
      </c>
      <c r="C1168" s="970" t="s">
        <v>10665</v>
      </c>
      <c r="D1168" s="970" t="s">
        <v>10666</v>
      </c>
      <c r="E1168" s="970" t="s">
        <v>10667</v>
      </c>
      <c r="F1168" s="970" t="s">
        <v>10668</v>
      </c>
      <c r="G1168" s="108">
        <f t="shared" si="18"/>
        <v>3</v>
      </c>
      <c r="H1168" s="748" t="s">
        <v>8766</v>
      </c>
    </row>
    <row r="1169" spans="1:8" ht="25.5">
      <c r="A1169" s="108" t="s">
        <v>10592</v>
      </c>
      <c r="B1169" s="970" t="s">
        <v>2556</v>
      </c>
      <c r="C1169" s="971">
        <v>0.05</v>
      </c>
      <c r="D1169" s="971">
        <v>0.12</v>
      </c>
      <c r="E1169" s="971">
        <v>0.14000000000000001</v>
      </c>
      <c r="F1169" s="972">
        <v>0.20960000000000001</v>
      </c>
      <c r="G1169" s="108">
        <f t="shared" si="18"/>
        <v>4</v>
      </c>
      <c r="H1169" s="748" t="s">
        <v>8763</v>
      </c>
    </row>
    <row r="1170" spans="1:8" ht="25.5">
      <c r="A1170" s="108" t="s">
        <v>10592</v>
      </c>
      <c r="B1170" s="970" t="s">
        <v>2557</v>
      </c>
      <c r="C1170" s="970" t="s">
        <v>10669</v>
      </c>
      <c r="D1170" s="970" t="s">
        <v>10670</v>
      </c>
      <c r="E1170" s="977" t="s">
        <v>4532</v>
      </c>
      <c r="F1170" s="970" t="s">
        <v>2561</v>
      </c>
      <c r="G1170" s="108">
        <f t="shared" si="18"/>
        <v>3</v>
      </c>
      <c r="H1170" s="748" t="s">
        <v>8766</v>
      </c>
    </row>
    <row r="1171" spans="1:8">
      <c r="A1171" s="108" t="s">
        <v>10592</v>
      </c>
      <c r="B1171" s="970" t="s">
        <v>10671</v>
      </c>
      <c r="C1171" s="971">
        <v>0.7</v>
      </c>
      <c r="D1171" s="971">
        <v>0.95</v>
      </c>
      <c r="E1171" s="971">
        <v>0.8</v>
      </c>
      <c r="F1171" s="971">
        <v>1</v>
      </c>
      <c r="G1171" s="108">
        <f t="shared" si="18"/>
        <v>2</v>
      </c>
      <c r="H1171" s="748" t="s">
        <v>8764</v>
      </c>
    </row>
    <row r="1172" spans="1:8" ht="25.5">
      <c r="A1172" s="108" t="s">
        <v>10592</v>
      </c>
      <c r="B1172" s="970" t="s">
        <v>2563</v>
      </c>
      <c r="C1172" s="971">
        <v>0.05</v>
      </c>
      <c r="D1172" s="972">
        <v>0.04</v>
      </c>
      <c r="E1172" s="972">
        <v>2.5000000000000001E-2</v>
      </c>
      <c r="F1172" s="972">
        <v>7.4999999999999997E-3</v>
      </c>
      <c r="G1172" s="108">
        <f t="shared" si="18"/>
        <v>2</v>
      </c>
      <c r="H1172" s="748" t="s">
        <v>8764</v>
      </c>
    </row>
    <row r="1173" spans="1:8" ht="25.5">
      <c r="A1173" s="108" t="s">
        <v>10592</v>
      </c>
      <c r="B1173" s="970" t="s">
        <v>10672</v>
      </c>
      <c r="C1173" s="970" t="s">
        <v>10673</v>
      </c>
      <c r="D1173" s="970" t="s">
        <v>10674</v>
      </c>
      <c r="E1173" s="970" t="s">
        <v>10675</v>
      </c>
      <c r="F1173" s="970" t="s">
        <v>10676</v>
      </c>
      <c r="G1173" s="108">
        <f t="shared" si="18"/>
        <v>4</v>
      </c>
      <c r="H1173" s="748" t="s">
        <v>8763</v>
      </c>
    </row>
    <row r="1174" spans="1:8">
      <c r="A1174" s="108" t="s">
        <v>10592</v>
      </c>
      <c r="B1174" s="970" t="s">
        <v>2565</v>
      </c>
      <c r="C1174" s="970" t="s">
        <v>2566</v>
      </c>
      <c r="D1174" s="970" t="s">
        <v>2567</v>
      </c>
      <c r="E1174" s="970" t="s">
        <v>10677</v>
      </c>
      <c r="F1174" s="970" t="s">
        <v>2569</v>
      </c>
      <c r="G1174" s="108">
        <f t="shared" si="18"/>
        <v>3</v>
      </c>
      <c r="H1174" s="748" t="s">
        <v>8766</v>
      </c>
    </row>
    <row r="1175" spans="1:8" ht="25.5">
      <c r="A1175" s="108" t="s">
        <v>10592</v>
      </c>
      <c r="B1175" s="970" t="s">
        <v>10678</v>
      </c>
      <c r="C1175" s="970" t="s">
        <v>2222</v>
      </c>
      <c r="D1175" s="970" t="s">
        <v>2571</v>
      </c>
      <c r="E1175" s="970" t="s">
        <v>2572</v>
      </c>
      <c r="F1175" s="970" t="s">
        <v>2573</v>
      </c>
      <c r="G1175" s="108">
        <f t="shared" si="18"/>
        <v>1</v>
      </c>
      <c r="H1175" s="748" t="s">
        <v>8761</v>
      </c>
    </row>
    <row r="1176" spans="1:8" ht="25.5">
      <c r="A1176" s="108" t="s">
        <v>10592</v>
      </c>
      <c r="B1176" s="970" t="s">
        <v>10679</v>
      </c>
      <c r="C1176" s="970" t="s">
        <v>10680</v>
      </c>
      <c r="D1176" s="970" t="s">
        <v>2576</v>
      </c>
      <c r="E1176" s="970" t="s">
        <v>10681</v>
      </c>
      <c r="F1176" s="970" t="s">
        <v>10682</v>
      </c>
      <c r="G1176" s="108">
        <f t="shared" si="18"/>
        <v>3</v>
      </c>
      <c r="H1176" s="748" t="s">
        <v>8766</v>
      </c>
    </row>
    <row r="1177" spans="1:8" ht="25.5">
      <c r="A1177" s="108" t="s">
        <v>10592</v>
      </c>
      <c r="B1177" s="970" t="s">
        <v>10683</v>
      </c>
      <c r="C1177" s="970" t="s">
        <v>2580</v>
      </c>
      <c r="D1177" s="970" t="s">
        <v>2581</v>
      </c>
      <c r="E1177" s="970" t="s">
        <v>2582</v>
      </c>
      <c r="F1177" s="970" t="s">
        <v>2583</v>
      </c>
      <c r="G1177" s="108">
        <f t="shared" si="18"/>
        <v>3</v>
      </c>
      <c r="H1177" s="748" t="s">
        <v>8766</v>
      </c>
    </row>
    <row r="1178" spans="1:8" ht="51">
      <c r="A1178" s="108" t="s">
        <v>10592</v>
      </c>
      <c r="B1178" s="970" t="s">
        <v>2584</v>
      </c>
      <c r="C1178" s="970" t="s">
        <v>2585</v>
      </c>
      <c r="D1178" s="970" t="s">
        <v>2586</v>
      </c>
      <c r="E1178" s="970" t="s">
        <v>2587</v>
      </c>
      <c r="F1178" s="970" t="s">
        <v>2588</v>
      </c>
      <c r="G1178" s="108">
        <f t="shared" si="18"/>
        <v>3</v>
      </c>
      <c r="H1178" s="748" t="s">
        <v>8766</v>
      </c>
    </row>
    <row r="1179" spans="1:8" ht="25.5">
      <c r="A1179" s="108" t="s">
        <v>10592</v>
      </c>
      <c r="B1179" s="970" t="s">
        <v>10684</v>
      </c>
      <c r="C1179" s="970" t="s">
        <v>10685</v>
      </c>
      <c r="D1179" s="970" t="s">
        <v>10686</v>
      </c>
      <c r="E1179" s="970" t="s">
        <v>10687</v>
      </c>
      <c r="F1179" s="970" t="s">
        <v>10688</v>
      </c>
      <c r="G1179" s="108">
        <f t="shared" si="18"/>
        <v>2</v>
      </c>
      <c r="H1179" s="748" t="s">
        <v>8764</v>
      </c>
    </row>
    <row r="1180" spans="1:8" ht="25.5">
      <c r="A1180" s="108" t="s">
        <v>10592</v>
      </c>
      <c r="B1180" s="970" t="s">
        <v>2589</v>
      </c>
      <c r="C1180" s="970" t="s">
        <v>2590</v>
      </c>
      <c r="D1180" s="970" t="s">
        <v>2428</v>
      </c>
      <c r="E1180" s="970" t="s">
        <v>2591</v>
      </c>
      <c r="F1180" s="970" t="s">
        <v>2592</v>
      </c>
      <c r="G1180" s="108">
        <f t="shared" si="18"/>
        <v>3</v>
      </c>
      <c r="H1180" s="748" t="s">
        <v>8766</v>
      </c>
    </row>
    <row r="1181" spans="1:8" ht="25.5">
      <c r="A1181" s="108" t="s">
        <v>10592</v>
      </c>
      <c r="B1181" s="970" t="s">
        <v>10689</v>
      </c>
      <c r="C1181" s="970" t="s">
        <v>10690</v>
      </c>
      <c r="D1181" s="970" t="s">
        <v>10691</v>
      </c>
      <c r="E1181" s="970" t="s">
        <v>10692</v>
      </c>
      <c r="F1181" s="970" t="s">
        <v>10693</v>
      </c>
      <c r="G1181" s="108">
        <f t="shared" si="18"/>
        <v>3</v>
      </c>
      <c r="H1181" s="748" t="s">
        <v>8766</v>
      </c>
    </row>
    <row r="1182" spans="1:8">
      <c r="A1182" s="108" t="s">
        <v>10592</v>
      </c>
      <c r="B1182" s="970" t="s">
        <v>2598</v>
      </c>
      <c r="C1182" s="970" t="s">
        <v>2599</v>
      </c>
      <c r="D1182" s="970" t="s">
        <v>2600</v>
      </c>
      <c r="E1182" s="970" t="s">
        <v>2601</v>
      </c>
      <c r="F1182" s="970" t="s">
        <v>2602</v>
      </c>
      <c r="G1182" s="108">
        <f t="shared" si="18"/>
        <v>2</v>
      </c>
      <c r="H1182" s="748" t="s">
        <v>8764</v>
      </c>
    </row>
    <row r="1183" spans="1:8" ht="25.5">
      <c r="A1183" s="108" t="s">
        <v>10592</v>
      </c>
      <c r="B1183" s="970" t="s">
        <v>10694</v>
      </c>
      <c r="C1183" s="970">
        <v>0.95</v>
      </c>
      <c r="D1183" s="970">
        <v>0.4</v>
      </c>
      <c r="E1183" s="970">
        <v>0.27</v>
      </c>
      <c r="F1183" s="970">
        <v>0.2</v>
      </c>
      <c r="G1183" s="108">
        <f t="shared" si="18"/>
        <v>3</v>
      </c>
      <c r="H1183" s="748" t="s">
        <v>8766</v>
      </c>
    </row>
    <row r="1184" spans="1:8" ht="25.5">
      <c r="A1184" s="108" t="s">
        <v>10592</v>
      </c>
      <c r="B1184" s="970" t="s">
        <v>2603</v>
      </c>
      <c r="C1184" s="971">
        <v>0.95</v>
      </c>
      <c r="D1184" s="971">
        <v>0.98</v>
      </c>
      <c r="E1184" s="971">
        <v>0.99</v>
      </c>
      <c r="F1184" s="971">
        <v>0.92</v>
      </c>
      <c r="G1184" s="108">
        <f t="shared" si="18"/>
        <v>2</v>
      </c>
      <c r="H1184" s="748" t="s">
        <v>8764</v>
      </c>
    </row>
    <row r="1185" spans="1:8" ht="25.5">
      <c r="A1185" s="108" t="s">
        <v>10592</v>
      </c>
      <c r="B1185" s="970" t="s">
        <v>2604</v>
      </c>
      <c r="C1185" s="970" t="s">
        <v>2605</v>
      </c>
      <c r="D1185" s="970" t="s">
        <v>2606</v>
      </c>
      <c r="E1185" s="970" t="s">
        <v>2607</v>
      </c>
      <c r="F1185" s="970" t="s">
        <v>2608</v>
      </c>
      <c r="G1185" s="108">
        <f t="shared" si="18"/>
        <v>3</v>
      </c>
      <c r="H1185" s="748" t="s">
        <v>8766</v>
      </c>
    </row>
    <row r="1186" spans="1:8" ht="25.5">
      <c r="A1186" s="108" t="s">
        <v>10592</v>
      </c>
      <c r="B1186" s="970" t="s">
        <v>10695</v>
      </c>
      <c r="C1186" s="970" t="s">
        <v>10696</v>
      </c>
      <c r="D1186" s="970" t="s">
        <v>2611</v>
      </c>
      <c r="E1186" s="970" t="s">
        <v>10697</v>
      </c>
      <c r="F1186" s="970" t="s">
        <v>10698</v>
      </c>
      <c r="G1186" s="108">
        <f t="shared" si="18"/>
        <v>2</v>
      </c>
      <c r="H1186" s="748" t="s">
        <v>8764</v>
      </c>
    </row>
    <row r="1187" spans="1:8" ht="38.25">
      <c r="A1187" s="108" t="s">
        <v>10592</v>
      </c>
      <c r="B1187" s="970" t="s">
        <v>10699</v>
      </c>
      <c r="C1187" s="970" t="s">
        <v>10700</v>
      </c>
      <c r="D1187" s="970" t="s">
        <v>10701</v>
      </c>
      <c r="E1187" s="970" t="s">
        <v>10702</v>
      </c>
      <c r="F1187" s="970" t="s">
        <v>10703</v>
      </c>
      <c r="G1187" s="108">
        <f t="shared" si="18"/>
        <v>4</v>
      </c>
      <c r="H1187" s="748" t="s">
        <v>8763</v>
      </c>
    </row>
    <row r="1188" spans="1:8" ht="38.25">
      <c r="A1188" s="108" t="s">
        <v>10592</v>
      </c>
      <c r="B1188" s="970" t="s">
        <v>10704</v>
      </c>
      <c r="C1188" s="970" t="s">
        <v>3221</v>
      </c>
      <c r="D1188" s="970" t="s">
        <v>2502</v>
      </c>
      <c r="E1188" s="970" t="s">
        <v>10705</v>
      </c>
      <c r="F1188" s="970" t="s">
        <v>10706</v>
      </c>
      <c r="G1188" s="108">
        <f t="shared" si="18"/>
        <v>1</v>
      </c>
      <c r="H1188" s="748" t="s">
        <v>8761</v>
      </c>
    </row>
    <row r="1189" spans="1:8" ht="25.5">
      <c r="A1189" s="108" t="s">
        <v>10592</v>
      </c>
      <c r="B1189" s="970" t="s">
        <v>2609</v>
      </c>
      <c r="C1189" s="970" t="s">
        <v>2610</v>
      </c>
      <c r="D1189" s="970" t="s">
        <v>2611</v>
      </c>
      <c r="E1189" s="970" t="s">
        <v>2612</v>
      </c>
      <c r="F1189" s="970" t="s">
        <v>10698</v>
      </c>
      <c r="G1189" s="108">
        <f t="shared" si="18"/>
        <v>2</v>
      </c>
      <c r="H1189" s="748" t="s">
        <v>8764</v>
      </c>
    </row>
    <row r="1190" spans="1:8">
      <c r="A1190" s="108" t="s">
        <v>10592</v>
      </c>
      <c r="B1190" s="978" t="s">
        <v>10707</v>
      </c>
      <c r="C1190" s="978" t="s">
        <v>10708</v>
      </c>
      <c r="D1190" s="978" t="s">
        <v>10709</v>
      </c>
      <c r="E1190" s="978" t="s">
        <v>10710</v>
      </c>
      <c r="F1190" s="978" t="s">
        <v>10711</v>
      </c>
      <c r="G1190" s="108">
        <f t="shared" si="18"/>
        <v>1</v>
      </c>
      <c r="H1190" s="979" t="s">
        <v>8761</v>
      </c>
    </row>
    <row r="1191" spans="1:8">
      <c r="A1191" s="108" t="s">
        <v>10592</v>
      </c>
      <c r="B1191" s="978" t="s">
        <v>10712</v>
      </c>
      <c r="C1191" s="978" t="s">
        <v>4841</v>
      </c>
      <c r="D1191" s="978" t="s">
        <v>266</v>
      </c>
      <c r="E1191" s="978" t="s">
        <v>74</v>
      </c>
      <c r="F1191" s="978" t="s">
        <v>174</v>
      </c>
      <c r="G1191" s="108">
        <f t="shared" si="18"/>
        <v>3</v>
      </c>
      <c r="H1191" s="979" t="s">
        <v>8766</v>
      </c>
    </row>
    <row r="1192" spans="1:8">
      <c r="A1192" s="108" t="s">
        <v>10592</v>
      </c>
      <c r="B1192" s="978" t="s">
        <v>10713</v>
      </c>
      <c r="C1192" s="978" t="s">
        <v>4841</v>
      </c>
      <c r="D1192" s="978" t="s">
        <v>10714</v>
      </c>
      <c r="E1192" s="978" t="s">
        <v>174</v>
      </c>
      <c r="F1192" s="978" t="s">
        <v>328</v>
      </c>
      <c r="G1192" s="108">
        <f t="shared" si="18"/>
        <v>4</v>
      </c>
      <c r="H1192" s="979" t="s">
        <v>8763</v>
      </c>
    </row>
    <row r="1193" spans="1:8" ht="26.25">
      <c r="A1193" s="108" t="s">
        <v>10592</v>
      </c>
      <c r="B1193" s="978" t="s">
        <v>10715</v>
      </c>
      <c r="C1193" s="978">
        <v>1991</v>
      </c>
      <c r="D1193" s="978">
        <v>2001</v>
      </c>
      <c r="E1193" s="978">
        <v>1998</v>
      </c>
      <c r="F1193" s="978">
        <v>1996</v>
      </c>
      <c r="G1193" s="108">
        <f t="shared" si="18"/>
        <v>3</v>
      </c>
      <c r="H1193" s="979" t="s">
        <v>8766</v>
      </c>
    </row>
    <row r="1194" spans="1:8">
      <c r="A1194" s="108" t="s">
        <v>10592</v>
      </c>
      <c r="B1194" s="978" t="s">
        <v>10716</v>
      </c>
      <c r="C1194" s="978">
        <v>1996</v>
      </c>
      <c r="D1194" s="978">
        <v>1998</v>
      </c>
      <c r="E1194" s="978">
        <v>1991</v>
      </c>
      <c r="F1194" s="978">
        <v>2003</v>
      </c>
      <c r="G1194" s="108">
        <f t="shared" si="18"/>
        <v>3</v>
      </c>
      <c r="H1194" s="979" t="s">
        <v>8766</v>
      </c>
    </row>
    <row r="1195" spans="1:8">
      <c r="A1195" s="108" t="s">
        <v>10592</v>
      </c>
      <c r="B1195" s="978" t="s">
        <v>10717</v>
      </c>
      <c r="C1195" s="978">
        <v>1991</v>
      </c>
      <c r="D1195" s="978">
        <v>1997</v>
      </c>
      <c r="E1195" s="978">
        <v>1998</v>
      </c>
      <c r="F1195" s="978">
        <v>2003</v>
      </c>
      <c r="G1195" s="108">
        <f t="shared" si="18"/>
        <v>4</v>
      </c>
      <c r="H1195" s="979" t="s">
        <v>8763</v>
      </c>
    </row>
    <row r="1196" spans="1:8">
      <c r="A1196" s="108" t="s">
        <v>10592</v>
      </c>
      <c r="B1196" s="978" t="s">
        <v>10718</v>
      </c>
      <c r="C1196" s="978">
        <v>1996</v>
      </c>
      <c r="D1196" s="978">
        <v>1996</v>
      </c>
      <c r="E1196" s="978">
        <v>1998</v>
      </c>
      <c r="F1196" s="978">
        <v>2003</v>
      </c>
      <c r="G1196" s="108">
        <f t="shared" si="18"/>
        <v>3</v>
      </c>
      <c r="H1196" s="979" t="s">
        <v>8766</v>
      </c>
    </row>
    <row r="1197" spans="1:8" ht="26.25">
      <c r="A1197" s="108" t="s">
        <v>10592</v>
      </c>
      <c r="B1197" s="978" t="s">
        <v>10719</v>
      </c>
      <c r="C1197" s="978" t="s">
        <v>73</v>
      </c>
      <c r="D1197" s="978" t="s">
        <v>74</v>
      </c>
      <c r="E1197" s="978" t="s">
        <v>174</v>
      </c>
      <c r="F1197" s="978" t="s">
        <v>6064</v>
      </c>
      <c r="G1197" s="108">
        <f t="shared" si="18"/>
        <v>2</v>
      </c>
      <c r="H1197" s="979" t="s">
        <v>8764</v>
      </c>
    </row>
    <row r="1198" spans="1:8" ht="26.25">
      <c r="A1198" s="108" t="s">
        <v>10592</v>
      </c>
      <c r="B1198" s="978" t="s">
        <v>10720</v>
      </c>
      <c r="C1198" s="978" t="s">
        <v>10721</v>
      </c>
      <c r="D1198" s="978" t="s">
        <v>74</v>
      </c>
      <c r="E1198" s="978" t="s">
        <v>174</v>
      </c>
      <c r="F1198" s="978" t="s">
        <v>980</v>
      </c>
      <c r="G1198" s="108">
        <f t="shared" si="18"/>
        <v>2</v>
      </c>
      <c r="H1198" s="979" t="s">
        <v>8764</v>
      </c>
    </row>
    <row r="1199" spans="1:8">
      <c r="A1199" s="108" t="s">
        <v>10592</v>
      </c>
      <c r="B1199" s="978" t="s">
        <v>10722</v>
      </c>
      <c r="C1199" s="978" t="s">
        <v>174</v>
      </c>
      <c r="D1199" s="978" t="s">
        <v>74</v>
      </c>
      <c r="E1199" s="978" t="s">
        <v>980</v>
      </c>
      <c r="F1199" s="978" t="s">
        <v>10723</v>
      </c>
      <c r="G1199" s="108">
        <f t="shared" si="18"/>
        <v>1</v>
      </c>
      <c r="H1199" s="979" t="s">
        <v>8761</v>
      </c>
    </row>
    <row r="1200" spans="1:8" ht="26.25">
      <c r="A1200" s="108" t="s">
        <v>10592</v>
      </c>
      <c r="B1200" s="978" t="s">
        <v>10724</v>
      </c>
      <c r="C1200" s="978" t="s">
        <v>10725</v>
      </c>
      <c r="D1200" s="978" t="s">
        <v>10726</v>
      </c>
      <c r="E1200" s="978" t="s">
        <v>10727</v>
      </c>
      <c r="F1200" s="978" t="s">
        <v>10728</v>
      </c>
      <c r="G1200" s="108">
        <f t="shared" si="18"/>
        <v>2</v>
      </c>
      <c r="H1200" s="979" t="s">
        <v>8764</v>
      </c>
    </row>
    <row r="1201" spans="1:8">
      <c r="A1201" s="108" t="s">
        <v>10592</v>
      </c>
      <c r="B1201" s="978" t="s">
        <v>10729</v>
      </c>
      <c r="C1201" s="978" t="s">
        <v>173</v>
      </c>
      <c r="D1201" s="978" t="s">
        <v>5309</v>
      </c>
      <c r="E1201" s="978" t="s">
        <v>10730</v>
      </c>
      <c r="F1201" s="978" t="s">
        <v>61</v>
      </c>
      <c r="G1201" s="108">
        <f t="shared" si="18"/>
        <v>2</v>
      </c>
      <c r="H1201" s="979" t="s">
        <v>8764</v>
      </c>
    </row>
    <row r="1202" spans="1:8" ht="26.25">
      <c r="A1202" s="108" t="s">
        <v>10592</v>
      </c>
      <c r="B1202" s="978" t="s">
        <v>10731</v>
      </c>
      <c r="C1202" s="978" t="s">
        <v>10732</v>
      </c>
      <c r="D1202" s="978" t="s">
        <v>993</v>
      </c>
      <c r="E1202" s="978" t="s">
        <v>10733</v>
      </c>
      <c r="F1202" s="978" t="s">
        <v>209</v>
      </c>
      <c r="G1202" s="108">
        <f t="shared" si="18"/>
        <v>1</v>
      </c>
      <c r="H1202" s="979" t="s">
        <v>8761</v>
      </c>
    </row>
    <row r="1203" spans="1:8" ht="39">
      <c r="A1203" s="108" t="s">
        <v>10592</v>
      </c>
      <c r="B1203" s="978" t="s">
        <v>10734</v>
      </c>
      <c r="C1203" s="978" t="s">
        <v>10735</v>
      </c>
      <c r="D1203" s="978" t="s">
        <v>10736</v>
      </c>
      <c r="E1203" s="978" t="s">
        <v>10737</v>
      </c>
      <c r="F1203" s="978" t="s">
        <v>10738</v>
      </c>
      <c r="G1203" s="108">
        <f t="shared" si="18"/>
        <v>2</v>
      </c>
      <c r="H1203" s="979" t="s">
        <v>8764</v>
      </c>
    </row>
    <row r="1204" spans="1:8" ht="26.25">
      <c r="A1204" s="108" t="s">
        <v>10592</v>
      </c>
      <c r="B1204" s="978" t="s">
        <v>10739</v>
      </c>
      <c r="C1204" s="978" t="s">
        <v>9030</v>
      </c>
      <c r="D1204" s="978" t="s">
        <v>1555</v>
      </c>
      <c r="E1204" s="978" t="s">
        <v>10740</v>
      </c>
      <c r="F1204" s="978" t="s">
        <v>74</v>
      </c>
      <c r="G1204" s="108">
        <f t="shared" si="18"/>
        <v>1</v>
      </c>
      <c r="H1204" s="979" t="s">
        <v>8761</v>
      </c>
    </row>
    <row r="1205" spans="1:8" ht="26.25">
      <c r="A1205" s="108" t="s">
        <v>10592</v>
      </c>
      <c r="B1205" s="978" t="s">
        <v>10741</v>
      </c>
      <c r="C1205" s="978" t="s">
        <v>10742</v>
      </c>
      <c r="D1205" s="978" t="s">
        <v>73</v>
      </c>
      <c r="E1205" s="978" t="s">
        <v>557</v>
      </c>
      <c r="F1205" s="978" t="s">
        <v>137</v>
      </c>
      <c r="G1205" s="108">
        <f t="shared" si="18"/>
        <v>3</v>
      </c>
      <c r="H1205" s="979" t="s">
        <v>8766</v>
      </c>
    </row>
    <row r="1206" spans="1:8" ht="26.25">
      <c r="A1206" s="108" t="s">
        <v>10592</v>
      </c>
      <c r="B1206" s="978" t="s">
        <v>10743</v>
      </c>
      <c r="C1206" s="978" t="s">
        <v>174</v>
      </c>
      <c r="D1206" s="978" t="s">
        <v>5307</v>
      </c>
      <c r="E1206" s="978" t="s">
        <v>74</v>
      </c>
      <c r="F1206" s="978" t="s">
        <v>10744</v>
      </c>
      <c r="G1206" s="108">
        <f t="shared" si="18"/>
        <v>2</v>
      </c>
      <c r="H1206" s="979" t="s">
        <v>8764</v>
      </c>
    </row>
    <row r="1207" spans="1:8" ht="39">
      <c r="A1207" s="108" t="s">
        <v>10592</v>
      </c>
      <c r="B1207" s="978" t="s">
        <v>10745</v>
      </c>
      <c r="C1207" s="978" t="s">
        <v>10746</v>
      </c>
      <c r="D1207" s="978" t="s">
        <v>10747</v>
      </c>
      <c r="E1207" s="978" t="s">
        <v>3223</v>
      </c>
      <c r="F1207" s="978" t="s">
        <v>1203</v>
      </c>
      <c r="G1207" s="108">
        <f t="shared" si="18"/>
        <v>2</v>
      </c>
      <c r="H1207" s="979" t="s">
        <v>8764</v>
      </c>
    </row>
    <row r="1208" spans="1:8" ht="26.25">
      <c r="A1208" s="108" t="s">
        <v>10592</v>
      </c>
      <c r="B1208" s="978" t="s">
        <v>10748</v>
      </c>
      <c r="C1208" s="978" t="s">
        <v>10749</v>
      </c>
      <c r="D1208" s="978" t="s">
        <v>10750</v>
      </c>
      <c r="E1208" s="978" t="s">
        <v>10751</v>
      </c>
      <c r="F1208" s="978" t="s">
        <v>557</v>
      </c>
      <c r="G1208" s="108">
        <f t="shared" si="18"/>
        <v>2</v>
      </c>
      <c r="H1208" s="979" t="s">
        <v>8764</v>
      </c>
    </row>
    <row r="1209" spans="1:8" ht="39">
      <c r="A1209" s="108" t="s">
        <v>10592</v>
      </c>
      <c r="B1209" s="978" t="s">
        <v>10752</v>
      </c>
      <c r="C1209" s="978" t="s">
        <v>10753</v>
      </c>
      <c r="D1209" s="978" t="s">
        <v>10754</v>
      </c>
      <c r="E1209" s="978" t="s">
        <v>10755</v>
      </c>
      <c r="F1209" s="978" t="s">
        <v>10756</v>
      </c>
      <c r="G1209" s="108">
        <f t="shared" si="18"/>
        <v>3</v>
      </c>
      <c r="H1209" s="979" t="s">
        <v>8766</v>
      </c>
    </row>
    <row r="1210" spans="1:8" ht="51.75">
      <c r="A1210" s="108" t="s">
        <v>10592</v>
      </c>
      <c r="B1210" s="978" t="s">
        <v>10757</v>
      </c>
      <c r="C1210" s="978" t="s">
        <v>10758</v>
      </c>
      <c r="D1210" s="978" t="s">
        <v>10759</v>
      </c>
      <c r="E1210" s="978" t="s">
        <v>10760</v>
      </c>
      <c r="F1210" s="978" t="s">
        <v>10761</v>
      </c>
      <c r="G1210" s="108">
        <f t="shared" si="18"/>
        <v>2</v>
      </c>
      <c r="H1210" s="979" t="s">
        <v>8764</v>
      </c>
    </row>
    <row r="1211" spans="1:8" ht="39">
      <c r="A1211" s="108" t="s">
        <v>10592</v>
      </c>
      <c r="B1211" s="978" t="s">
        <v>10762</v>
      </c>
      <c r="C1211" s="978" t="s">
        <v>10763</v>
      </c>
      <c r="D1211" s="978" t="s">
        <v>10764</v>
      </c>
      <c r="E1211" s="978" t="s">
        <v>10765</v>
      </c>
      <c r="F1211" s="978" t="s">
        <v>10766</v>
      </c>
      <c r="G1211" s="108">
        <f t="shared" si="18"/>
        <v>3</v>
      </c>
      <c r="H1211" s="979" t="s">
        <v>8766</v>
      </c>
    </row>
    <row r="1212" spans="1:8" ht="39">
      <c r="A1212" s="108" t="s">
        <v>10592</v>
      </c>
      <c r="B1212" s="978" t="s">
        <v>10767</v>
      </c>
      <c r="C1212" s="980">
        <v>1</v>
      </c>
      <c r="D1212" s="980">
        <v>0.1</v>
      </c>
      <c r="E1212" s="980">
        <v>0.5</v>
      </c>
      <c r="F1212" s="980">
        <v>0.49</v>
      </c>
      <c r="G1212" s="108">
        <f t="shared" si="18"/>
        <v>4</v>
      </c>
      <c r="H1212" s="979" t="s">
        <v>8763</v>
      </c>
    </row>
    <row r="1213" spans="1:8" ht="77.25">
      <c r="A1213" s="108" t="s">
        <v>10592</v>
      </c>
      <c r="B1213" s="978" t="s">
        <v>10768</v>
      </c>
      <c r="C1213" s="978" t="s">
        <v>10769</v>
      </c>
      <c r="D1213" s="978" t="s">
        <v>10770</v>
      </c>
      <c r="E1213" s="978" t="s">
        <v>10771</v>
      </c>
      <c r="F1213" s="978" t="s">
        <v>10772</v>
      </c>
      <c r="G1213" s="108">
        <f t="shared" si="18"/>
        <v>4</v>
      </c>
      <c r="H1213" s="979" t="s">
        <v>8763</v>
      </c>
    </row>
    <row r="1214" spans="1:8" ht="77.25">
      <c r="A1214" s="108" t="s">
        <v>10592</v>
      </c>
      <c r="B1214" s="978" t="s">
        <v>10773</v>
      </c>
      <c r="C1214" s="978" t="s">
        <v>10774</v>
      </c>
      <c r="D1214" s="978" t="s">
        <v>10775</v>
      </c>
      <c r="E1214" s="978" t="s">
        <v>10776</v>
      </c>
      <c r="F1214" s="978" t="s">
        <v>10777</v>
      </c>
      <c r="G1214" s="108">
        <f t="shared" si="18"/>
        <v>4</v>
      </c>
      <c r="H1214" s="979" t="s">
        <v>8763</v>
      </c>
    </row>
    <row r="1215" spans="1:8" ht="77.25">
      <c r="A1215" s="108" t="s">
        <v>10592</v>
      </c>
      <c r="B1215" s="978" t="s">
        <v>10778</v>
      </c>
      <c r="C1215" s="978" t="s">
        <v>10777</v>
      </c>
      <c r="D1215" s="978" t="s">
        <v>10774</v>
      </c>
      <c r="E1215" s="978" t="s">
        <v>10775</v>
      </c>
      <c r="F1215" s="978" t="s">
        <v>10776</v>
      </c>
      <c r="G1215" s="108">
        <f t="shared" si="18"/>
        <v>2</v>
      </c>
      <c r="H1215" s="979" t="s">
        <v>8764</v>
      </c>
    </row>
    <row r="1216" spans="1:8" ht="51.75">
      <c r="A1216" s="108" t="s">
        <v>10592</v>
      </c>
      <c r="B1216" s="978" t="s">
        <v>10779</v>
      </c>
      <c r="C1216" s="978" t="s">
        <v>10780</v>
      </c>
      <c r="D1216" s="978" t="s">
        <v>10781</v>
      </c>
      <c r="E1216" s="978" t="s">
        <v>10782</v>
      </c>
      <c r="F1216" s="978" t="s">
        <v>10783</v>
      </c>
      <c r="G1216" s="108">
        <f t="shared" si="18"/>
        <v>1</v>
      </c>
      <c r="H1216" s="979" t="s">
        <v>8761</v>
      </c>
    </row>
    <row r="1217" spans="1:8" ht="39">
      <c r="A1217" s="108" t="s">
        <v>10592</v>
      </c>
      <c r="B1217" s="978" t="s">
        <v>10784</v>
      </c>
      <c r="C1217" s="978" t="s">
        <v>10785</v>
      </c>
      <c r="D1217" s="978" t="s">
        <v>10786</v>
      </c>
      <c r="E1217" s="978" t="s">
        <v>10787</v>
      </c>
      <c r="F1217" s="978" t="s">
        <v>10788</v>
      </c>
      <c r="G1217" s="108">
        <f t="shared" si="18"/>
        <v>3</v>
      </c>
      <c r="H1217" s="979" t="s">
        <v>8766</v>
      </c>
    </row>
    <row r="1218" spans="1:8" ht="51.75">
      <c r="A1218" s="108" t="s">
        <v>10592</v>
      </c>
      <c r="B1218" s="978" t="s">
        <v>10789</v>
      </c>
      <c r="C1218" s="978" t="s">
        <v>10785</v>
      </c>
      <c r="D1218" s="978" t="s">
        <v>10786</v>
      </c>
      <c r="E1218" s="978" t="s">
        <v>10787</v>
      </c>
      <c r="F1218" s="978" t="s">
        <v>10790</v>
      </c>
      <c r="G1218" s="108">
        <f t="shared" si="18"/>
        <v>4</v>
      </c>
      <c r="H1218" s="979" t="s">
        <v>8763</v>
      </c>
    </row>
    <row r="1219" spans="1:8">
      <c r="A1219" s="108" t="s">
        <v>10592</v>
      </c>
      <c r="B1219" s="978" t="s">
        <v>10791</v>
      </c>
      <c r="C1219" s="978" t="s">
        <v>174</v>
      </c>
      <c r="D1219" s="978" t="s">
        <v>173</v>
      </c>
      <c r="E1219" s="978" t="s">
        <v>3231</v>
      </c>
      <c r="F1219" s="978" t="s">
        <v>74</v>
      </c>
      <c r="G1219" s="108">
        <f t="shared" ref="G1219:G1282" si="19">IF(H1219="A",1,IF(H1219="B",2,IF(H1219="C",3,IF(H1219="D",4,0))))</f>
        <v>3</v>
      </c>
      <c r="H1219" s="979" t="s">
        <v>8766</v>
      </c>
    </row>
    <row r="1220" spans="1:8" ht="77.25">
      <c r="A1220" s="108" t="s">
        <v>10592</v>
      </c>
      <c r="B1220" s="978" t="s">
        <v>10792</v>
      </c>
      <c r="C1220" s="978" t="s">
        <v>10793</v>
      </c>
      <c r="D1220" s="978" t="s">
        <v>10794</v>
      </c>
      <c r="E1220" s="978" t="s">
        <v>10795</v>
      </c>
      <c r="F1220" s="978" t="s">
        <v>10796</v>
      </c>
      <c r="G1220" s="108">
        <f t="shared" si="19"/>
        <v>4</v>
      </c>
      <c r="H1220" s="979" t="s">
        <v>8763</v>
      </c>
    </row>
    <row r="1221" spans="1:8" ht="64.5">
      <c r="A1221" s="108" t="s">
        <v>10592</v>
      </c>
      <c r="B1221" s="978" t="s">
        <v>10797</v>
      </c>
      <c r="C1221" s="978" t="s">
        <v>10798</v>
      </c>
      <c r="D1221" s="978" t="s">
        <v>10799</v>
      </c>
      <c r="E1221" s="978" t="s">
        <v>10800</v>
      </c>
      <c r="F1221" s="978" t="s">
        <v>10801</v>
      </c>
      <c r="G1221" s="108">
        <f t="shared" si="19"/>
        <v>2</v>
      </c>
      <c r="H1221" s="979" t="s">
        <v>8764</v>
      </c>
    </row>
    <row r="1222" spans="1:8" ht="39">
      <c r="A1222" s="108" t="s">
        <v>10592</v>
      </c>
      <c r="B1222" s="978" t="s">
        <v>10802</v>
      </c>
      <c r="C1222" s="978" t="s">
        <v>10803</v>
      </c>
      <c r="D1222" s="978" t="s">
        <v>7291</v>
      </c>
      <c r="E1222" s="978" t="s">
        <v>2637</v>
      </c>
      <c r="F1222" s="978" t="s">
        <v>7293</v>
      </c>
      <c r="G1222" s="108">
        <f t="shared" si="19"/>
        <v>2</v>
      </c>
      <c r="H1222" s="979" t="s">
        <v>8764</v>
      </c>
    </row>
    <row r="1223" spans="1:8" ht="90">
      <c r="A1223" s="108" t="s">
        <v>10592</v>
      </c>
      <c r="B1223" s="978" t="s">
        <v>10804</v>
      </c>
      <c r="C1223" s="978" t="s">
        <v>10805</v>
      </c>
      <c r="D1223" s="978" t="s">
        <v>10806</v>
      </c>
      <c r="E1223" s="978" t="s">
        <v>10807</v>
      </c>
      <c r="F1223" s="978" t="s">
        <v>10808</v>
      </c>
      <c r="G1223" s="108">
        <f t="shared" si="19"/>
        <v>3</v>
      </c>
      <c r="H1223" s="979" t="s">
        <v>8766</v>
      </c>
    </row>
    <row r="1224" spans="1:8" ht="51.75">
      <c r="A1224" s="108" t="s">
        <v>10592</v>
      </c>
      <c r="B1224" s="978" t="s">
        <v>10809</v>
      </c>
      <c r="C1224" s="978" t="s">
        <v>10810</v>
      </c>
      <c r="D1224" s="978" t="s">
        <v>10811</v>
      </c>
      <c r="E1224" s="978" t="s">
        <v>10812</v>
      </c>
      <c r="F1224" s="978" t="s">
        <v>10813</v>
      </c>
      <c r="G1224" s="108">
        <f t="shared" si="19"/>
        <v>2</v>
      </c>
      <c r="H1224" s="979" t="s">
        <v>8764</v>
      </c>
    </row>
    <row r="1225" spans="1:8" ht="26.25">
      <c r="A1225" s="108" t="s">
        <v>10592</v>
      </c>
      <c r="B1225" s="978" t="s">
        <v>10814</v>
      </c>
      <c r="C1225" s="978" t="s">
        <v>10815</v>
      </c>
      <c r="D1225" s="978" t="s">
        <v>10816</v>
      </c>
      <c r="E1225" s="978" t="s">
        <v>10817</v>
      </c>
      <c r="F1225" s="978" t="s">
        <v>10818</v>
      </c>
      <c r="G1225" s="108">
        <f t="shared" si="19"/>
        <v>2</v>
      </c>
      <c r="H1225" s="979" t="s">
        <v>8764</v>
      </c>
    </row>
    <row r="1226" spans="1:8" ht="51.75">
      <c r="A1226" s="108" t="s">
        <v>10592</v>
      </c>
      <c r="B1226" s="978" t="s">
        <v>10819</v>
      </c>
      <c r="C1226" s="978" t="s">
        <v>10820</v>
      </c>
      <c r="D1226" s="978" t="s">
        <v>10821</v>
      </c>
      <c r="E1226" s="978" t="s">
        <v>10822</v>
      </c>
      <c r="F1226" s="978" t="s">
        <v>10823</v>
      </c>
      <c r="G1226" s="108">
        <f t="shared" si="19"/>
        <v>4</v>
      </c>
      <c r="H1226" s="979" t="s">
        <v>8763</v>
      </c>
    </row>
    <row r="1227" spans="1:8" ht="51.75">
      <c r="A1227" s="108" t="s">
        <v>10592</v>
      </c>
      <c r="B1227" s="978" t="s">
        <v>10824</v>
      </c>
      <c r="C1227" s="978" t="s">
        <v>10825</v>
      </c>
      <c r="D1227" s="978" t="s">
        <v>10826</v>
      </c>
      <c r="E1227" s="978" t="s">
        <v>10827</v>
      </c>
      <c r="F1227" s="978" t="s">
        <v>10828</v>
      </c>
      <c r="G1227" s="108">
        <f t="shared" si="19"/>
        <v>2</v>
      </c>
      <c r="H1227" s="979" t="s">
        <v>8764</v>
      </c>
    </row>
    <row r="1228" spans="1:8" ht="51.75">
      <c r="A1228" s="108" t="s">
        <v>10592</v>
      </c>
      <c r="B1228" s="978" t="s">
        <v>10829</v>
      </c>
      <c r="C1228" s="978" t="s">
        <v>10830</v>
      </c>
      <c r="D1228" s="978" t="s">
        <v>10831</v>
      </c>
      <c r="E1228" s="978" t="s">
        <v>10832</v>
      </c>
      <c r="F1228" s="978" t="s">
        <v>10833</v>
      </c>
      <c r="G1228" s="108">
        <f t="shared" si="19"/>
        <v>4</v>
      </c>
      <c r="H1228" s="979" t="s">
        <v>8763</v>
      </c>
    </row>
    <row r="1229" spans="1:8" ht="102.75">
      <c r="A1229" s="108" t="s">
        <v>10592</v>
      </c>
      <c r="B1229" s="978" t="s">
        <v>10834</v>
      </c>
      <c r="C1229" s="978" t="s">
        <v>10835</v>
      </c>
      <c r="D1229" s="978" t="s">
        <v>10836</v>
      </c>
      <c r="E1229" s="978" t="s">
        <v>10837</v>
      </c>
      <c r="F1229" s="978" t="s">
        <v>10838</v>
      </c>
      <c r="G1229" s="108">
        <f t="shared" si="19"/>
        <v>3</v>
      </c>
      <c r="H1229" s="979" t="s">
        <v>8766</v>
      </c>
    </row>
    <row r="1230" spans="1:8" ht="77.25">
      <c r="A1230" s="108" t="s">
        <v>10592</v>
      </c>
      <c r="B1230" s="978" t="s">
        <v>10839</v>
      </c>
      <c r="C1230" s="978" t="s">
        <v>10840</v>
      </c>
      <c r="D1230" s="978" t="s">
        <v>10841</v>
      </c>
      <c r="E1230" s="978" t="s">
        <v>10842</v>
      </c>
      <c r="F1230" s="978" t="s">
        <v>10843</v>
      </c>
      <c r="G1230" s="108">
        <f t="shared" si="19"/>
        <v>1</v>
      </c>
      <c r="H1230" s="979" t="s">
        <v>8761</v>
      </c>
    </row>
    <row r="1231" spans="1:8" ht="51.75">
      <c r="A1231" s="108" t="s">
        <v>10592</v>
      </c>
      <c r="B1231" s="978" t="s">
        <v>10839</v>
      </c>
      <c r="C1231" s="978" t="s">
        <v>10844</v>
      </c>
      <c r="D1231" s="978" t="s">
        <v>10845</v>
      </c>
      <c r="E1231" s="978" t="s">
        <v>10846</v>
      </c>
      <c r="F1231" s="978" t="s">
        <v>10847</v>
      </c>
      <c r="G1231" s="108">
        <f t="shared" si="19"/>
        <v>1</v>
      </c>
      <c r="H1231" s="979" t="s">
        <v>8761</v>
      </c>
    </row>
    <row r="1232" spans="1:8" ht="26.25">
      <c r="A1232" s="108" t="s">
        <v>10592</v>
      </c>
      <c r="B1232" s="978" t="s">
        <v>10848</v>
      </c>
      <c r="C1232" s="978" t="s">
        <v>10849</v>
      </c>
      <c r="D1232" s="978" t="s">
        <v>10850</v>
      </c>
      <c r="E1232" s="978" t="s">
        <v>10851</v>
      </c>
      <c r="F1232" s="978" t="s">
        <v>10852</v>
      </c>
      <c r="G1232" s="108">
        <f t="shared" si="19"/>
        <v>1</v>
      </c>
      <c r="H1232" s="979" t="s">
        <v>8761</v>
      </c>
    </row>
    <row r="1233" spans="1:8" ht="26.25">
      <c r="A1233" s="108" t="s">
        <v>10592</v>
      </c>
      <c r="B1233" s="978" t="s">
        <v>10853</v>
      </c>
      <c r="C1233" s="978" t="s">
        <v>10815</v>
      </c>
      <c r="D1233" s="978" t="s">
        <v>10816</v>
      </c>
      <c r="E1233" s="978" t="s">
        <v>10817</v>
      </c>
      <c r="F1233" s="978" t="s">
        <v>10818</v>
      </c>
      <c r="G1233" s="108">
        <f t="shared" si="19"/>
        <v>2</v>
      </c>
      <c r="H1233" s="979" t="s">
        <v>8764</v>
      </c>
    </row>
    <row r="1234" spans="1:8" ht="26.25">
      <c r="A1234" s="108" t="s">
        <v>10592</v>
      </c>
      <c r="B1234" s="978" t="s">
        <v>10854</v>
      </c>
      <c r="C1234" s="978" t="s">
        <v>174</v>
      </c>
      <c r="D1234" s="978" t="s">
        <v>3231</v>
      </c>
      <c r="E1234" s="978" t="s">
        <v>74</v>
      </c>
      <c r="F1234" s="978" t="s">
        <v>10855</v>
      </c>
      <c r="G1234" s="108">
        <f t="shared" si="19"/>
        <v>3</v>
      </c>
      <c r="H1234" s="979" t="s">
        <v>8766</v>
      </c>
    </row>
    <row r="1235" spans="1:8" ht="39">
      <c r="A1235" s="108" t="s">
        <v>10592</v>
      </c>
      <c r="B1235" s="978" t="s">
        <v>10856</v>
      </c>
      <c r="C1235" s="978" t="s">
        <v>10857</v>
      </c>
      <c r="D1235" s="978" t="s">
        <v>10858</v>
      </c>
      <c r="E1235" s="978" t="s">
        <v>10859</v>
      </c>
      <c r="F1235" s="978" t="s">
        <v>10860</v>
      </c>
      <c r="G1235" s="108">
        <f t="shared" si="19"/>
        <v>2</v>
      </c>
      <c r="H1235" s="979" t="s">
        <v>8764</v>
      </c>
    </row>
    <row r="1236" spans="1:8" ht="39">
      <c r="A1236" s="108" t="s">
        <v>10592</v>
      </c>
      <c r="B1236" s="978" t="s">
        <v>10861</v>
      </c>
      <c r="C1236" s="978" t="s">
        <v>10862</v>
      </c>
      <c r="D1236" s="978" t="s">
        <v>10863</v>
      </c>
      <c r="E1236" s="978" t="s">
        <v>10864</v>
      </c>
      <c r="F1236" s="978" t="s">
        <v>10865</v>
      </c>
      <c r="G1236" s="108">
        <f t="shared" si="19"/>
        <v>1</v>
      </c>
      <c r="H1236" s="979" t="s">
        <v>8761</v>
      </c>
    </row>
    <row r="1237" spans="1:8" ht="26.25">
      <c r="A1237" s="108" t="s">
        <v>10592</v>
      </c>
      <c r="B1237" s="978" t="s">
        <v>10866</v>
      </c>
      <c r="C1237" s="980">
        <v>0.25</v>
      </c>
      <c r="D1237" s="980">
        <v>0.15</v>
      </c>
      <c r="E1237" s="980">
        <v>0.2</v>
      </c>
      <c r="F1237" s="978" t="s">
        <v>328</v>
      </c>
      <c r="G1237" s="108">
        <f t="shared" si="19"/>
        <v>2</v>
      </c>
      <c r="H1237" s="979" t="s">
        <v>8764</v>
      </c>
    </row>
    <row r="1238" spans="1:8" ht="26.25">
      <c r="A1238" s="108" t="s">
        <v>10592</v>
      </c>
      <c r="B1238" s="978" t="s">
        <v>10867</v>
      </c>
      <c r="C1238" s="980">
        <v>0.2</v>
      </c>
      <c r="D1238" s="980">
        <v>0.3</v>
      </c>
      <c r="E1238" s="980">
        <v>0.4</v>
      </c>
      <c r="F1238" s="980">
        <v>0.5</v>
      </c>
      <c r="G1238" s="108">
        <f t="shared" si="19"/>
        <v>4</v>
      </c>
      <c r="H1238" s="979" t="s">
        <v>8763</v>
      </c>
    </row>
    <row r="1239" spans="1:8" ht="26.25">
      <c r="A1239" s="108" t="s">
        <v>10592</v>
      </c>
      <c r="B1239" s="978" t="s">
        <v>10868</v>
      </c>
      <c r="C1239" s="978">
        <v>100</v>
      </c>
      <c r="D1239" s="978">
        <v>120</v>
      </c>
      <c r="E1239" s="978">
        <v>180</v>
      </c>
      <c r="F1239" s="978">
        <v>150</v>
      </c>
      <c r="G1239" s="108">
        <f t="shared" si="19"/>
        <v>3</v>
      </c>
      <c r="H1239" s="979" t="s">
        <v>8766</v>
      </c>
    </row>
    <row r="1240" spans="1:8" ht="26.25">
      <c r="A1240" s="108" t="s">
        <v>10592</v>
      </c>
      <c r="B1240" s="978" t="s">
        <v>10869</v>
      </c>
      <c r="C1240" s="978" t="s">
        <v>10870</v>
      </c>
      <c r="D1240" s="978" t="s">
        <v>10871</v>
      </c>
      <c r="E1240" s="978" t="s">
        <v>10872</v>
      </c>
      <c r="F1240" s="978" t="s">
        <v>10873</v>
      </c>
      <c r="G1240" s="108">
        <f t="shared" si="19"/>
        <v>1</v>
      </c>
      <c r="H1240" s="979" t="s">
        <v>8761</v>
      </c>
    </row>
    <row r="1241" spans="1:8" ht="128.25">
      <c r="A1241" s="108" t="s">
        <v>10592</v>
      </c>
      <c r="B1241" s="978" t="s">
        <v>2613</v>
      </c>
      <c r="C1241" s="978" t="s">
        <v>239</v>
      </c>
      <c r="D1241" s="978" t="s">
        <v>2614</v>
      </c>
      <c r="E1241" s="978" t="s">
        <v>237</v>
      </c>
      <c r="F1241" s="978" t="s">
        <v>2615</v>
      </c>
      <c r="G1241" s="108">
        <f t="shared" si="19"/>
        <v>1</v>
      </c>
      <c r="H1241" s="979" t="s">
        <v>8761</v>
      </c>
    </row>
    <row r="1242" spans="1:8" ht="26.25">
      <c r="A1242" s="108" t="s">
        <v>10592</v>
      </c>
      <c r="B1242" s="978" t="s">
        <v>10874</v>
      </c>
      <c r="C1242" s="980">
        <v>0.14000000000000001</v>
      </c>
      <c r="D1242" s="980">
        <v>0.17</v>
      </c>
      <c r="E1242" s="981">
        <v>0.14499999999999999</v>
      </c>
      <c r="F1242" s="981">
        <v>0.155</v>
      </c>
      <c r="G1242" s="108">
        <f t="shared" si="19"/>
        <v>2</v>
      </c>
      <c r="H1242" s="979" t="s">
        <v>8764</v>
      </c>
    </row>
    <row r="1243" spans="1:8" ht="26.25">
      <c r="A1243" s="108" t="s">
        <v>10592</v>
      </c>
      <c r="B1243" s="978" t="s">
        <v>10875</v>
      </c>
      <c r="C1243" s="978" t="s">
        <v>10876</v>
      </c>
      <c r="D1243" s="978" t="s">
        <v>10877</v>
      </c>
      <c r="E1243" s="978" t="s">
        <v>10614</v>
      </c>
      <c r="F1243" s="978" t="s">
        <v>10878</v>
      </c>
      <c r="G1243" s="108">
        <f t="shared" si="19"/>
        <v>2</v>
      </c>
      <c r="H1243" s="979" t="s">
        <v>8764</v>
      </c>
    </row>
    <row r="1244" spans="1:8">
      <c r="A1244" s="108" t="s">
        <v>10592</v>
      </c>
      <c r="B1244" s="978" t="s">
        <v>2617</v>
      </c>
      <c r="C1244" s="978" t="s">
        <v>2120</v>
      </c>
      <c r="D1244" s="978" t="s">
        <v>2121</v>
      </c>
      <c r="E1244" s="978" t="s">
        <v>2480</v>
      </c>
      <c r="F1244" s="978" t="s">
        <v>2618</v>
      </c>
      <c r="G1244" s="108">
        <f t="shared" si="19"/>
        <v>1</v>
      </c>
      <c r="H1244" s="979" t="s">
        <v>8761</v>
      </c>
    </row>
    <row r="1245" spans="1:8" ht="26.25">
      <c r="A1245" s="108" t="s">
        <v>10592</v>
      </c>
      <c r="B1245" s="978" t="s">
        <v>10879</v>
      </c>
      <c r="C1245" s="981">
        <v>2.5000000000000001E-2</v>
      </c>
      <c r="D1245" s="981">
        <v>3.5000000000000003E-2</v>
      </c>
      <c r="E1245" s="981">
        <v>0.04</v>
      </c>
      <c r="F1245" s="981">
        <v>1.4999999999999999E-2</v>
      </c>
      <c r="G1245" s="108">
        <f t="shared" si="19"/>
        <v>3</v>
      </c>
      <c r="H1245" s="979" t="s">
        <v>8766</v>
      </c>
    </row>
    <row r="1246" spans="1:8" ht="39">
      <c r="A1246" s="108" t="s">
        <v>10592</v>
      </c>
      <c r="B1246" s="978" t="s">
        <v>2620</v>
      </c>
      <c r="C1246" s="982">
        <v>2.9375</v>
      </c>
      <c r="D1246" s="982">
        <v>2.5277777777777777</v>
      </c>
      <c r="E1246" s="982">
        <v>2.1180555555555558</v>
      </c>
      <c r="F1246" s="978" t="s">
        <v>10880</v>
      </c>
      <c r="G1246" s="108">
        <f t="shared" si="19"/>
        <v>4</v>
      </c>
      <c r="H1246" s="979" t="s">
        <v>8763</v>
      </c>
    </row>
    <row r="1247" spans="1:8" ht="26.25">
      <c r="A1247" s="108" t="s">
        <v>10592</v>
      </c>
      <c r="B1247" s="978" t="s">
        <v>10881</v>
      </c>
      <c r="C1247" s="978" t="s">
        <v>2484</v>
      </c>
      <c r="D1247" s="978" t="s">
        <v>2485</v>
      </c>
      <c r="E1247" s="978" t="s">
        <v>10882</v>
      </c>
      <c r="F1247" s="978" t="s">
        <v>2487</v>
      </c>
      <c r="G1247" s="108">
        <f t="shared" si="19"/>
        <v>3</v>
      </c>
      <c r="H1247" s="979" t="s">
        <v>8766</v>
      </c>
    </row>
    <row r="1248" spans="1:8" ht="51.75">
      <c r="A1248" s="108" t="s">
        <v>10592</v>
      </c>
      <c r="B1248" s="978" t="s">
        <v>10883</v>
      </c>
      <c r="C1248" s="978" t="s">
        <v>10884</v>
      </c>
      <c r="D1248" s="978" t="s">
        <v>10885</v>
      </c>
      <c r="E1248" s="978" t="s">
        <v>10886</v>
      </c>
      <c r="F1248" s="978" t="s">
        <v>10887</v>
      </c>
      <c r="G1248" s="108">
        <f t="shared" si="19"/>
        <v>4</v>
      </c>
      <c r="H1248" s="979" t="s">
        <v>8763</v>
      </c>
    </row>
    <row r="1249" spans="1:8" ht="26.25">
      <c r="A1249" s="108" t="s">
        <v>10592</v>
      </c>
      <c r="B1249" s="978" t="s">
        <v>10888</v>
      </c>
      <c r="C1249" s="980">
        <v>0.75</v>
      </c>
      <c r="D1249" s="980">
        <v>0.8</v>
      </c>
      <c r="E1249" s="980">
        <v>0.85</v>
      </c>
      <c r="F1249" s="980">
        <v>0.9</v>
      </c>
      <c r="G1249" s="108">
        <f t="shared" si="19"/>
        <v>3</v>
      </c>
      <c r="H1249" s="979" t="s">
        <v>8766</v>
      </c>
    </row>
    <row r="1250" spans="1:8" ht="26.25">
      <c r="A1250" s="108" t="s">
        <v>10592</v>
      </c>
      <c r="B1250" s="978" t="s">
        <v>10889</v>
      </c>
      <c r="C1250" s="978" t="s">
        <v>10890</v>
      </c>
      <c r="D1250" s="978" t="s">
        <v>1136</v>
      </c>
      <c r="E1250" s="978" t="s">
        <v>1137</v>
      </c>
      <c r="F1250" s="978" t="s">
        <v>2494</v>
      </c>
      <c r="G1250" s="108">
        <f t="shared" si="19"/>
        <v>2</v>
      </c>
      <c r="H1250" s="979" t="s">
        <v>8764</v>
      </c>
    </row>
    <row r="1251" spans="1:8">
      <c r="A1251" s="108" t="s">
        <v>10592</v>
      </c>
      <c r="B1251" s="978" t="s">
        <v>10891</v>
      </c>
      <c r="C1251" s="978" t="s">
        <v>2687</v>
      </c>
      <c r="D1251" s="978" t="s">
        <v>2688</v>
      </c>
      <c r="E1251" s="978" t="s">
        <v>2689</v>
      </c>
      <c r="F1251" s="978" t="s">
        <v>10892</v>
      </c>
      <c r="G1251" s="108">
        <f t="shared" si="19"/>
        <v>2</v>
      </c>
      <c r="H1251" s="979" t="s">
        <v>8764</v>
      </c>
    </row>
    <row r="1252" spans="1:8" ht="39">
      <c r="A1252" s="108" t="s">
        <v>10592</v>
      </c>
      <c r="B1252" s="978" t="s">
        <v>10893</v>
      </c>
      <c r="C1252" s="978" t="s">
        <v>239</v>
      </c>
      <c r="D1252" s="978" t="s">
        <v>10894</v>
      </c>
      <c r="E1252" s="978" t="s">
        <v>10895</v>
      </c>
      <c r="F1252" s="978" t="s">
        <v>10896</v>
      </c>
      <c r="G1252" s="108">
        <f t="shared" si="19"/>
        <v>2</v>
      </c>
      <c r="H1252" s="979" t="s">
        <v>8764</v>
      </c>
    </row>
    <row r="1253" spans="1:8" ht="26.25">
      <c r="A1253" s="108" t="s">
        <v>10592</v>
      </c>
      <c r="B1253" s="978" t="s">
        <v>10897</v>
      </c>
      <c r="C1253" s="978" t="s">
        <v>10898</v>
      </c>
      <c r="D1253" s="978" t="s">
        <v>10899</v>
      </c>
      <c r="E1253" s="978" t="s">
        <v>10900</v>
      </c>
      <c r="F1253" s="978" t="s">
        <v>10901</v>
      </c>
      <c r="G1253" s="108">
        <f t="shared" si="19"/>
        <v>2</v>
      </c>
      <c r="H1253" s="979" t="s">
        <v>8764</v>
      </c>
    </row>
    <row r="1254" spans="1:8" ht="26.25">
      <c r="A1254" s="108" t="s">
        <v>10592</v>
      </c>
      <c r="B1254" s="978" t="s">
        <v>10902</v>
      </c>
      <c r="C1254" s="978" t="s">
        <v>10903</v>
      </c>
      <c r="D1254" s="978" t="s">
        <v>10904</v>
      </c>
      <c r="E1254" s="978" t="s">
        <v>10905</v>
      </c>
      <c r="F1254" s="978" t="s">
        <v>10906</v>
      </c>
      <c r="G1254" s="108">
        <f t="shared" si="19"/>
        <v>1</v>
      </c>
      <c r="H1254" s="979" t="s">
        <v>8761</v>
      </c>
    </row>
    <row r="1255" spans="1:8" ht="26.25">
      <c r="A1255" s="108" t="s">
        <v>10592</v>
      </c>
      <c r="B1255" s="978" t="s">
        <v>10907</v>
      </c>
      <c r="C1255" s="980">
        <v>0.5</v>
      </c>
      <c r="D1255" s="980">
        <v>0.3</v>
      </c>
      <c r="E1255" s="980">
        <v>1</v>
      </c>
      <c r="F1255" s="980">
        <v>0.15</v>
      </c>
      <c r="G1255" s="108">
        <f t="shared" si="19"/>
        <v>1</v>
      </c>
      <c r="H1255" s="979" t="s">
        <v>8761</v>
      </c>
    </row>
    <row r="1256" spans="1:8" ht="26.25">
      <c r="A1256" s="108" t="s">
        <v>10592</v>
      </c>
      <c r="B1256" s="978" t="s">
        <v>10908</v>
      </c>
      <c r="C1256" s="978" t="s">
        <v>1136</v>
      </c>
      <c r="D1256" s="978" t="s">
        <v>10627</v>
      </c>
      <c r="E1256" s="978" t="s">
        <v>5012</v>
      </c>
      <c r="F1256" s="978" t="s">
        <v>10909</v>
      </c>
      <c r="G1256" s="108">
        <f t="shared" si="19"/>
        <v>2</v>
      </c>
      <c r="H1256" s="979" t="s">
        <v>8764</v>
      </c>
    </row>
    <row r="1257" spans="1:8" ht="26.25">
      <c r="A1257" s="108" t="s">
        <v>10592</v>
      </c>
      <c r="B1257" s="978" t="s">
        <v>2505</v>
      </c>
      <c r="C1257" s="983">
        <v>8.4027777777777771E-2</v>
      </c>
      <c r="D1257" s="983">
        <v>4.2361111111111106E-2</v>
      </c>
      <c r="E1257" s="978" t="s">
        <v>10910</v>
      </c>
      <c r="F1257" s="978" t="s">
        <v>10911</v>
      </c>
      <c r="G1257" s="108">
        <f t="shared" si="19"/>
        <v>1</v>
      </c>
      <c r="H1257" s="979" t="s">
        <v>8761</v>
      </c>
    </row>
    <row r="1258" spans="1:8" ht="26.25">
      <c r="A1258" s="108" t="s">
        <v>10592</v>
      </c>
      <c r="B1258" s="978" t="s">
        <v>10912</v>
      </c>
      <c r="C1258" s="978" t="s">
        <v>10913</v>
      </c>
      <c r="D1258" s="978" t="s">
        <v>10914</v>
      </c>
      <c r="E1258" s="978" t="s">
        <v>10877</v>
      </c>
      <c r="F1258" s="978" t="s">
        <v>10614</v>
      </c>
      <c r="G1258" s="108">
        <f t="shared" si="19"/>
        <v>2</v>
      </c>
      <c r="H1258" s="979" t="s">
        <v>8764</v>
      </c>
    </row>
    <row r="1259" spans="1:8" ht="26.25">
      <c r="A1259" s="108" t="s">
        <v>10592</v>
      </c>
      <c r="B1259" s="978" t="s">
        <v>10915</v>
      </c>
      <c r="C1259" s="978" t="s">
        <v>10916</v>
      </c>
      <c r="D1259" s="978" t="s">
        <v>10917</v>
      </c>
      <c r="E1259" s="978" t="s">
        <v>10918</v>
      </c>
      <c r="F1259" s="978" t="s">
        <v>2517</v>
      </c>
      <c r="G1259" s="108">
        <f t="shared" si="19"/>
        <v>3</v>
      </c>
      <c r="H1259" s="979" t="s">
        <v>8766</v>
      </c>
    </row>
    <row r="1260" spans="1:8">
      <c r="A1260" s="108" t="s">
        <v>10592</v>
      </c>
      <c r="B1260" s="978" t="s">
        <v>10919</v>
      </c>
      <c r="C1260" s="978" t="s">
        <v>10920</v>
      </c>
      <c r="D1260" s="978" t="s">
        <v>10921</v>
      </c>
      <c r="E1260" s="978"/>
      <c r="F1260" s="978"/>
      <c r="G1260" s="108">
        <f t="shared" si="19"/>
        <v>1</v>
      </c>
      <c r="H1260" s="979" t="s">
        <v>8761</v>
      </c>
    </row>
    <row r="1261" spans="1:8" ht="26.25">
      <c r="A1261" s="108" t="s">
        <v>10592</v>
      </c>
      <c r="B1261" s="978" t="s">
        <v>10635</v>
      </c>
      <c r="C1261" s="978" t="s">
        <v>10922</v>
      </c>
      <c r="D1261" s="978" t="s">
        <v>10923</v>
      </c>
      <c r="E1261" s="978" t="s">
        <v>10638</v>
      </c>
      <c r="F1261" s="978" t="s">
        <v>10924</v>
      </c>
      <c r="G1261" s="108">
        <f t="shared" si="19"/>
        <v>3</v>
      </c>
      <c r="H1261" s="979" t="s">
        <v>8766</v>
      </c>
    </row>
    <row r="1262" spans="1:8">
      <c r="A1262" s="108" t="s">
        <v>10592</v>
      </c>
      <c r="B1262" s="978" t="s">
        <v>10925</v>
      </c>
      <c r="C1262" s="978" t="s">
        <v>10926</v>
      </c>
      <c r="D1262" s="978" t="s">
        <v>10927</v>
      </c>
      <c r="E1262" s="978" t="s">
        <v>460</v>
      </c>
      <c r="F1262" s="978" t="s">
        <v>459</v>
      </c>
      <c r="G1262" s="108">
        <f t="shared" si="19"/>
        <v>3</v>
      </c>
      <c r="H1262" s="979" t="s">
        <v>8766</v>
      </c>
    </row>
    <row r="1263" spans="1:8" ht="26.25">
      <c r="A1263" s="108" t="s">
        <v>10592</v>
      </c>
      <c r="B1263" s="978" t="s">
        <v>10928</v>
      </c>
      <c r="C1263" s="978" t="s">
        <v>10641</v>
      </c>
      <c r="D1263" s="978" t="s">
        <v>10929</v>
      </c>
      <c r="E1263" s="978" t="s">
        <v>9836</v>
      </c>
      <c r="F1263" s="978" t="s">
        <v>10930</v>
      </c>
      <c r="G1263" s="108">
        <f t="shared" si="19"/>
        <v>1</v>
      </c>
      <c r="H1263" s="979" t="s">
        <v>8761</v>
      </c>
    </row>
    <row r="1264" spans="1:8" ht="26.25">
      <c r="A1264" s="108" t="s">
        <v>10592</v>
      </c>
      <c r="B1264" s="978" t="s">
        <v>2519</v>
      </c>
      <c r="C1264" s="978" t="s">
        <v>10931</v>
      </c>
      <c r="D1264" s="980">
        <v>0.01</v>
      </c>
      <c r="E1264" s="980">
        <v>0.05</v>
      </c>
      <c r="F1264" s="980">
        <v>0.02</v>
      </c>
      <c r="G1264" s="108">
        <f t="shared" si="19"/>
        <v>4</v>
      </c>
      <c r="H1264" s="979" t="s">
        <v>8763</v>
      </c>
    </row>
    <row r="1265" spans="1:8" ht="26.25">
      <c r="A1265" s="108" t="s">
        <v>10592</v>
      </c>
      <c r="B1265" s="978" t="s">
        <v>2621</v>
      </c>
      <c r="C1265" s="978" t="s">
        <v>2622</v>
      </c>
      <c r="D1265" s="978" t="s">
        <v>2623</v>
      </c>
      <c r="E1265" s="978" t="s">
        <v>2624</v>
      </c>
      <c r="F1265" s="978" t="s">
        <v>2625</v>
      </c>
      <c r="G1265" s="108">
        <f t="shared" si="19"/>
        <v>1</v>
      </c>
      <c r="H1265" s="979" t="s">
        <v>8761</v>
      </c>
    </row>
    <row r="1266" spans="1:8">
      <c r="A1266" s="108" t="s">
        <v>10592</v>
      </c>
      <c r="B1266" s="978" t="s">
        <v>10932</v>
      </c>
      <c r="C1266" s="978" t="s">
        <v>10933</v>
      </c>
      <c r="D1266" s="978" t="s">
        <v>10934</v>
      </c>
      <c r="E1266" s="978" t="s">
        <v>10935</v>
      </c>
      <c r="F1266" s="978" t="s">
        <v>10936</v>
      </c>
      <c r="G1266" s="108">
        <f t="shared" si="19"/>
        <v>1</v>
      </c>
      <c r="H1266" s="979" t="s">
        <v>8761</v>
      </c>
    </row>
    <row r="1267" spans="1:8" ht="26.25">
      <c r="A1267" s="108" t="s">
        <v>10592</v>
      </c>
      <c r="B1267" s="978" t="s">
        <v>2626</v>
      </c>
      <c r="C1267" s="978" t="s">
        <v>2627</v>
      </c>
      <c r="D1267" s="978" t="s">
        <v>2628</v>
      </c>
      <c r="E1267" s="978" t="s">
        <v>2629</v>
      </c>
      <c r="F1267" s="978" t="s">
        <v>2630</v>
      </c>
      <c r="G1267" s="108">
        <f t="shared" si="19"/>
        <v>1</v>
      </c>
      <c r="H1267" s="979" t="s">
        <v>8761</v>
      </c>
    </row>
    <row r="1268" spans="1:8" ht="26.25">
      <c r="A1268" s="108" t="s">
        <v>10592</v>
      </c>
      <c r="B1268" s="978" t="s">
        <v>10937</v>
      </c>
      <c r="C1268" s="978" t="s">
        <v>10938</v>
      </c>
      <c r="D1268" s="978" t="s">
        <v>10939</v>
      </c>
      <c r="E1268" s="978" t="s">
        <v>10940</v>
      </c>
      <c r="F1268" s="978" t="s">
        <v>2530</v>
      </c>
      <c r="G1268" s="108">
        <f t="shared" si="19"/>
        <v>2</v>
      </c>
      <c r="H1268" s="979" t="s">
        <v>8764</v>
      </c>
    </row>
    <row r="1269" spans="1:8" ht="51.75">
      <c r="A1269" s="108" t="s">
        <v>10592</v>
      </c>
      <c r="B1269" s="978" t="s">
        <v>2631</v>
      </c>
      <c r="C1269" s="978" t="s">
        <v>2632</v>
      </c>
      <c r="D1269" s="978" t="s">
        <v>2633</v>
      </c>
      <c r="E1269" s="978" t="s">
        <v>2634</v>
      </c>
      <c r="F1269" s="978" t="s">
        <v>2635</v>
      </c>
      <c r="G1269" s="108">
        <f t="shared" si="19"/>
        <v>1</v>
      </c>
      <c r="H1269" s="979" t="s">
        <v>8761</v>
      </c>
    </row>
    <row r="1270" spans="1:8">
      <c r="A1270" s="108" t="s">
        <v>10592</v>
      </c>
      <c r="B1270" s="978" t="s">
        <v>2536</v>
      </c>
      <c r="C1270" s="978" t="s">
        <v>2122</v>
      </c>
      <c r="D1270" s="978" t="s">
        <v>2537</v>
      </c>
      <c r="E1270" s="978" t="s">
        <v>2120</v>
      </c>
      <c r="F1270" s="978" t="s">
        <v>10941</v>
      </c>
      <c r="G1270" s="108">
        <f t="shared" si="19"/>
        <v>4</v>
      </c>
      <c r="H1270" s="979" t="s">
        <v>8763</v>
      </c>
    </row>
    <row r="1271" spans="1:8" ht="26.25">
      <c r="A1271" s="108" t="s">
        <v>10592</v>
      </c>
      <c r="B1271" s="978" t="s">
        <v>2636</v>
      </c>
      <c r="C1271" s="978" t="s">
        <v>2637</v>
      </c>
      <c r="D1271" s="978" t="s">
        <v>2638</v>
      </c>
      <c r="E1271" s="978" t="s">
        <v>2639</v>
      </c>
      <c r="F1271" s="978" t="s">
        <v>2640</v>
      </c>
      <c r="G1271" s="108">
        <f t="shared" si="19"/>
        <v>1</v>
      </c>
      <c r="H1271" s="979" t="s">
        <v>8761</v>
      </c>
    </row>
    <row r="1272" spans="1:8" ht="26.25">
      <c r="A1272" s="108" t="s">
        <v>10592</v>
      </c>
      <c r="B1272" s="978" t="s">
        <v>2641</v>
      </c>
      <c r="C1272" s="978" t="s">
        <v>2642</v>
      </c>
      <c r="D1272" s="978" t="s">
        <v>2643</v>
      </c>
      <c r="E1272" s="978" t="s">
        <v>2644</v>
      </c>
      <c r="F1272" s="978" t="s">
        <v>2645</v>
      </c>
      <c r="G1272" s="108">
        <f t="shared" si="19"/>
        <v>4</v>
      </c>
      <c r="H1272" s="979" t="s">
        <v>8763</v>
      </c>
    </row>
    <row r="1273" spans="1:8" ht="39">
      <c r="A1273" s="108" t="s">
        <v>10592</v>
      </c>
      <c r="B1273" s="978" t="s">
        <v>10942</v>
      </c>
      <c r="C1273" s="978" t="s">
        <v>10943</v>
      </c>
      <c r="D1273" s="978" t="s">
        <v>10944</v>
      </c>
      <c r="E1273" s="978" t="s">
        <v>10945</v>
      </c>
      <c r="F1273" s="978" t="s">
        <v>10946</v>
      </c>
      <c r="G1273" s="108">
        <f t="shared" si="19"/>
        <v>1</v>
      </c>
      <c r="H1273" s="979" t="s">
        <v>8761</v>
      </c>
    </row>
    <row r="1274" spans="1:8" ht="26.25">
      <c r="A1274" s="108" t="s">
        <v>10592</v>
      </c>
      <c r="B1274" s="978" t="s">
        <v>2651</v>
      </c>
      <c r="C1274" s="978" t="s">
        <v>823</v>
      </c>
      <c r="D1274" s="978" t="s">
        <v>2517</v>
      </c>
      <c r="E1274" s="978" t="s">
        <v>2515</v>
      </c>
      <c r="F1274" s="978" t="s">
        <v>2652</v>
      </c>
      <c r="G1274" s="108">
        <f t="shared" si="19"/>
        <v>4</v>
      </c>
      <c r="H1274" s="979" t="s">
        <v>8763</v>
      </c>
    </row>
    <row r="1275" spans="1:8" ht="26.25">
      <c r="A1275" s="108" t="s">
        <v>10592</v>
      </c>
      <c r="B1275" s="978" t="s">
        <v>2653</v>
      </c>
      <c r="C1275" s="978">
        <v>8</v>
      </c>
      <c r="D1275" s="978">
        <v>6</v>
      </c>
      <c r="E1275" s="978">
        <v>7</v>
      </c>
      <c r="F1275" s="978">
        <v>5</v>
      </c>
      <c r="G1275" s="108">
        <f t="shared" si="19"/>
        <v>3</v>
      </c>
      <c r="H1275" s="979" t="s">
        <v>8766</v>
      </c>
    </row>
    <row r="1276" spans="1:8">
      <c r="A1276" s="108" t="s">
        <v>10592</v>
      </c>
      <c r="B1276" s="978" t="s">
        <v>10947</v>
      </c>
      <c r="C1276" s="980">
        <v>0.02</v>
      </c>
      <c r="D1276" s="980">
        <v>0.01</v>
      </c>
      <c r="E1276" s="981">
        <v>5.0000000000000001E-3</v>
      </c>
      <c r="F1276" s="978" t="s">
        <v>10654</v>
      </c>
      <c r="G1276" s="108">
        <f t="shared" si="19"/>
        <v>3</v>
      </c>
      <c r="H1276" s="979" t="s">
        <v>8766</v>
      </c>
    </row>
    <row r="1277" spans="1:8" ht="26.25">
      <c r="A1277" s="108" t="s">
        <v>10592</v>
      </c>
      <c r="B1277" s="978" t="s">
        <v>10948</v>
      </c>
      <c r="C1277" s="978" t="s">
        <v>1422</v>
      </c>
      <c r="D1277" s="980">
        <v>0.05</v>
      </c>
      <c r="E1277" s="980">
        <v>0.1</v>
      </c>
      <c r="F1277" s="980">
        <v>0.15</v>
      </c>
      <c r="G1277" s="108">
        <f t="shared" si="19"/>
        <v>3</v>
      </c>
      <c r="H1277" s="979" t="s">
        <v>8766</v>
      </c>
    </row>
    <row r="1278" spans="1:8">
      <c r="A1278" s="108" t="s">
        <v>10592</v>
      </c>
      <c r="B1278" s="978" t="s">
        <v>10949</v>
      </c>
      <c r="C1278" s="978" t="s">
        <v>10950</v>
      </c>
      <c r="D1278" s="978" t="s">
        <v>10951</v>
      </c>
      <c r="E1278" s="978" t="s">
        <v>10952</v>
      </c>
      <c r="F1278" s="978" t="s">
        <v>10953</v>
      </c>
      <c r="G1278" s="108">
        <f t="shared" si="19"/>
        <v>2</v>
      </c>
      <c r="H1278" s="979" t="s">
        <v>8764</v>
      </c>
    </row>
    <row r="1279" spans="1:8" ht="26.25">
      <c r="A1279" s="108" t="s">
        <v>10592</v>
      </c>
      <c r="B1279" s="978" t="s">
        <v>2654</v>
      </c>
      <c r="C1279" s="978" t="s">
        <v>2655</v>
      </c>
      <c r="D1279" s="978" t="s">
        <v>2656</v>
      </c>
      <c r="E1279" s="978" t="s">
        <v>2657</v>
      </c>
      <c r="F1279" s="978" t="s">
        <v>2658</v>
      </c>
      <c r="G1279" s="108">
        <f t="shared" si="19"/>
        <v>1</v>
      </c>
      <c r="H1279" s="979" t="s">
        <v>8761</v>
      </c>
    </row>
    <row r="1280" spans="1:8" ht="39">
      <c r="A1280" s="108" t="s">
        <v>10592</v>
      </c>
      <c r="B1280" s="978" t="s">
        <v>2659</v>
      </c>
      <c r="C1280" s="981">
        <v>0.19375000000000001</v>
      </c>
      <c r="D1280" s="980">
        <v>0.2</v>
      </c>
      <c r="E1280" s="980">
        <v>0.18</v>
      </c>
      <c r="F1280" s="981">
        <v>0.155</v>
      </c>
      <c r="G1280" s="108">
        <f t="shared" si="19"/>
        <v>1</v>
      </c>
      <c r="H1280" s="979" t="s">
        <v>8761</v>
      </c>
    </row>
    <row r="1281" spans="1:8" ht="26.25">
      <c r="A1281" s="108" t="s">
        <v>10592</v>
      </c>
      <c r="B1281" s="978" t="s">
        <v>2557</v>
      </c>
      <c r="C1281" s="978" t="s">
        <v>10954</v>
      </c>
      <c r="D1281" s="978" t="s">
        <v>4532</v>
      </c>
      <c r="E1281" s="978" t="s">
        <v>2560</v>
      </c>
      <c r="F1281" s="978" t="s">
        <v>10955</v>
      </c>
      <c r="G1281" s="108">
        <f t="shared" si="19"/>
        <v>3</v>
      </c>
      <c r="H1281" s="979" t="s">
        <v>8766</v>
      </c>
    </row>
    <row r="1282" spans="1:8">
      <c r="A1282" s="108" t="s">
        <v>10592</v>
      </c>
      <c r="B1282" s="978" t="s">
        <v>10956</v>
      </c>
      <c r="C1282" s="980">
        <v>0.7</v>
      </c>
      <c r="D1282" s="980">
        <v>0.95</v>
      </c>
      <c r="E1282" s="980">
        <v>0.8</v>
      </c>
      <c r="F1282" s="980">
        <v>1</v>
      </c>
      <c r="G1282" s="108">
        <f t="shared" si="19"/>
        <v>2</v>
      </c>
      <c r="H1282" s="979" t="s">
        <v>8764</v>
      </c>
    </row>
    <row r="1283" spans="1:8" ht="26.25">
      <c r="A1283" s="108" t="s">
        <v>10592</v>
      </c>
      <c r="B1283" s="978" t="s">
        <v>10957</v>
      </c>
      <c r="C1283" s="978" t="s">
        <v>10958</v>
      </c>
      <c r="D1283" s="978" t="s">
        <v>2662</v>
      </c>
      <c r="E1283" s="978" t="s">
        <v>2663</v>
      </c>
      <c r="F1283" s="978" t="s">
        <v>2664</v>
      </c>
      <c r="G1283" s="108">
        <f t="shared" ref="G1283:G1346" si="20">IF(H1283="A",1,IF(H1283="B",2,IF(H1283="C",3,IF(H1283="D",4,0))))</f>
        <v>2</v>
      </c>
      <c r="H1283" s="979" t="s">
        <v>8764</v>
      </c>
    </row>
    <row r="1284" spans="1:8" ht="39">
      <c r="A1284" s="108" t="s">
        <v>10592</v>
      </c>
      <c r="B1284" s="978" t="s">
        <v>10959</v>
      </c>
      <c r="C1284" s="978" t="s">
        <v>10960</v>
      </c>
      <c r="D1284" s="978" t="s">
        <v>10674</v>
      </c>
      <c r="E1284" s="978" t="s">
        <v>10961</v>
      </c>
      <c r="F1284" s="978" t="s">
        <v>10676</v>
      </c>
      <c r="G1284" s="108">
        <f t="shared" si="20"/>
        <v>4</v>
      </c>
      <c r="H1284" s="979" t="s">
        <v>8763</v>
      </c>
    </row>
    <row r="1285" spans="1:8" ht="26.25">
      <c r="A1285" s="108" t="s">
        <v>10592</v>
      </c>
      <c r="B1285" s="978" t="s">
        <v>2660</v>
      </c>
      <c r="C1285" s="978" t="s">
        <v>2661</v>
      </c>
      <c r="D1285" s="978" t="s">
        <v>2662</v>
      </c>
      <c r="E1285" s="978" t="s">
        <v>2663</v>
      </c>
      <c r="F1285" s="978" t="s">
        <v>2664</v>
      </c>
      <c r="G1285" s="108">
        <f t="shared" si="20"/>
        <v>3</v>
      </c>
      <c r="H1285" s="979" t="s">
        <v>8766</v>
      </c>
    </row>
    <row r="1286" spans="1:8" ht="26.25">
      <c r="A1286" s="108" t="s">
        <v>10592</v>
      </c>
      <c r="B1286" s="978" t="s">
        <v>10678</v>
      </c>
      <c r="C1286" s="978" t="s">
        <v>2222</v>
      </c>
      <c r="D1286" s="978" t="s">
        <v>10962</v>
      </c>
      <c r="E1286" s="978" t="s">
        <v>2572</v>
      </c>
      <c r="F1286" s="978" t="s">
        <v>10963</v>
      </c>
      <c r="G1286" s="108">
        <f t="shared" si="20"/>
        <v>1</v>
      </c>
      <c r="H1286" s="979" t="s">
        <v>8761</v>
      </c>
    </row>
    <row r="1287" spans="1:8" ht="26.25">
      <c r="A1287" s="108" t="s">
        <v>10592</v>
      </c>
      <c r="B1287" s="978" t="s">
        <v>2665</v>
      </c>
      <c r="C1287" s="978" t="s">
        <v>2666</v>
      </c>
      <c r="D1287" s="978" t="s">
        <v>2667</v>
      </c>
      <c r="E1287" s="978" t="s">
        <v>2668</v>
      </c>
      <c r="F1287" s="978" t="s">
        <v>2669</v>
      </c>
      <c r="G1287" s="108">
        <f t="shared" si="20"/>
        <v>1</v>
      </c>
      <c r="H1287" s="979" t="s">
        <v>8761</v>
      </c>
    </row>
    <row r="1288" spans="1:8" ht="26.25">
      <c r="A1288" s="108" t="s">
        <v>10592</v>
      </c>
      <c r="B1288" s="978" t="s">
        <v>10964</v>
      </c>
      <c r="C1288" s="978" t="s">
        <v>2671</v>
      </c>
      <c r="D1288" s="978" t="s">
        <v>2672</v>
      </c>
      <c r="E1288" s="978" t="s">
        <v>2673</v>
      </c>
      <c r="F1288" s="978" t="s">
        <v>10965</v>
      </c>
      <c r="G1288" s="108">
        <f t="shared" si="20"/>
        <v>1</v>
      </c>
      <c r="H1288" s="979" t="s">
        <v>8761</v>
      </c>
    </row>
    <row r="1289" spans="1:8" ht="51.75">
      <c r="A1289" s="108" t="s">
        <v>10592</v>
      </c>
      <c r="B1289" s="978" t="s">
        <v>2584</v>
      </c>
      <c r="C1289" s="978" t="s">
        <v>2585</v>
      </c>
      <c r="D1289" s="978" t="s">
        <v>10966</v>
      </c>
      <c r="E1289" s="978" t="s">
        <v>2587</v>
      </c>
      <c r="F1289" s="978" t="s">
        <v>2588</v>
      </c>
      <c r="G1289" s="108">
        <f t="shared" si="20"/>
        <v>3</v>
      </c>
      <c r="H1289" s="979" t="s">
        <v>8766</v>
      </c>
    </row>
    <row r="1290" spans="1:8" ht="26.25">
      <c r="A1290" s="108" t="s">
        <v>10592</v>
      </c>
      <c r="B1290" s="978" t="s">
        <v>10967</v>
      </c>
      <c r="C1290" s="978" t="s">
        <v>10968</v>
      </c>
      <c r="D1290" s="978" t="s">
        <v>10969</v>
      </c>
      <c r="E1290" s="978" t="s">
        <v>10970</v>
      </c>
      <c r="F1290" s="978" t="s">
        <v>10971</v>
      </c>
      <c r="G1290" s="108">
        <f t="shared" si="20"/>
        <v>2</v>
      </c>
      <c r="H1290" s="979" t="s">
        <v>8764</v>
      </c>
    </row>
    <row r="1291" spans="1:8" ht="26.25">
      <c r="A1291" s="108" t="s">
        <v>10592</v>
      </c>
      <c r="B1291" s="978" t="s">
        <v>2675</v>
      </c>
      <c r="C1291" s="978" t="s">
        <v>2676</v>
      </c>
      <c r="D1291" s="978" t="s">
        <v>2677</v>
      </c>
      <c r="E1291" s="978" t="s">
        <v>2678</v>
      </c>
      <c r="F1291" s="978" t="s">
        <v>2679</v>
      </c>
      <c r="G1291" s="108">
        <f t="shared" si="20"/>
        <v>3</v>
      </c>
      <c r="H1291" s="979" t="s">
        <v>8766</v>
      </c>
    </row>
    <row r="1292" spans="1:8" ht="26.25">
      <c r="A1292" s="108" t="s">
        <v>10592</v>
      </c>
      <c r="B1292" s="978" t="s">
        <v>10689</v>
      </c>
      <c r="C1292" s="978" t="s">
        <v>10972</v>
      </c>
      <c r="D1292" s="978" t="s">
        <v>10691</v>
      </c>
      <c r="E1292" s="978" t="s">
        <v>10973</v>
      </c>
      <c r="F1292" s="978" t="s">
        <v>10693</v>
      </c>
      <c r="G1292" s="108">
        <f t="shared" si="20"/>
        <v>3</v>
      </c>
      <c r="H1292" s="979" t="s">
        <v>8766</v>
      </c>
    </row>
    <row r="1293" spans="1:8" ht="26.25">
      <c r="A1293" s="108" t="s">
        <v>10592</v>
      </c>
      <c r="B1293" s="978" t="s">
        <v>10974</v>
      </c>
      <c r="C1293" s="978" t="s">
        <v>10975</v>
      </c>
      <c r="D1293" s="978" t="s">
        <v>10976</v>
      </c>
      <c r="E1293" s="978" t="s">
        <v>10977</v>
      </c>
      <c r="F1293" s="978" t="s">
        <v>9375</v>
      </c>
      <c r="G1293" s="108">
        <f t="shared" si="20"/>
        <v>1</v>
      </c>
      <c r="H1293" s="979" t="s">
        <v>8761</v>
      </c>
    </row>
    <row r="1294" spans="1:8" ht="26.25">
      <c r="A1294" s="108" t="s">
        <v>10592</v>
      </c>
      <c r="B1294" s="978" t="s">
        <v>2680</v>
      </c>
      <c r="C1294" s="978" t="s">
        <v>2681</v>
      </c>
      <c r="D1294" s="978" t="s">
        <v>2682</v>
      </c>
      <c r="E1294" s="978" t="s">
        <v>2683</v>
      </c>
      <c r="F1294" s="978" t="s">
        <v>2684</v>
      </c>
      <c r="G1294" s="108">
        <f t="shared" si="20"/>
        <v>2</v>
      </c>
      <c r="H1294" s="979" t="s">
        <v>8764</v>
      </c>
    </row>
    <row r="1295" spans="1:8" ht="26.25">
      <c r="A1295" s="108" t="s">
        <v>10592</v>
      </c>
      <c r="B1295" s="978" t="s">
        <v>2685</v>
      </c>
      <c r="C1295" s="981">
        <v>2E-3</v>
      </c>
      <c r="D1295" s="981">
        <v>5.0000000000000001E-3</v>
      </c>
      <c r="E1295" s="981">
        <v>8.0000000000000002E-3</v>
      </c>
      <c r="F1295" s="981">
        <v>3.0000000000000001E-3</v>
      </c>
      <c r="G1295" s="108">
        <f t="shared" si="20"/>
        <v>3</v>
      </c>
      <c r="H1295" s="979" t="s">
        <v>8766</v>
      </c>
    </row>
    <row r="1296" spans="1:8" ht="26.25">
      <c r="A1296" s="108" t="s">
        <v>10592</v>
      </c>
      <c r="B1296" s="978" t="s">
        <v>2686</v>
      </c>
      <c r="C1296" s="978" t="s">
        <v>2687</v>
      </c>
      <c r="D1296" s="978" t="s">
        <v>2688</v>
      </c>
      <c r="E1296" s="978" t="s">
        <v>2689</v>
      </c>
      <c r="F1296" s="978" t="s">
        <v>2690</v>
      </c>
      <c r="G1296" s="108">
        <f t="shared" si="20"/>
        <v>2</v>
      </c>
      <c r="H1296" s="979" t="s">
        <v>8764</v>
      </c>
    </row>
    <row r="1297" spans="1:8" ht="26.25">
      <c r="A1297" s="108" t="s">
        <v>10592</v>
      </c>
      <c r="B1297" s="978" t="s">
        <v>2691</v>
      </c>
      <c r="C1297" s="978" t="s">
        <v>2692</v>
      </c>
      <c r="D1297" s="978" t="s">
        <v>2693</v>
      </c>
      <c r="E1297" s="978" t="s">
        <v>2694</v>
      </c>
      <c r="F1297" s="978" t="s">
        <v>2695</v>
      </c>
      <c r="G1297" s="108">
        <f t="shared" si="20"/>
        <v>4</v>
      </c>
      <c r="H1297" s="979" t="s">
        <v>8763</v>
      </c>
    </row>
    <row r="1298" spans="1:8" ht="26.25">
      <c r="A1298" s="108" t="s">
        <v>10592</v>
      </c>
      <c r="B1298" s="978" t="s">
        <v>10978</v>
      </c>
      <c r="C1298" s="978" t="s">
        <v>2697</v>
      </c>
      <c r="D1298" s="978" t="s">
        <v>2698</v>
      </c>
      <c r="E1298" s="978" t="s">
        <v>10979</v>
      </c>
      <c r="F1298" s="978" t="s">
        <v>2700</v>
      </c>
      <c r="G1298" s="108">
        <f t="shared" si="20"/>
        <v>1</v>
      </c>
      <c r="H1298" s="979" t="s">
        <v>8761</v>
      </c>
    </row>
    <row r="1299" spans="1:8" ht="39">
      <c r="A1299" s="108" t="s">
        <v>10592</v>
      </c>
      <c r="B1299" s="978" t="s">
        <v>10980</v>
      </c>
      <c r="C1299" s="980">
        <v>0.06</v>
      </c>
      <c r="D1299" s="981">
        <v>8.5000000000000006E-2</v>
      </c>
      <c r="E1299" s="978" t="s">
        <v>2702</v>
      </c>
      <c r="F1299" s="980">
        <v>0.09</v>
      </c>
      <c r="G1299" s="108">
        <f t="shared" si="20"/>
        <v>1</v>
      </c>
      <c r="H1299" s="979" t="s">
        <v>8761</v>
      </c>
    </row>
    <row r="1300" spans="1:8" ht="26.25">
      <c r="A1300" s="108" t="s">
        <v>10592</v>
      </c>
      <c r="B1300" s="978" t="s">
        <v>2701</v>
      </c>
      <c r="C1300" s="980">
        <v>0.06</v>
      </c>
      <c r="D1300" s="981">
        <v>8.5000000000000006E-2</v>
      </c>
      <c r="E1300" s="978" t="s">
        <v>2702</v>
      </c>
      <c r="F1300" s="980">
        <v>0.09</v>
      </c>
      <c r="G1300" s="108">
        <f t="shared" si="20"/>
        <v>4</v>
      </c>
      <c r="H1300" s="979" t="s">
        <v>8763</v>
      </c>
    </row>
    <row r="1301" spans="1:8" ht="22.5">
      <c r="A1301" s="108" t="s">
        <v>2990</v>
      </c>
      <c r="B1301" s="163" t="s">
        <v>2837</v>
      </c>
      <c r="C1301" s="164" t="s">
        <v>2838</v>
      </c>
      <c r="D1301" s="163" t="s">
        <v>2839</v>
      </c>
      <c r="E1301" s="163" t="s">
        <v>2840</v>
      </c>
      <c r="F1301" s="163" t="s">
        <v>209</v>
      </c>
      <c r="G1301" s="108">
        <f t="shared" si="20"/>
        <v>1</v>
      </c>
      <c r="H1301" s="953" t="s">
        <v>8761</v>
      </c>
    </row>
    <row r="1302" spans="1:8">
      <c r="A1302" s="108" t="s">
        <v>2990</v>
      </c>
      <c r="B1302" s="163" t="s">
        <v>2841</v>
      </c>
      <c r="C1302" s="163" t="s">
        <v>2842</v>
      </c>
      <c r="D1302" s="164" t="s">
        <v>2843</v>
      </c>
      <c r="E1302" s="163" t="s">
        <v>2844</v>
      </c>
      <c r="F1302" s="163"/>
      <c r="G1302" s="108">
        <f t="shared" si="20"/>
        <v>2</v>
      </c>
      <c r="H1302" s="953" t="s">
        <v>8764</v>
      </c>
    </row>
    <row r="1303" spans="1:8" ht="22.5">
      <c r="A1303" s="108" t="s">
        <v>2990</v>
      </c>
      <c r="B1303" s="163" t="s">
        <v>2846</v>
      </c>
      <c r="C1303" s="163" t="s">
        <v>2847</v>
      </c>
      <c r="D1303" s="164" t="s">
        <v>2848</v>
      </c>
      <c r="E1303" s="163" t="s">
        <v>2849</v>
      </c>
      <c r="F1303" s="163" t="s">
        <v>2850</v>
      </c>
      <c r="G1303" s="108">
        <f t="shared" si="20"/>
        <v>2</v>
      </c>
      <c r="H1303" s="953" t="s">
        <v>8764</v>
      </c>
    </row>
    <row r="1304" spans="1:8" ht="22.5">
      <c r="A1304" s="108" t="s">
        <v>2990</v>
      </c>
      <c r="B1304" s="163" t="s">
        <v>2851</v>
      </c>
      <c r="C1304" s="163" t="s">
        <v>2852</v>
      </c>
      <c r="D1304" s="163" t="s">
        <v>2853</v>
      </c>
      <c r="E1304" s="164" t="s">
        <v>2854</v>
      </c>
      <c r="F1304" s="163" t="s">
        <v>209</v>
      </c>
      <c r="G1304" s="108">
        <f t="shared" si="20"/>
        <v>3</v>
      </c>
      <c r="H1304" s="953" t="s">
        <v>8766</v>
      </c>
    </row>
    <row r="1305" spans="1:8">
      <c r="A1305" s="108" t="s">
        <v>2990</v>
      </c>
      <c r="B1305" s="163" t="s">
        <v>2855</v>
      </c>
      <c r="C1305" s="164" t="s">
        <v>2856</v>
      </c>
      <c r="D1305" s="163" t="s">
        <v>2857</v>
      </c>
      <c r="E1305" s="163" t="s">
        <v>2858</v>
      </c>
      <c r="F1305" s="163" t="s">
        <v>2859</v>
      </c>
      <c r="G1305" s="108">
        <f t="shared" si="20"/>
        <v>1</v>
      </c>
      <c r="H1305" s="953" t="s">
        <v>8761</v>
      </c>
    </row>
    <row r="1306" spans="1:8" ht="22.5">
      <c r="A1306" s="108" t="s">
        <v>2990</v>
      </c>
      <c r="B1306" s="163" t="s">
        <v>2860</v>
      </c>
      <c r="C1306" s="163" t="s">
        <v>2861</v>
      </c>
      <c r="D1306" s="163" t="s">
        <v>2862</v>
      </c>
      <c r="E1306" s="164" t="s">
        <v>6815</v>
      </c>
      <c r="F1306" s="163" t="s">
        <v>2864</v>
      </c>
      <c r="G1306" s="108">
        <f t="shared" si="20"/>
        <v>3</v>
      </c>
      <c r="H1306" s="953" t="s">
        <v>8766</v>
      </c>
    </row>
    <row r="1307" spans="1:8" ht="33.75">
      <c r="A1307" s="108" t="s">
        <v>2990</v>
      </c>
      <c r="B1307" s="163" t="s">
        <v>2865</v>
      </c>
      <c r="C1307" s="163" t="s">
        <v>2866</v>
      </c>
      <c r="D1307" s="164" t="s">
        <v>2867</v>
      </c>
      <c r="E1307" s="163" t="s">
        <v>2868</v>
      </c>
      <c r="F1307" s="163" t="s">
        <v>2869</v>
      </c>
      <c r="G1307" s="108">
        <f t="shared" si="20"/>
        <v>2</v>
      </c>
      <c r="H1307" s="953" t="s">
        <v>8764</v>
      </c>
    </row>
    <row r="1308" spans="1:8" ht="22.5">
      <c r="A1308" s="108" t="s">
        <v>2990</v>
      </c>
      <c r="B1308" s="163" t="s">
        <v>2870</v>
      </c>
      <c r="C1308" s="163" t="s">
        <v>2871</v>
      </c>
      <c r="D1308" s="163" t="s">
        <v>2872</v>
      </c>
      <c r="E1308" s="164" t="s">
        <v>7394</v>
      </c>
      <c r="F1308" s="163" t="s">
        <v>209</v>
      </c>
      <c r="G1308" s="108">
        <f t="shared" si="20"/>
        <v>3</v>
      </c>
      <c r="H1308" s="953" t="s">
        <v>8766</v>
      </c>
    </row>
    <row r="1309" spans="1:8" ht="22.5">
      <c r="A1309" s="108" t="s">
        <v>2990</v>
      </c>
      <c r="B1309" s="163" t="s">
        <v>2874</v>
      </c>
      <c r="C1309" s="164" t="s">
        <v>2875</v>
      </c>
      <c r="D1309" s="163" t="s">
        <v>2876</v>
      </c>
      <c r="E1309" s="163" t="s">
        <v>2877</v>
      </c>
      <c r="F1309" s="163" t="s">
        <v>2878</v>
      </c>
      <c r="G1309" s="108">
        <f t="shared" si="20"/>
        <v>1</v>
      </c>
      <c r="H1309" s="953" t="s">
        <v>8761</v>
      </c>
    </row>
    <row r="1310" spans="1:8">
      <c r="A1310" s="108" t="s">
        <v>2990</v>
      </c>
      <c r="B1310" s="163" t="s">
        <v>2879</v>
      </c>
      <c r="C1310" s="163" t="s">
        <v>179</v>
      </c>
      <c r="D1310" s="163" t="s">
        <v>2880</v>
      </c>
      <c r="E1310" s="164" t="s">
        <v>73</v>
      </c>
      <c r="F1310" s="163" t="s">
        <v>137</v>
      </c>
      <c r="G1310" s="108">
        <f t="shared" si="20"/>
        <v>3</v>
      </c>
      <c r="H1310" s="953" t="s">
        <v>8766</v>
      </c>
    </row>
    <row r="1311" spans="1:8">
      <c r="A1311" s="108" t="s">
        <v>2990</v>
      </c>
      <c r="B1311" s="163" t="s">
        <v>2881</v>
      </c>
      <c r="C1311" s="164" t="s">
        <v>570</v>
      </c>
      <c r="D1311" s="163" t="s">
        <v>2882</v>
      </c>
      <c r="E1311" s="163" t="s">
        <v>451</v>
      </c>
      <c r="F1311" s="163" t="s">
        <v>1490</v>
      </c>
      <c r="G1311" s="108">
        <f t="shared" si="20"/>
        <v>1</v>
      </c>
      <c r="H1311" s="953" t="s">
        <v>8761</v>
      </c>
    </row>
    <row r="1312" spans="1:8" ht="22.5">
      <c r="A1312" s="108" t="s">
        <v>2990</v>
      </c>
      <c r="B1312" s="163" t="s">
        <v>2883</v>
      </c>
      <c r="C1312" s="163" t="s">
        <v>2884</v>
      </c>
      <c r="D1312" s="163" t="s">
        <v>2885</v>
      </c>
      <c r="E1312" s="164" t="s">
        <v>2886</v>
      </c>
      <c r="F1312" s="163" t="s">
        <v>2887</v>
      </c>
      <c r="G1312" s="108">
        <f t="shared" si="20"/>
        <v>3</v>
      </c>
      <c r="H1312" s="953" t="s">
        <v>8766</v>
      </c>
    </row>
    <row r="1313" spans="1:8" ht="22.5">
      <c r="A1313" s="108" t="s">
        <v>2990</v>
      </c>
      <c r="B1313" s="163" t="s">
        <v>10981</v>
      </c>
      <c r="C1313" s="163" t="s">
        <v>2889</v>
      </c>
      <c r="D1313" s="163" t="s">
        <v>2890</v>
      </c>
      <c r="E1313" s="164" t="s">
        <v>2891</v>
      </c>
      <c r="F1313" s="163" t="s">
        <v>2892</v>
      </c>
      <c r="G1313" s="108">
        <f t="shared" si="20"/>
        <v>3</v>
      </c>
      <c r="H1313" s="953" t="s">
        <v>8766</v>
      </c>
    </row>
    <row r="1314" spans="1:8">
      <c r="A1314" s="108" t="s">
        <v>2990</v>
      </c>
      <c r="B1314" s="163" t="s">
        <v>2893</v>
      </c>
      <c r="C1314" s="163" t="s">
        <v>2894</v>
      </c>
      <c r="D1314" s="164" t="s">
        <v>2842</v>
      </c>
      <c r="E1314" s="163" t="s">
        <v>2844</v>
      </c>
      <c r="F1314" s="163" t="s">
        <v>2896</v>
      </c>
      <c r="G1314" s="108">
        <f t="shared" si="20"/>
        <v>2</v>
      </c>
      <c r="H1314" s="953" t="s">
        <v>8764</v>
      </c>
    </row>
    <row r="1315" spans="1:8" ht="22.5">
      <c r="A1315" s="108" t="s">
        <v>2990</v>
      </c>
      <c r="B1315" s="163" t="s">
        <v>2897</v>
      </c>
      <c r="C1315" s="164" t="s">
        <v>2898</v>
      </c>
      <c r="D1315" s="163" t="s">
        <v>2899</v>
      </c>
      <c r="E1315" s="163" t="s">
        <v>2900</v>
      </c>
      <c r="F1315" s="163" t="s">
        <v>2901</v>
      </c>
      <c r="G1315" s="108">
        <f t="shared" si="20"/>
        <v>1</v>
      </c>
      <c r="H1315" s="953" t="s">
        <v>8761</v>
      </c>
    </row>
    <row r="1316" spans="1:8">
      <c r="A1316" s="108" t="s">
        <v>2990</v>
      </c>
      <c r="B1316" s="163" t="s">
        <v>2902</v>
      </c>
      <c r="C1316" s="164" t="s">
        <v>2903</v>
      </c>
      <c r="D1316" s="163" t="s">
        <v>2904</v>
      </c>
      <c r="E1316" s="163" t="s">
        <v>2905</v>
      </c>
      <c r="F1316" s="163" t="s">
        <v>2906</v>
      </c>
      <c r="G1316" s="108">
        <f t="shared" si="20"/>
        <v>1</v>
      </c>
      <c r="H1316" s="953" t="s">
        <v>8761</v>
      </c>
    </row>
    <row r="1317" spans="1:8" ht="22.5">
      <c r="A1317" s="108" t="s">
        <v>2990</v>
      </c>
      <c r="B1317" s="163" t="s">
        <v>2907</v>
      </c>
      <c r="C1317" s="164" t="s">
        <v>2908</v>
      </c>
      <c r="D1317" s="163" t="s">
        <v>2909</v>
      </c>
      <c r="E1317" s="163" t="s">
        <v>2910</v>
      </c>
      <c r="F1317" s="163" t="s">
        <v>209</v>
      </c>
      <c r="G1317" s="108">
        <f t="shared" si="20"/>
        <v>1</v>
      </c>
      <c r="H1317" s="953" t="s">
        <v>8761</v>
      </c>
    </row>
    <row r="1318" spans="1:8" ht="33.75">
      <c r="A1318" s="108" t="s">
        <v>2990</v>
      </c>
      <c r="B1318" s="163" t="s">
        <v>2911</v>
      </c>
      <c r="C1318" s="164" t="s">
        <v>2912</v>
      </c>
      <c r="D1318" s="163" t="s">
        <v>2913</v>
      </c>
      <c r="E1318" s="163" t="s">
        <v>2914</v>
      </c>
      <c r="F1318" s="163" t="s">
        <v>2915</v>
      </c>
      <c r="G1318" s="108">
        <f t="shared" si="20"/>
        <v>1</v>
      </c>
      <c r="H1318" s="953" t="s">
        <v>8761</v>
      </c>
    </row>
    <row r="1319" spans="1:8" ht="22.5">
      <c r="A1319" s="108" t="s">
        <v>2990</v>
      </c>
      <c r="B1319" s="163" t="s">
        <v>2916</v>
      </c>
      <c r="C1319" s="164" t="s">
        <v>2917</v>
      </c>
      <c r="D1319" s="163" t="s">
        <v>2918</v>
      </c>
      <c r="E1319" s="163" t="s">
        <v>2919</v>
      </c>
      <c r="F1319" s="163" t="s">
        <v>209</v>
      </c>
      <c r="G1319" s="108">
        <f t="shared" si="20"/>
        <v>1</v>
      </c>
      <c r="H1319" s="953" t="s">
        <v>8761</v>
      </c>
    </row>
    <row r="1320" spans="1:8" ht="22.5">
      <c r="A1320" s="108" t="s">
        <v>2990</v>
      </c>
      <c r="B1320" s="163" t="s">
        <v>2920</v>
      </c>
      <c r="C1320" s="164" t="s">
        <v>2921</v>
      </c>
      <c r="D1320" s="163" t="s">
        <v>2922</v>
      </c>
      <c r="E1320" s="163" t="s">
        <v>2923</v>
      </c>
      <c r="F1320" s="163" t="s">
        <v>2924</v>
      </c>
      <c r="G1320" s="108">
        <f t="shared" si="20"/>
        <v>1</v>
      </c>
      <c r="H1320" s="953" t="s">
        <v>8761</v>
      </c>
    </row>
    <row r="1321" spans="1:8" ht="22.5">
      <c r="A1321" s="108" t="s">
        <v>2990</v>
      </c>
      <c r="B1321" s="163" t="s">
        <v>2925</v>
      </c>
      <c r="C1321" s="163" t="s">
        <v>2926</v>
      </c>
      <c r="D1321" s="163" t="s">
        <v>2927</v>
      </c>
      <c r="E1321" s="164" t="s">
        <v>2928</v>
      </c>
      <c r="F1321" s="163" t="s">
        <v>2929</v>
      </c>
      <c r="G1321" s="108">
        <f t="shared" si="20"/>
        <v>3</v>
      </c>
      <c r="H1321" s="953" t="s">
        <v>8766</v>
      </c>
    </row>
    <row r="1322" spans="1:8">
      <c r="A1322" s="108" t="s">
        <v>2990</v>
      </c>
      <c r="B1322" s="163" t="s">
        <v>2930</v>
      </c>
      <c r="C1322" s="164" t="s">
        <v>2931</v>
      </c>
      <c r="D1322" s="163" t="s">
        <v>2932</v>
      </c>
      <c r="E1322" s="163" t="s">
        <v>2933</v>
      </c>
      <c r="F1322" s="163" t="s">
        <v>2934</v>
      </c>
      <c r="G1322" s="108">
        <f t="shared" si="20"/>
        <v>1</v>
      </c>
      <c r="H1322" s="953" t="s">
        <v>8761</v>
      </c>
    </row>
    <row r="1323" spans="1:8">
      <c r="A1323" s="108" t="s">
        <v>2990</v>
      </c>
      <c r="B1323" s="163" t="s">
        <v>2935</v>
      </c>
      <c r="C1323" s="164" t="s">
        <v>2936</v>
      </c>
      <c r="D1323" s="163" t="s">
        <v>2937</v>
      </c>
      <c r="E1323" s="163" t="s">
        <v>2938</v>
      </c>
      <c r="F1323" s="163" t="s">
        <v>2939</v>
      </c>
      <c r="G1323" s="108">
        <f t="shared" si="20"/>
        <v>1</v>
      </c>
      <c r="H1323" s="953" t="s">
        <v>8761</v>
      </c>
    </row>
    <row r="1324" spans="1:8" ht="22.5">
      <c r="A1324" s="108" t="s">
        <v>2990</v>
      </c>
      <c r="B1324" s="163" t="s">
        <v>2940</v>
      </c>
      <c r="C1324" s="163" t="s">
        <v>2941</v>
      </c>
      <c r="D1324" s="164" t="s">
        <v>2942</v>
      </c>
      <c r="E1324" s="163" t="s">
        <v>2943</v>
      </c>
      <c r="F1324" s="163" t="s">
        <v>2944</v>
      </c>
      <c r="G1324" s="108">
        <f t="shared" si="20"/>
        <v>2</v>
      </c>
      <c r="H1324" s="953" t="s">
        <v>8764</v>
      </c>
    </row>
    <row r="1325" spans="1:8">
      <c r="A1325" s="108" t="s">
        <v>2990</v>
      </c>
      <c r="B1325" s="163" t="s">
        <v>2945</v>
      </c>
      <c r="C1325" s="163" t="s">
        <v>2946</v>
      </c>
      <c r="D1325" s="163" t="s">
        <v>2947</v>
      </c>
      <c r="E1325" s="164" t="s">
        <v>2948</v>
      </c>
      <c r="F1325" s="163" t="s">
        <v>209</v>
      </c>
      <c r="G1325" s="108">
        <f t="shared" si="20"/>
        <v>3</v>
      </c>
      <c r="H1325" s="953" t="s">
        <v>8766</v>
      </c>
    </row>
    <row r="1326" spans="1:8">
      <c r="A1326" s="108" t="s">
        <v>2990</v>
      </c>
      <c r="B1326" s="163" t="s">
        <v>2949</v>
      </c>
      <c r="C1326" s="164" t="s">
        <v>2950</v>
      </c>
      <c r="D1326" s="163" t="s">
        <v>2951</v>
      </c>
      <c r="E1326" s="163" t="s">
        <v>1915</v>
      </c>
      <c r="F1326" s="163" t="s">
        <v>2952</v>
      </c>
      <c r="G1326" s="108">
        <f t="shared" si="20"/>
        <v>1</v>
      </c>
      <c r="H1326" s="953" t="s">
        <v>8761</v>
      </c>
    </row>
    <row r="1327" spans="1:8" ht="22.5">
      <c r="A1327" s="108" t="s">
        <v>2990</v>
      </c>
      <c r="B1327" s="163" t="s">
        <v>2953</v>
      </c>
      <c r="C1327" s="163" t="s">
        <v>2954</v>
      </c>
      <c r="D1327" s="163" t="s">
        <v>2955</v>
      </c>
      <c r="E1327" s="163" t="s">
        <v>2956</v>
      </c>
      <c r="F1327" s="164" t="s">
        <v>1744</v>
      </c>
      <c r="G1327" s="108">
        <f t="shared" si="20"/>
        <v>4</v>
      </c>
      <c r="H1327" s="953" t="s">
        <v>8763</v>
      </c>
    </row>
    <row r="1328" spans="1:8" ht="45">
      <c r="A1328" s="108" t="s">
        <v>1206</v>
      </c>
      <c r="B1328" s="866" t="s">
        <v>2991</v>
      </c>
      <c r="C1328" s="984" t="s">
        <v>2992</v>
      </c>
      <c r="D1328" s="985" t="s">
        <v>2993</v>
      </c>
      <c r="E1328" s="985" t="s">
        <v>2994</v>
      </c>
      <c r="F1328" s="985" t="s">
        <v>2995</v>
      </c>
      <c r="G1328" s="108">
        <f t="shared" si="20"/>
        <v>1</v>
      </c>
      <c r="H1328" s="861" t="s">
        <v>8761</v>
      </c>
    </row>
    <row r="1329" spans="1:8" ht="30">
      <c r="A1329" s="108" t="s">
        <v>1206</v>
      </c>
      <c r="B1329" s="866" t="s">
        <v>2996</v>
      </c>
      <c r="C1329" s="866" t="s">
        <v>10982</v>
      </c>
      <c r="D1329" s="866" t="s">
        <v>2998</v>
      </c>
      <c r="E1329" s="866" t="s">
        <v>2999</v>
      </c>
      <c r="F1329" s="984" t="s">
        <v>10983</v>
      </c>
      <c r="G1329" s="108">
        <f t="shared" si="20"/>
        <v>4</v>
      </c>
      <c r="H1329" s="861" t="s">
        <v>8763</v>
      </c>
    </row>
    <row r="1330" spans="1:8" ht="45">
      <c r="A1330" s="108" t="s">
        <v>1206</v>
      </c>
      <c r="B1330" s="866" t="s">
        <v>10984</v>
      </c>
      <c r="C1330" s="986" t="s">
        <v>3002</v>
      </c>
      <c r="D1330" s="987" t="s">
        <v>3003</v>
      </c>
      <c r="E1330" s="986" t="s">
        <v>3004</v>
      </c>
      <c r="F1330" s="986" t="s">
        <v>3005</v>
      </c>
      <c r="G1330" s="108">
        <f t="shared" si="20"/>
        <v>2</v>
      </c>
      <c r="H1330" s="861" t="s">
        <v>8764</v>
      </c>
    </row>
    <row r="1331" spans="1:8" ht="90">
      <c r="A1331" s="108" t="s">
        <v>1206</v>
      </c>
      <c r="B1331" s="866" t="s">
        <v>10985</v>
      </c>
      <c r="C1331" s="866" t="s">
        <v>10986</v>
      </c>
      <c r="D1331" s="866" t="s">
        <v>10987</v>
      </c>
      <c r="E1331" s="866" t="s">
        <v>10988</v>
      </c>
      <c r="F1331" s="932" t="s">
        <v>10989</v>
      </c>
      <c r="G1331" s="108">
        <f t="shared" si="20"/>
        <v>4</v>
      </c>
      <c r="H1331" s="861" t="s">
        <v>8763</v>
      </c>
    </row>
    <row r="1332" spans="1:8" ht="45">
      <c r="A1332" s="108" t="s">
        <v>1206</v>
      </c>
      <c r="B1332" s="866" t="s">
        <v>3006</v>
      </c>
      <c r="C1332" s="866" t="s">
        <v>1206</v>
      </c>
      <c r="D1332" s="932" t="s">
        <v>10990</v>
      </c>
      <c r="E1332" s="866" t="s">
        <v>3008</v>
      </c>
      <c r="F1332" s="866" t="s">
        <v>3009</v>
      </c>
      <c r="G1332" s="108">
        <f t="shared" si="20"/>
        <v>2</v>
      </c>
      <c r="H1332" s="861" t="s">
        <v>8764</v>
      </c>
    </row>
    <row r="1333" spans="1:8" ht="45">
      <c r="A1333" s="108" t="s">
        <v>1206</v>
      </c>
      <c r="B1333" s="866" t="s">
        <v>10991</v>
      </c>
      <c r="C1333" s="866">
        <v>1</v>
      </c>
      <c r="D1333" s="866">
        <v>2</v>
      </c>
      <c r="E1333" s="866">
        <v>3</v>
      </c>
      <c r="F1333" s="932">
        <v>4</v>
      </c>
      <c r="G1333" s="108">
        <f t="shared" si="20"/>
        <v>4</v>
      </c>
      <c r="H1333" s="861" t="s">
        <v>8763</v>
      </c>
    </row>
    <row r="1334" spans="1:8" ht="30">
      <c r="A1334" s="108" t="s">
        <v>1206</v>
      </c>
      <c r="B1334" s="866" t="s">
        <v>10992</v>
      </c>
      <c r="C1334" s="866" t="s">
        <v>10993</v>
      </c>
      <c r="D1334" s="866" t="s">
        <v>10994</v>
      </c>
      <c r="E1334" s="932" t="s">
        <v>1206</v>
      </c>
      <c r="F1334" s="866" t="s">
        <v>10995</v>
      </c>
      <c r="G1334" s="108">
        <f t="shared" si="20"/>
        <v>2</v>
      </c>
      <c r="H1334" s="861" t="s">
        <v>8764</v>
      </c>
    </row>
    <row r="1335" spans="1:8" ht="45">
      <c r="A1335" s="108" t="s">
        <v>1206</v>
      </c>
      <c r="B1335" s="866" t="s">
        <v>10996</v>
      </c>
      <c r="C1335" s="866" t="s">
        <v>10997</v>
      </c>
      <c r="D1335" s="866" t="s">
        <v>174</v>
      </c>
      <c r="E1335" s="932" t="s">
        <v>137</v>
      </c>
      <c r="F1335" s="866" t="s">
        <v>74</v>
      </c>
      <c r="G1335" s="108">
        <f t="shared" si="20"/>
        <v>3</v>
      </c>
      <c r="H1335" s="861" t="s">
        <v>8766</v>
      </c>
    </row>
    <row r="1336" spans="1:8" ht="45">
      <c r="A1336" s="108" t="s">
        <v>1206</v>
      </c>
      <c r="B1336" s="866" t="s">
        <v>10998</v>
      </c>
      <c r="C1336" s="866" t="s">
        <v>10997</v>
      </c>
      <c r="D1336" s="932" t="s">
        <v>174</v>
      </c>
      <c r="E1336" s="866" t="s">
        <v>137</v>
      </c>
      <c r="F1336" s="866" t="s">
        <v>74</v>
      </c>
      <c r="G1336" s="108">
        <f t="shared" si="20"/>
        <v>2</v>
      </c>
      <c r="H1336" s="861" t="s">
        <v>8764</v>
      </c>
    </row>
    <row r="1337" spans="1:8" ht="45">
      <c r="A1337" s="108" t="s">
        <v>1206</v>
      </c>
      <c r="B1337" s="866" t="s">
        <v>3014</v>
      </c>
      <c r="C1337" s="932" t="s">
        <v>1206</v>
      </c>
      <c r="D1337" s="866" t="s">
        <v>10990</v>
      </c>
      <c r="E1337" s="866" t="s">
        <v>3008</v>
      </c>
      <c r="F1337" s="866" t="s">
        <v>3009</v>
      </c>
      <c r="G1337" s="108">
        <f t="shared" si="20"/>
        <v>4</v>
      </c>
      <c r="H1337" s="861" t="s">
        <v>8763</v>
      </c>
    </row>
    <row r="1338" spans="1:8" ht="30">
      <c r="A1338" s="108" t="s">
        <v>1206</v>
      </c>
      <c r="B1338" s="866" t="s">
        <v>10999</v>
      </c>
      <c r="C1338" s="866" t="s">
        <v>11000</v>
      </c>
      <c r="D1338" s="932" t="s">
        <v>11001</v>
      </c>
      <c r="E1338" s="866" t="s">
        <v>6555</v>
      </c>
      <c r="F1338" s="866" t="s">
        <v>11002</v>
      </c>
      <c r="G1338" s="108">
        <f t="shared" si="20"/>
        <v>2</v>
      </c>
      <c r="H1338" s="861" t="s">
        <v>8764</v>
      </c>
    </row>
    <row r="1339" spans="1:8" ht="30">
      <c r="A1339" s="108" t="s">
        <v>1206</v>
      </c>
      <c r="B1339" s="866" t="s">
        <v>11003</v>
      </c>
      <c r="C1339" s="866" t="s">
        <v>11000</v>
      </c>
      <c r="D1339" s="866" t="s">
        <v>11001</v>
      </c>
      <c r="E1339" s="932" t="s">
        <v>6555</v>
      </c>
      <c r="F1339" s="866" t="s">
        <v>11002</v>
      </c>
      <c r="G1339" s="108">
        <f t="shared" si="20"/>
        <v>3</v>
      </c>
      <c r="H1339" s="861" t="s">
        <v>8766</v>
      </c>
    </row>
    <row r="1340" spans="1:8" ht="30">
      <c r="A1340" s="108" t="s">
        <v>1206</v>
      </c>
      <c r="B1340" s="866" t="s">
        <v>11004</v>
      </c>
      <c r="C1340" s="866" t="s">
        <v>9631</v>
      </c>
      <c r="D1340" s="866" t="s">
        <v>11005</v>
      </c>
      <c r="E1340" s="932" t="s">
        <v>11006</v>
      </c>
      <c r="F1340" s="866" t="s">
        <v>11007</v>
      </c>
      <c r="G1340" s="108">
        <f t="shared" si="20"/>
        <v>3</v>
      </c>
      <c r="H1340" s="861" t="s">
        <v>8766</v>
      </c>
    </row>
    <row r="1341" spans="1:8" ht="45">
      <c r="A1341" s="108" t="s">
        <v>1206</v>
      </c>
      <c r="B1341" s="866" t="s">
        <v>11008</v>
      </c>
      <c r="C1341" s="866" t="s">
        <v>451</v>
      </c>
      <c r="D1341" s="866" t="s">
        <v>570</v>
      </c>
      <c r="E1341" s="932" t="s">
        <v>572</v>
      </c>
      <c r="F1341" s="866" t="s">
        <v>10890</v>
      </c>
      <c r="G1341" s="108">
        <f t="shared" si="20"/>
        <v>3</v>
      </c>
      <c r="H1341" s="861" t="s">
        <v>8766</v>
      </c>
    </row>
    <row r="1342" spans="1:8" ht="30">
      <c r="A1342" s="108" t="s">
        <v>1206</v>
      </c>
      <c r="B1342" s="866" t="s">
        <v>11009</v>
      </c>
      <c r="C1342" s="866">
        <v>14</v>
      </c>
      <c r="D1342" s="932">
        <v>16</v>
      </c>
      <c r="E1342" s="866">
        <v>15</v>
      </c>
      <c r="F1342" s="866">
        <v>6</v>
      </c>
      <c r="G1342" s="108">
        <f t="shared" si="20"/>
        <v>2</v>
      </c>
      <c r="H1342" s="861" t="s">
        <v>8764</v>
      </c>
    </row>
    <row r="1343" spans="1:8" ht="30">
      <c r="A1343" s="108" t="s">
        <v>1206</v>
      </c>
      <c r="B1343" s="866" t="s">
        <v>11010</v>
      </c>
      <c r="C1343" s="866">
        <v>3</v>
      </c>
      <c r="D1343" s="866">
        <v>4</v>
      </c>
      <c r="E1343" s="932">
        <v>2</v>
      </c>
      <c r="F1343" s="866">
        <v>5</v>
      </c>
      <c r="G1343" s="108">
        <f t="shared" si="20"/>
        <v>3</v>
      </c>
      <c r="H1343" s="861" t="s">
        <v>8766</v>
      </c>
    </row>
    <row r="1344" spans="1:8" ht="45">
      <c r="A1344" s="108" t="s">
        <v>1206</v>
      </c>
      <c r="B1344" s="866" t="s">
        <v>11011</v>
      </c>
      <c r="C1344" s="866" t="s">
        <v>11012</v>
      </c>
      <c r="D1344" s="866" t="s">
        <v>7284</v>
      </c>
      <c r="E1344" s="866" t="s">
        <v>11013</v>
      </c>
      <c r="F1344" s="932" t="s">
        <v>11014</v>
      </c>
      <c r="G1344" s="108">
        <f t="shared" si="20"/>
        <v>4</v>
      </c>
      <c r="H1344" s="861" t="s">
        <v>8763</v>
      </c>
    </row>
    <row r="1345" spans="1:8" ht="45">
      <c r="A1345" s="108" t="s">
        <v>1206</v>
      </c>
      <c r="B1345" s="866" t="s">
        <v>11015</v>
      </c>
      <c r="C1345" s="932" t="s">
        <v>9631</v>
      </c>
      <c r="D1345" s="866" t="s">
        <v>11005</v>
      </c>
      <c r="E1345" s="866" t="s">
        <v>11016</v>
      </c>
      <c r="F1345" s="866" t="s">
        <v>11017</v>
      </c>
      <c r="G1345" s="108">
        <f t="shared" si="20"/>
        <v>1</v>
      </c>
      <c r="H1345" s="861" t="s">
        <v>8761</v>
      </c>
    </row>
    <row r="1346" spans="1:8" ht="30">
      <c r="A1346" s="108" t="s">
        <v>11018</v>
      </c>
      <c r="B1346" s="985" t="s">
        <v>979</v>
      </c>
      <c r="C1346" s="904" t="s">
        <v>74</v>
      </c>
      <c r="D1346" s="904" t="s">
        <v>980</v>
      </c>
      <c r="E1346" s="904" t="s">
        <v>137</v>
      </c>
      <c r="F1346" s="905" t="s">
        <v>8720</v>
      </c>
      <c r="G1346" s="108">
        <f t="shared" si="20"/>
        <v>4</v>
      </c>
      <c r="H1346" s="393" t="s">
        <v>8763</v>
      </c>
    </row>
    <row r="1347" spans="1:8" ht="45">
      <c r="A1347" s="108" t="s">
        <v>11018</v>
      </c>
      <c r="B1347" s="866" t="s">
        <v>8721</v>
      </c>
      <c r="C1347" s="904" t="s">
        <v>983</v>
      </c>
      <c r="D1347" s="904" t="s">
        <v>984</v>
      </c>
      <c r="E1347" s="905" t="s">
        <v>985</v>
      </c>
      <c r="F1347" s="904" t="s">
        <v>986</v>
      </c>
      <c r="G1347" s="108">
        <f t="shared" ref="G1347:G1410" si="21">IF(H1347="A",1,IF(H1347="B",2,IF(H1347="C",3,IF(H1347="D",4,0))))</f>
        <v>3</v>
      </c>
      <c r="H1347" s="861" t="s">
        <v>8766</v>
      </c>
    </row>
    <row r="1348" spans="1:8" ht="45">
      <c r="A1348" s="108" t="s">
        <v>11018</v>
      </c>
      <c r="B1348" s="866" t="s">
        <v>987</v>
      </c>
      <c r="C1348" s="701" t="s">
        <v>988</v>
      </c>
      <c r="D1348" s="861" t="s">
        <v>989</v>
      </c>
      <c r="E1348" s="861" t="s">
        <v>990</v>
      </c>
      <c r="F1348" s="904" t="s">
        <v>986</v>
      </c>
      <c r="G1348" s="108">
        <f t="shared" si="21"/>
        <v>1</v>
      </c>
      <c r="H1348" s="861" t="s">
        <v>8761</v>
      </c>
    </row>
    <row r="1349" spans="1:8" ht="30">
      <c r="A1349" s="108" t="s">
        <v>11018</v>
      </c>
      <c r="B1349" s="866" t="s">
        <v>991</v>
      </c>
      <c r="C1349" s="988" t="s">
        <v>992</v>
      </c>
      <c r="D1349" s="988" t="s">
        <v>993</v>
      </c>
      <c r="E1349" s="988" t="s">
        <v>994</v>
      </c>
      <c r="F1349" s="989" t="s">
        <v>995</v>
      </c>
      <c r="G1349" s="108">
        <f t="shared" si="21"/>
        <v>4</v>
      </c>
      <c r="H1349" s="861" t="s">
        <v>8763</v>
      </c>
    </row>
    <row r="1350" spans="1:8" ht="45">
      <c r="A1350" s="108" t="s">
        <v>11018</v>
      </c>
      <c r="B1350" s="866" t="s">
        <v>996</v>
      </c>
      <c r="C1350" s="861" t="s">
        <v>997</v>
      </c>
      <c r="D1350" s="861" t="s">
        <v>998</v>
      </c>
      <c r="E1350" s="861" t="s">
        <v>999</v>
      </c>
      <c r="F1350" s="701" t="s">
        <v>11019</v>
      </c>
      <c r="G1350" s="108">
        <f t="shared" si="21"/>
        <v>4</v>
      </c>
      <c r="H1350" s="861" t="s">
        <v>8763</v>
      </c>
    </row>
    <row r="1351" spans="1:8" ht="45">
      <c r="A1351" s="108" t="s">
        <v>11018</v>
      </c>
      <c r="B1351" s="866" t="s">
        <v>1001</v>
      </c>
      <c r="C1351" s="861" t="s">
        <v>233</v>
      </c>
      <c r="D1351" s="861" t="s">
        <v>1002</v>
      </c>
      <c r="E1351" s="701" t="s">
        <v>1003</v>
      </c>
      <c r="F1351" s="861" t="s">
        <v>1004</v>
      </c>
      <c r="G1351" s="108">
        <f t="shared" si="21"/>
        <v>3</v>
      </c>
      <c r="H1351" s="861" t="s">
        <v>8766</v>
      </c>
    </row>
    <row r="1352" spans="1:8" ht="90">
      <c r="A1352" s="108" t="s">
        <v>11018</v>
      </c>
      <c r="B1352" s="866" t="s">
        <v>1005</v>
      </c>
      <c r="C1352" s="861" t="s">
        <v>1006</v>
      </c>
      <c r="D1352" s="861" t="s">
        <v>1007</v>
      </c>
      <c r="E1352" s="861" t="s">
        <v>1008</v>
      </c>
      <c r="F1352" s="701" t="s">
        <v>1009</v>
      </c>
      <c r="G1352" s="108">
        <f t="shared" si="21"/>
        <v>4</v>
      </c>
      <c r="H1352" s="861" t="s">
        <v>8763</v>
      </c>
    </row>
    <row r="1353" spans="1:8" ht="105">
      <c r="A1353" s="108" t="s">
        <v>11018</v>
      </c>
      <c r="B1353" s="866" t="s">
        <v>11020</v>
      </c>
      <c r="C1353" s="861" t="s">
        <v>1011</v>
      </c>
      <c r="D1353" s="861" t="s">
        <v>1012</v>
      </c>
      <c r="E1353" s="861" t="s">
        <v>1013</v>
      </c>
      <c r="F1353" s="701" t="s">
        <v>11021</v>
      </c>
      <c r="G1353" s="108">
        <f t="shared" si="21"/>
        <v>4</v>
      </c>
      <c r="H1353" s="861" t="s">
        <v>8763</v>
      </c>
    </row>
    <row r="1354" spans="1:8" ht="45">
      <c r="A1354" s="108" t="s">
        <v>11018</v>
      </c>
      <c r="B1354" s="866" t="s">
        <v>1015</v>
      </c>
      <c r="C1354" s="861" t="s">
        <v>1016</v>
      </c>
      <c r="D1354" s="701" t="s">
        <v>1017</v>
      </c>
      <c r="E1354" s="861" t="s">
        <v>1018</v>
      </c>
      <c r="F1354" s="861" t="s">
        <v>1019</v>
      </c>
      <c r="G1354" s="108">
        <f t="shared" si="21"/>
        <v>2</v>
      </c>
      <c r="H1354" s="861" t="s">
        <v>8764</v>
      </c>
    </row>
    <row r="1355" spans="1:8" ht="30">
      <c r="A1355" s="108" t="s">
        <v>11018</v>
      </c>
      <c r="B1355" s="866" t="s">
        <v>1020</v>
      </c>
      <c r="C1355" s="702" t="s">
        <v>1021</v>
      </c>
      <c r="D1355" s="861" t="s">
        <v>5365</v>
      </c>
      <c r="E1355" s="861" t="s">
        <v>6723</v>
      </c>
      <c r="F1355" s="701" t="s">
        <v>61</v>
      </c>
      <c r="G1355" s="108">
        <f t="shared" si="21"/>
        <v>1</v>
      </c>
      <c r="H1355" s="861" t="s">
        <v>8761</v>
      </c>
    </row>
    <row r="1356" spans="1:8">
      <c r="A1356" s="108" t="s">
        <v>11018</v>
      </c>
      <c r="B1356" s="866" t="s">
        <v>1024</v>
      </c>
      <c r="C1356" s="861" t="s">
        <v>1025</v>
      </c>
      <c r="D1356" s="861" t="s">
        <v>1026</v>
      </c>
      <c r="E1356" s="861" t="s">
        <v>1027</v>
      </c>
      <c r="F1356" s="701" t="s">
        <v>1000</v>
      </c>
      <c r="G1356" s="108">
        <f t="shared" si="21"/>
        <v>4</v>
      </c>
      <c r="H1356" s="861" t="s">
        <v>8763</v>
      </c>
    </row>
    <row r="1357" spans="1:8" ht="30">
      <c r="A1357" s="108" t="s">
        <v>11018</v>
      </c>
      <c r="B1357" s="866" t="s">
        <v>5368</v>
      </c>
      <c r="C1357" s="861" t="s">
        <v>1029</v>
      </c>
      <c r="D1357" s="861" t="s">
        <v>11022</v>
      </c>
      <c r="E1357" s="861" t="s">
        <v>1031</v>
      </c>
      <c r="F1357" s="701" t="s">
        <v>3313</v>
      </c>
      <c r="G1357" s="108">
        <f t="shared" si="21"/>
        <v>4</v>
      </c>
      <c r="H1357" s="861" t="s">
        <v>8763</v>
      </c>
    </row>
    <row r="1358" spans="1:8" ht="30">
      <c r="A1358" s="108" t="s">
        <v>11018</v>
      </c>
      <c r="B1358" s="866" t="s">
        <v>1032</v>
      </c>
      <c r="C1358" s="861" t="s">
        <v>1033</v>
      </c>
      <c r="D1358" s="701" t="s">
        <v>1034</v>
      </c>
      <c r="E1358" s="861" t="s">
        <v>1035</v>
      </c>
      <c r="F1358" s="861" t="s">
        <v>11023</v>
      </c>
      <c r="G1358" s="108">
        <f t="shared" si="21"/>
        <v>2</v>
      </c>
      <c r="H1358" s="861" t="s">
        <v>8764</v>
      </c>
    </row>
    <row r="1359" spans="1:8" ht="45">
      <c r="A1359" s="108" t="s">
        <v>11018</v>
      </c>
      <c r="B1359" s="866" t="s">
        <v>1037</v>
      </c>
      <c r="C1359" s="861" t="s">
        <v>1038</v>
      </c>
      <c r="D1359" s="861" t="s">
        <v>1039</v>
      </c>
      <c r="E1359" s="701" t="s">
        <v>1040</v>
      </c>
      <c r="F1359" s="861" t="s">
        <v>1041</v>
      </c>
      <c r="G1359" s="108">
        <f t="shared" si="21"/>
        <v>4</v>
      </c>
      <c r="H1359" s="861" t="s">
        <v>8763</v>
      </c>
    </row>
    <row r="1360" spans="1:8" ht="75">
      <c r="A1360" s="108" t="s">
        <v>11018</v>
      </c>
      <c r="B1360" s="866" t="s">
        <v>11024</v>
      </c>
      <c r="C1360" s="861" t="s">
        <v>1002</v>
      </c>
      <c r="D1360" s="701" t="s">
        <v>1013</v>
      </c>
      <c r="E1360" s="861" t="s">
        <v>1043</v>
      </c>
      <c r="F1360" s="861" t="s">
        <v>1044</v>
      </c>
      <c r="G1360" s="108">
        <f t="shared" si="21"/>
        <v>2</v>
      </c>
      <c r="H1360" s="861" t="s">
        <v>8764</v>
      </c>
    </row>
    <row r="1361" spans="1:8" ht="30">
      <c r="A1361" s="108" t="s">
        <v>11018</v>
      </c>
      <c r="B1361" s="866" t="s">
        <v>1045</v>
      </c>
      <c r="C1361" s="861" t="s">
        <v>1046</v>
      </c>
      <c r="D1361" s="988" t="s">
        <v>1047</v>
      </c>
      <c r="E1361" s="701" t="s">
        <v>1048</v>
      </c>
      <c r="F1361" s="861" t="s">
        <v>1049</v>
      </c>
      <c r="G1361" s="108">
        <f t="shared" si="21"/>
        <v>3</v>
      </c>
      <c r="H1361" s="861" t="s">
        <v>8766</v>
      </c>
    </row>
    <row r="1362" spans="1:8" ht="45">
      <c r="A1362" s="108" t="s">
        <v>11018</v>
      </c>
      <c r="B1362" s="866" t="s">
        <v>1050</v>
      </c>
      <c r="C1362" s="701" t="s">
        <v>1051</v>
      </c>
      <c r="D1362" s="988" t="s">
        <v>1052</v>
      </c>
      <c r="E1362" s="861" t="s">
        <v>1053</v>
      </c>
      <c r="F1362" s="861" t="s">
        <v>1011</v>
      </c>
      <c r="G1362" s="108">
        <f t="shared" si="21"/>
        <v>1</v>
      </c>
      <c r="H1362" s="861" t="s">
        <v>8761</v>
      </c>
    </row>
    <row r="1363" spans="1:8" ht="60">
      <c r="A1363" s="108" t="s">
        <v>11018</v>
      </c>
      <c r="B1363" s="866" t="s">
        <v>1055</v>
      </c>
      <c r="C1363" s="861" t="s">
        <v>1052</v>
      </c>
      <c r="D1363" s="861" t="s">
        <v>1056</v>
      </c>
      <c r="E1363" s="701" t="s">
        <v>1011</v>
      </c>
      <c r="F1363" s="946" t="s">
        <v>1057</v>
      </c>
      <c r="G1363" s="108">
        <f t="shared" si="21"/>
        <v>4</v>
      </c>
      <c r="H1363" s="861" t="s">
        <v>8763</v>
      </c>
    </row>
    <row r="1364" spans="1:8">
      <c r="A1364" s="108" t="s">
        <v>11018</v>
      </c>
      <c r="B1364" s="866" t="s">
        <v>1058</v>
      </c>
      <c r="C1364" s="861" t="s">
        <v>980</v>
      </c>
      <c r="D1364" s="861" t="s">
        <v>174</v>
      </c>
      <c r="E1364" s="861" t="s">
        <v>74</v>
      </c>
      <c r="F1364" s="701" t="s">
        <v>1059</v>
      </c>
      <c r="G1364" s="108">
        <f t="shared" si="21"/>
        <v>1</v>
      </c>
      <c r="H1364" s="861" t="s">
        <v>8761</v>
      </c>
    </row>
    <row r="1365" spans="1:8">
      <c r="A1365" s="108" t="s">
        <v>11018</v>
      </c>
      <c r="B1365" s="866" t="s">
        <v>1060</v>
      </c>
      <c r="C1365" s="861" t="s">
        <v>74</v>
      </c>
      <c r="D1365" s="861" t="s">
        <v>1059</v>
      </c>
      <c r="E1365" s="861" t="s">
        <v>137</v>
      </c>
      <c r="F1365" s="861" t="s">
        <v>174</v>
      </c>
      <c r="G1365" s="108">
        <f t="shared" si="21"/>
        <v>4</v>
      </c>
      <c r="H1365" s="861" t="s">
        <v>8763</v>
      </c>
    </row>
    <row r="1366" spans="1:8" ht="45">
      <c r="A1366" s="108" t="s">
        <v>11018</v>
      </c>
      <c r="B1366" s="866" t="s">
        <v>1061</v>
      </c>
      <c r="C1366" s="990" t="s">
        <v>1062</v>
      </c>
      <c r="D1366" s="990" t="s">
        <v>1063</v>
      </c>
      <c r="E1366" s="868" t="s">
        <v>1064</v>
      </c>
      <c r="F1366" s="868" t="s">
        <v>1065</v>
      </c>
      <c r="G1366" s="108">
        <f t="shared" si="21"/>
        <v>3</v>
      </c>
      <c r="H1366" s="861" t="s">
        <v>8766</v>
      </c>
    </row>
    <row r="1367" spans="1:8" ht="30">
      <c r="A1367" s="108" t="s">
        <v>11018</v>
      </c>
      <c r="B1367" s="866" t="s">
        <v>8724</v>
      </c>
      <c r="C1367" s="904">
        <v>0.1</v>
      </c>
      <c r="D1367" s="904">
        <v>0.2</v>
      </c>
      <c r="E1367" s="904">
        <v>0.15</v>
      </c>
      <c r="F1367" s="861" t="s">
        <v>1067</v>
      </c>
      <c r="G1367" s="108">
        <f t="shared" si="21"/>
        <v>4</v>
      </c>
      <c r="H1367" s="861" t="s">
        <v>8763</v>
      </c>
    </row>
    <row r="1368" spans="1:8" ht="30">
      <c r="A1368" s="108" t="s">
        <v>11018</v>
      </c>
      <c r="B1368" s="866" t="s">
        <v>1068</v>
      </c>
      <c r="C1368" s="904">
        <v>1</v>
      </c>
      <c r="D1368" s="904">
        <v>0.95</v>
      </c>
      <c r="E1368" s="904">
        <v>1.05</v>
      </c>
      <c r="F1368" s="904">
        <v>0.9</v>
      </c>
      <c r="G1368" s="108">
        <f t="shared" si="21"/>
        <v>4</v>
      </c>
      <c r="H1368" s="861" t="s">
        <v>8763</v>
      </c>
    </row>
    <row r="1369" spans="1:8" ht="30">
      <c r="A1369" s="108" t="s">
        <v>11018</v>
      </c>
      <c r="B1369" s="866" t="s">
        <v>8725</v>
      </c>
      <c r="C1369" s="904">
        <v>0.1</v>
      </c>
      <c r="D1369" s="904">
        <v>0.2</v>
      </c>
      <c r="E1369" s="904">
        <v>0.15</v>
      </c>
      <c r="F1369" s="861" t="s">
        <v>1067</v>
      </c>
      <c r="G1369" s="108">
        <f t="shared" si="21"/>
        <v>1</v>
      </c>
      <c r="H1369" s="861" t="s">
        <v>8761</v>
      </c>
    </row>
    <row r="1370" spans="1:8" ht="45">
      <c r="A1370" s="108" t="s">
        <v>11018</v>
      </c>
      <c r="B1370" s="866" t="s">
        <v>1070</v>
      </c>
      <c r="C1370" s="861" t="s">
        <v>252</v>
      </c>
      <c r="D1370" s="861" t="s">
        <v>1071</v>
      </c>
      <c r="E1370" s="861" t="s">
        <v>1072</v>
      </c>
      <c r="F1370" s="861" t="s">
        <v>1073</v>
      </c>
      <c r="G1370" s="108">
        <f t="shared" si="21"/>
        <v>4</v>
      </c>
      <c r="H1370" s="861" t="s">
        <v>8763</v>
      </c>
    </row>
    <row r="1371" spans="1:8">
      <c r="A1371" s="108" t="s">
        <v>11018</v>
      </c>
      <c r="B1371" s="866" t="s">
        <v>1074</v>
      </c>
      <c r="C1371" s="861" t="s">
        <v>1021</v>
      </c>
      <c r="D1371" s="861" t="s">
        <v>1075</v>
      </c>
      <c r="E1371" s="861" t="s">
        <v>1076</v>
      </c>
      <c r="F1371" s="861" t="s">
        <v>61</v>
      </c>
      <c r="G1371" s="108">
        <f t="shared" si="21"/>
        <v>4</v>
      </c>
      <c r="H1371" s="861" t="s">
        <v>8763</v>
      </c>
    </row>
    <row r="1372" spans="1:8" ht="30">
      <c r="A1372" s="108" t="s">
        <v>11018</v>
      </c>
      <c r="B1372" s="866" t="s">
        <v>1077</v>
      </c>
      <c r="C1372" s="861" t="s">
        <v>1078</v>
      </c>
      <c r="D1372" s="861" t="s">
        <v>1079</v>
      </c>
      <c r="E1372" s="861" t="s">
        <v>1080</v>
      </c>
      <c r="F1372" s="861" t="s">
        <v>1081</v>
      </c>
      <c r="G1372" s="108">
        <f t="shared" si="21"/>
        <v>3</v>
      </c>
      <c r="H1372" s="861" t="s">
        <v>8766</v>
      </c>
    </row>
    <row r="1373" spans="1:8" ht="45">
      <c r="A1373" s="108" t="s">
        <v>11018</v>
      </c>
      <c r="B1373" s="866" t="s">
        <v>1082</v>
      </c>
      <c r="C1373" s="861" t="s">
        <v>1029</v>
      </c>
      <c r="D1373" s="861" t="s">
        <v>1030</v>
      </c>
      <c r="E1373" s="861" t="s">
        <v>1031</v>
      </c>
      <c r="F1373" s="861" t="s">
        <v>1075</v>
      </c>
      <c r="G1373" s="108">
        <f t="shared" si="21"/>
        <v>4</v>
      </c>
      <c r="H1373" s="861" t="s">
        <v>8763</v>
      </c>
    </row>
    <row r="1374" spans="1:8" ht="45">
      <c r="A1374" s="108" t="s">
        <v>11018</v>
      </c>
      <c r="B1374" s="866" t="s">
        <v>8726</v>
      </c>
      <c r="C1374" s="868" t="s">
        <v>1084</v>
      </c>
      <c r="D1374" s="868" t="s">
        <v>1085</v>
      </c>
      <c r="E1374" s="868" t="s">
        <v>1086</v>
      </c>
      <c r="F1374" s="868" t="s">
        <v>1087</v>
      </c>
      <c r="G1374" s="108">
        <f t="shared" si="21"/>
        <v>4</v>
      </c>
      <c r="H1374" s="861" t="s">
        <v>8763</v>
      </c>
    </row>
    <row r="1375" spans="1:8" ht="45">
      <c r="A1375" s="108" t="s">
        <v>11018</v>
      </c>
      <c r="B1375" s="866" t="s">
        <v>1088</v>
      </c>
      <c r="C1375" s="861" t="s">
        <v>1056</v>
      </c>
      <c r="D1375" s="861" t="s">
        <v>1052</v>
      </c>
      <c r="E1375" s="861" t="s">
        <v>1011</v>
      </c>
      <c r="F1375" s="861" t="s">
        <v>1002</v>
      </c>
      <c r="G1375" s="108">
        <f t="shared" si="21"/>
        <v>2</v>
      </c>
      <c r="H1375" s="861" t="s">
        <v>8764</v>
      </c>
    </row>
    <row r="1376" spans="1:8" ht="45">
      <c r="A1376" s="108" t="s">
        <v>11018</v>
      </c>
      <c r="B1376" s="866" t="s">
        <v>1089</v>
      </c>
      <c r="C1376" s="861" t="s">
        <v>1090</v>
      </c>
      <c r="D1376" s="861" t="s">
        <v>1091</v>
      </c>
      <c r="E1376" s="861" t="s">
        <v>1092</v>
      </c>
      <c r="F1376" s="861" t="s">
        <v>1093</v>
      </c>
      <c r="G1376" s="108">
        <f t="shared" si="21"/>
        <v>1</v>
      </c>
      <c r="H1376" s="861" t="s">
        <v>8761</v>
      </c>
    </row>
    <row r="1377" spans="1:8" ht="30">
      <c r="A1377" s="108" t="s">
        <v>11018</v>
      </c>
      <c r="B1377" s="866" t="s">
        <v>1094</v>
      </c>
      <c r="C1377" s="861" t="s">
        <v>1095</v>
      </c>
      <c r="D1377" s="861" t="s">
        <v>1096</v>
      </c>
      <c r="E1377" s="861" t="s">
        <v>1097</v>
      </c>
      <c r="F1377" s="861" t="s">
        <v>1098</v>
      </c>
      <c r="G1377" s="108">
        <f t="shared" si="21"/>
        <v>2</v>
      </c>
      <c r="H1377" s="861" t="s">
        <v>8764</v>
      </c>
    </row>
    <row r="1378" spans="1:8" ht="30">
      <c r="A1378" s="108" t="s">
        <v>11018</v>
      </c>
      <c r="B1378" s="866" t="s">
        <v>1099</v>
      </c>
      <c r="C1378" s="904">
        <v>0.1</v>
      </c>
      <c r="D1378" s="904">
        <v>0.45</v>
      </c>
      <c r="E1378" s="904">
        <v>0.35</v>
      </c>
      <c r="F1378" s="904">
        <v>0.5</v>
      </c>
      <c r="G1378" s="108">
        <f t="shared" si="21"/>
        <v>1</v>
      </c>
      <c r="H1378" s="861" t="s">
        <v>8761</v>
      </c>
    </row>
    <row r="1379" spans="1:8" ht="30">
      <c r="A1379" s="108" t="s">
        <v>11018</v>
      </c>
      <c r="B1379" s="866" t="s">
        <v>1100</v>
      </c>
      <c r="C1379" s="904">
        <v>0.1</v>
      </c>
      <c r="D1379" s="904">
        <v>0.45</v>
      </c>
      <c r="E1379" s="904">
        <v>0.35</v>
      </c>
      <c r="F1379" s="904">
        <v>0.5</v>
      </c>
      <c r="G1379" s="108">
        <f t="shared" si="21"/>
        <v>2</v>
      </c>
      <c r="H1379" s="861" t="s">
        <v>8764</v>
      </c>
    </row>
    <row r="1380" spans="1:8" ht="30">
      <c r="A1380" s="108" t="s">
        <v>11018</v>
      </c>
      <c r="B1380" s="866" t="s">
        <v>1101</v>
      </c>
      <c r="C1380" s="904">
        <v>0.1</v>
      </c>
      <c r="D1380" s="904">
        <v>0.15</v>
      </c>
      <c r="E1380" s="904">
        <v>0.35</v>
      </c>
      <c r="F1380" s="904">
        <v>0.45</v>
      </c>
      <c r="G1380" s="108">
        <f t="shared" si="21"/>
        <v>4</v>
      </c>
      <c r="H1380" s="861" t="s">
        <v>8763</v>
      </c>
    </row>
    <row r="1381" spans="1:8" ht="30">
      <c r="A1381" s="108" t="s">
        <v>11018</v>
      </c>
      <c r="B1381" s="866" t="s">
        <v>1102</v>
      </c>
      <c r="C1381" s="861" t="s">
        <v>1103</v>
      </c>
      <c r="D1381" s="861" t="s">
        <v>1104</v>
      </c>
      <c r="E1381" s="861" t="s">
        <v>1105</v>
      </c>
      <c r="F1381" s="861" t="s">
        <v>1106</v>
      </c>
      <c r="G1381" s="108">
        <f t="shared" si="21"/>
        <v>1</v>
      </c>
      <c r="H1381" s="861" t="s">
        <v>8761</v>
      </c>
    </row>
    <row r="1382" spans="1:8" ht="30">
      <c r="A1382" s="108" t="s">
        <v>11018</v>
      </c>
      <c r="B1382" s="866" t="s">
        <v>1107</v>
      </c>
      <c r="C1382" s="861" t="s">
        <v>1108</v>
      </c>
      <c r="D1382" s="861" t="s">
        <v>1109</v>
      </c>
      <c r="E1382" s="861" t="s">
        <v>11025</v>
      </c>
      <c r="F1382" s="861" t="s">
        <v>11026</v>
      </c>
      <c r="G1382" s="108">
        <f t="shared" si="21"/>
        <v>2</v>
      </c>
      <c r="H1382" s="861" t="s">
        <v>8764</v>
      </c>
    </row>
    <row r="1383" spans="1:8" ht="30">
      <c r="A1383" s="108" t="s">
        <v>11018</v>
      </c>
      <c r="B1383" s="866" t="s">
        <v>1112</v>
      </c>
      <c r="C1383" s="861" t="s">
        <v>1108</v>
      </c>
      <c r="D1383" s="861" t="s">
        <v>1109</v>
      </c>
      <c r="E1383" s="861" t="s">
        <v>11025</v>
      </c>
      <c r="F1383" s="861" t="s">
        <v>11026</v>
      </c>
      <c r="G1383" s="108">
        <f t="shared" si="21"/>
        <v>1</v>
      </c>
      <c r="H1383" s="861" t="s">
        <v>8761</v>
      </c>
    </row>
    <row r="1384" spans="1:8" ht="30">
      <c r="A1384" s="108" t="s">
        <v>11018</v>
      </c>
      <c r="B1384" s="866" t="s">
        <v>1113</v>
      </c>
      <c r="C1384" s="861" t="s">
        <v>1114</v>
      </c>
      <c r="D1384" s="861" t="s">
        <v>1106</v>
      </c>
      <c r="E1384" s="861" t="s">
        <v>1116</v>
      </c>
      <c r="F1384" s="861" t="s">
        <v>1115</v>
      </c>
      <c r="G1384" s="108">
        <f t="shared" si="21"/>
        <v>4</v>
      </c>
      <c r="H1384" s="861" t="s">
        <v>8763</v>
      </c>
    </row>
    <row r="1385" spans="1:8" ht="30">
      <c r="A1385" s="108" t="s">
        <v>11018</v>
      </c>
      <c r="B1385" s="866" t="s">
        <v>11027</v>
      </c>
      <c r="C1385" s="861" t="s">
        <v>1114</v>
      </c>
      <c r="D1385" s="861" t="s">
        <v>1106</v>
      </c>
      <c r="E1385" s="861" t="s">
        <v>11028</v>
      </c>
      <c r="F1385" s="861" t="s">
        <v>1115</v>
      </c>
      <c r="G1385" s="108">
        <f t="shared" si="21"/>
        <v>3</v>
      </c>
      <c r="H1385" s="861" t="s">
        <v>8766</v>
      </c>
    </row>
    <row r="1386" spans="1:8" ht="30">
      <c r="A1386" s="108" t="s">
        <v>11018</v>
      </c>
      <c r="B1386" s="866" t="s">
        <v>1119</v>
      </c>
      <c r="C1386" s="861" t="s">
        <v>174</v>
      </c>
      <c r="D1386" s="861" t="s">
        <v>270</v>
      </c>
      <c r="E1386" s="861" t="s">
        <v>1059</v>
      </c>
      <c r="F1386" s="861" t="s">
        <v>2070</v>
      </c>
      <c r="G1386" s="108">
        <f t="shared" si="21"/>
        <v>4</v>
      </c>
      <c r="H1386" s="861" t="s">
        <v>8763</v>
      </c>
    </row>
    <row r="1387" spans="1:8" ht="45">
      <c r="A1387" s="108" t="s">
        <v>11018</v>
      </c>
      <c r="B1387" s="866" t="s">
        <v>8727</v>
      </c>
      <c r="C1387" s="861" t="s">
        <v>1121</v>
      </c>
      <c r="D1387" s="861" t="s">
        <v>1122</v>
      </c>
      <c r="E1387" s="861" t="s">
        <v>1123</v>
      </c>
      <c r="F1387" s="861" t="s">
        <v>5376</v>
      </c>
      <c r="G1387" s="108">
        <f t="shared" si="21"/>
        <v>4</v>
      </c>
      <c r="H1387" s="861" t="s">
        <v>8763</v>
      </c>
    </row>
    <row r="1388" spans="1:8" ht="30">
      <c r="A1388" s="108" t="s">
        <v>11018</v>
      </c>
      <c r="B1388" s="866" t="s">
        <v>11029</v>
      </c>
      <c r="C1388" s="861" t="s">
        <v>1126</v>
      </c>
      <c r="D1388" s="861" t="s">
        <v>1127</v>
      </c>
      <c r="E1388" s="861" t="s">
        <v>1128</v>
      </c>
      <c r="F1388" s="861" t="s">
        <v>1129</v>
      </c>
      <c r="G1388" s="108">
        <f t="shared" si="21"/>
        <v>2</v>
      </c>
      <c r="H1388" s="861" t="s">
        <v>8764</v>
      </c>
    </row>
    <row r="1389" spans="1:8" ht="30">
      <c r="A1389" s="108" t="s">
        <v>11018</v>
      </c>
      <c r="B1389" s="866" t="s">
        <v>1130</v>
      </c>
      <c r="C1389" s="861" t="s">
        <v>270</v>
      </c>
      <c r="D1389" s="861" t="s">
        <v>76</v>
      </c>
      <c r="E1389" s="861" t="s">
        <v>137</v>
      </c>
      <c r="F1389" s="861" t="s">
        <v>1131</v>
      </c>
      <c r="G1389" s="108">
        <f t="shared" si="21"/>
        <v>2</v>
      </c>
      <c r="H1389" s="861" t="s">
        <v>8764</v>
      </c>
    </row>
    <row r="1390" spans="1:8" ht="30">
      <c r="A1390" s="108" t="s">
        <v>11018</v>
      </c>
      <c r="B1390" s="866" t="s">
        <v>1132</v>
      </c>
      <c r="C1390" s="861" t="s">
        <v>1126</v>
      </c>
      <c r="D1390" s="861" t="s">
        <v>1127</v>
      </c>
      <c r="E1390" s="861" t="s">
        <v>1128</v>
      </c>
      <c r="F1390" s="861" t="s">
        <v>1129</v>
      </c>
      <c r="G1390" s="108">
        <f t="shared" si="21"/>
        <v>3</v>
      </c>
      <c r="H1390" s="861" t="s">
        <v>8766</v>
      </c>
    </row>
    <row r="1391" spans="1:8" ht="45">
      <c r="A1391" s="108" t="s">
        <v>11018</v>
      </c>
      <c r="B1391" s="866" t="s">
        <v>1133</v>
      </c>
      <c r="C1391" s="861" t="s">
        <v>1134</v>
      </c>
      <c r="D1391" s="861" t="s">
        <v>1135</v>
      </c>
      <c r="E1391" s="861" t="s">
        <v>1136</v>
      </c>
      <c r="F1391" s="861" t="s">
        <v>1137</v>
      </c>
      <c r="G1391" s="108">
        <f t="shared" si="21"/>
        <v>3</v>
      </c>
      <c r="H1391" s="861" t="s">
        <v>8766</v>
      </c>
    </row>
    <row r="1392" spans="1:8" ht="30">
      <c r="A1392" s="108" t="s">
        <v>11018</v>
      </c>
      <c r="B1392" s="866" t="s">
        <v>1138</v>
      </c>
      <c r="C1392" s="911">
        <v>1.2500000000000001E-2</v>
      </c>
      <c r="D1392" s="904">
        <v>0.01</v>
      </c>
      <c r="E1392" s="911">
        <v>1.4999999999999999E-2</v>
      </c>
      <c r="F1392" s="904">
        <v>0.02</v>
      </c>
      <c r="G1392" s="108">
        <f t="shared" si="21"/>
        <v>1</v>
      </c>
      <c r="H1392" s="861" t="s">
        <v>8761</v>
      </c>
    </row>
    <row r="1393" spans="1:8" ht="45">
      <c r="A1393" s="108" t="s">
        <v>11018</v>
      </c>
      <c r="B1393" s="866" t="s">
        <v>11030</v>
      </c>
      <c r="C1393" s="904">
        <v>0.01</v>
      </c>
      <c r="D1393" s="904">
        <v>0.02</v>
      </c>
      <c r="E1393" s="911">
        <v>1.4999999999999999E-2</v>
      </c>
      <c r="F1393" s="911">
        <v>1.2500000000000001E-2</v>
      </c>
      <c r="G1393" s="108">
        <f t="shared" si="21"/>
        <v>2</v>
      </c>
      <c r="H1393" s="861" t="s">
        <v>8764</v>
      </c>
    </row>
    <row r="1394" spans="1:8" ht="45">
      <c r="A1394" s="108" t="s">
        <v>11018</v>
      </c>
      <c r="B1394" s="866" t="s">
        <v>11031</v>
      </c>
      <c r="C1394" s="904">
        <v>0.01</v>
      </c>
      <c r="D1394" s="904">
        <v>0.02</v>
      </c>
      <c r="E1394" s="911">
        <v>1.4999999999999999E-2</v>
      </c>
      <c r="F1394" s="911">
        <v>1.2500000000000001E-2</v>
      </c>
      <c r="G1394" s="108">
        <f t="shared" si="21"/>
        <v>1</v>
      </c>
      <c r="H1394" s="861" t="s">
        <v>8761</v>
      </c>
    </row>
    <row r="1395" spans="1:8" ht="30">
      <c r="A1395" s="108" t="s">
        <v>11018</v>
      </c>
      <c r="B1395" s="866" t="s">
        <v>11032</v>
      </c>
      <c r="C1395" s="861">
        <v>145</v>
      </c>
      <c r="D1395" s="861">
        <v>130</v>
      </c>
      <c r="E1395" s="861">
        <v>151</v>
      </c>
      <c r="F1395" s="861">
        <v>160</v>
      </c>
      <c r="G1395" s="108">
        <f t="shared" si="21"/>
        <v>1</v>
      </c>
      <c r="H1395" s="861" t="s">
        <v>8761</v>
      </c>
    </row>
    <row r="1396" spans="1:8" ht="60">
      <c r="A1396" s="108" t="s">
        <v>8525</v>
      </c>
      <c r="B1396" s="793" t="s">
        <v>8718</v>
      </c>
      <c r="C1396" s="793" t="s">
        <v>5393</v>
      </c>
      <c r="D1396" s="793" t="s">
        <v>2516</v>
      </c>
      <c r="E1396" s="793" t="s">
        <v>823</v>
      </c>
      <c r="F1396" s="793" t="s">
        <v>61</v>
      </c>
      <c r="G1396" s="108">
        <f t="shared" si="21"/>
        <v>1</v>
      </c>
      <c r="H1396" s="865" t="s">
        <v>8761</v>
      </c>
    </row>
    <row r="1397" spans="1:8" ht="30">
      <c r="A1397" s="108" t="s">
        <v>8525</v>
      </c>
      <c r="B1397" s="793" t="s">
        <v>8719</v>
      </c>
      <c r="C1397" s="793" t="s">
        <v>823</v>
      </c>
      <c r="D1397" s="793" t="s">
        <v>4341</v>
      </c>
      <c r="E1397" s="793" t="s">
        <v>2516</v>
      </c>
      <c r="F1397" s="793" t="s">
        <v>4342</v>
      </c>
      <c r="G1397" s="108">
        <f t="shared" si="21"/>
        <v>4</v>
      </c>
      <c r="H1397" s="865" t="s">
        <v>8763</v>
      </c>
    </row>
    <row r="1398" spans="1:8" ht="45">
      <c r="A1398" s="108" t="s">
        <v>8525</v>
      </c>
      <c r="B1398" s="793" t="s">
        <v>11033</v>
      </c>
      <c r="C1398" s="793" t="s">
        <v>11034</v>
      </c>
      <c r="D1398" s="793" t="s">
        <v>11035</v>
      </c>
      <c r="E1398" s="793" t="s">
        <v>11036</v>
      </c>
      <c r="F1398" s="793" t="s">
        <v>1000</v>
      </c>
      <c r="G1398" s="108">
        <f t="shared" si="21"/>
        <v>4</v>
      </c>
      <c r="H1398" s="865" t="s">
        <v>8763</v>
      </c>
    </row>
    <row r="1399" spans="1:8" ht="45">
      <c r="A1399" s="108" t="s">
        <v>8525</v>
      </c>
      <c r="B1399" s="793" t="s">
        <v>5395</v>
      </c>
      <c r="C1399" s="793" t="s">
        <v>5396</v>
      </c>
      <c r="D1399" s="793" t="s">
        <v>5397</v>
      </c>
      <c r="E1399" s="793" t="s">
        <v>2656</v>
      </c>
      <c r="F1399" s="793" t="s">
        <v>5398</v>
      </c>
      <c r="G1399" s="108">
        <f t="shared" si="21"/>
        <v>3</v>
      </c>
      <c r="H1399" s="865" t="s">
        <v>8766</v>
      </c>
    </row>
    <row r="1400" spans="1:8" ht="75">
      <c r="A1400" s="108" t="s">
        <v>8525</v>
      </c>
      <c r="B1400" s="793" t="s">
        <v>5399</v>
      </c>
      <c r="C1400" s="793" t="s">
        <v>5400</v>
      </c>
      <c r="D1400" s="793" t="s">
        <v>5401</v>
      </c>
      <c r="E1400" s="793" t="s">
        <v>5402</v>
      </c>
      <c r="F1400" s="793" t="s">
        <v>5403</v>
      </c>
      <c r="G1400" s="108">
        <f t="shared" si="21"/>
        <v>2</v>
      </c>
      <c r="H1400" s="865" t="s">
        <v>8764</v>
      </c>
    </row>
    <row r="1401" spans="1:8" ht="105">
      <c r="A1401" s="108" t="s">
        <v>8525</v>
      </c>
      <c r="B1401" s="793" t="s">
        <v>5404</v>
      </c>
      <c r="C1401" s="793">
        <v>0.7</v>
      </c>
      <c r="D1401" s="793">
        <v>0.8</v>
      </c>
      <c r="E1401" s="793">
        <v>0.6</v>
      </c>
      <c r="F1401" s="793">
        <v>0.85</v>
      </c>
      <c r="G1401" s="108">
        <f t="shared" si="21"/>
        <v>1</v>
      </c>
      <c r="H1401" s="865" t="s">
        <v>8761</v>
      </c>
    </row>
    <row r="1402" spans="1:8" ht="60">
      <c r="A1402" s="108" t="s">
        <v>8525</v>
      </c>
      <c r="B1402" s="793" t="s">
        <v>8684</v>
      </c>
      <c r="C1402" s="793" t="b">
        <v>1</v>
      </c>
      <c r="D1402" s="793" t="b">
        <v>0</v>
      </c>
      <c r="E1402" s="793" t="s">
        <v>5406</v>
      </c>
      <c r="F1402" s="793" t="s">
        <v>5407</v>
      </c>
      <c r="G1402" s="108">
        <f t="shared" si="21"/>
        <v>2</v>
      </c>
      <c r="H1402" s="865" t="s">
        <v>8764</v>
      </c>
    </row>
    <row r="1403" spans="1:8" ht="45">
      <c r="A1403" s="108" t="s">
        <v>8525</v>
      </c>
      <c r="B1403" s="793" t="s">
        <v>5408</v>
      </c>
      <c r="C1403" s="793" t="s">
        <v>74</v>
      </c>
      <c r="D1403" s="793" t="s">
        <v>5409</v>
      </c>
      <c r="E1403" s="793" t="s">
        <v>5410</v>
      </c>
      <c r="F1403" s="793" t="s">
        <v>5411</v>
      </c>
      <c r="G1403" s="108">
        <f t="shared" si="21"/>
        <v>4</v>
      </c>
      <c r="H1403" s="865" t="s">
        <v>8763</v>
      </c>
    </row>
    <row r="1404" spans="1:8" ht="60">
      <c r="A1404" s="108" t="s">
        <v>8525</v>
      </c>
      <c r="B1404" s="793" t="s">
        <v>5412</v>
      </c>
      <c r="C1404" s="793" t="s">
        <v>5413</v>
      </c>
      <c r="D1404" s="793" t="s">
        <v>5414</v>
      </c>
      <c r="E1404" s="793" t="s">
        <v>5415</v>
      </c>
      <c r="F1404" s="793" t="s">
        <v>61</v>
      </c>
      <c r="G1404" s="108">
        <f t="shared" si="21"/>
        <v>3</v>
      </c>
      <c r="H1404" s="865" t="s">
        <v>8766</v>
      </c>
    </row>
    <row r="1405" spans="1:8" ht="45">
      <c r="A1405" s="108" t="s">
        <v>8525</v>
      </c>
      <c r="B1405" s="793" t="s">
        <v>5416</v>
      </c>
      <c r="C1405" s="793" t="s">
        <v>5417</v>
      </c>
      <c r="D1405" s="793" t="s">
        <v>5418</v>
      </c>
      <c r="E1405" s="793" t="s">
        <v>5419</v>
      </c>
      <c r="F1405" s="793" t="s">
        <v>5420</v>
      </c>
      <c r="G1405" s="108">
        <f t="shared" si="21"/>
        <v>1</v>
      </c>
      <c r="H1405" s="865" t="s">
        <v>8761</v>
      </c>
    </row>
    <row r="1406" spans="1:8" ht="30">
      <c r="A1406" s="108" t="s">
        <v>8525</v>
      </c>
      <c r="B1406" s="793" t="s">
        <v>5421</v>
      </c>
      <c r="C1406" s="793" t="s">
        <v>980</v>
      </c>
      <c r="D1406" s="793" t="s">
        <v>173</v>
      </c>
      <c r="E1406" s="793" t="s">
        <v>5422</v>
      </c>
      <c r="F1406" s="793" t="s">
        <v>174</v>
      </c>
      <c r="G1406" s="108">
        <f t="shared" si="21"/>
        <v>4</v>
      </c>
      <c r="H1406" s="865" t="s">
        <v>8763</v>
      </c>
    </row>
    <row r="1407" spans="1:8" ht="30">
      <c r="A1407" s="108" t="s">
        <v>8525</v>
      </c>
      <c r="B1407" s="793" t="s">
        <v>5423</v>
      </c>
      <c r="C1407" s="793" t="s">
        <v>5424</v>
      </c>
      <c r="D1407" s="793" t="s">
        <v>5425</v>
      </c>
      <c r="E1407" s="793" t="s">
        <v>5426</v>
      </c>
      <c r="F1407" s="793" t="s">
        <v>5427</v>
      </c>
      <c r="G1407" s="108">
        <f t="shared" si="21"/>
        <v>2</v>
      </c>
      <c r="H1407" s="865" t="s">
        <v>8764</v>
      </c>
    </row>
    <row r="1408" spans="1:8" ht="75">
      <c r="A1408" s="108" t="s">
        <v>8525</v>
      </c>
      <c r="B1408" s="793" t="s">
        <v>5428</v>
      </c>
      <c r="C1408" s="793" t="s">
        <v>5429</v>
      </c>
      <c r="D1408" s="793" t="s">
        <v>4952</v>
      </c>
      <c r="E1408" s="793" t="s">
        <v>4953</v>
      </c>
      <c r="F1408" s="793" t="s">
        <v>5430</v>
      </c>
      <c r="G1408" s="108">
        <f t="shared" si="21"/>
        <v>1</v>
      </c>
      <c r="H1408" s="865" t="s">
        <v>8761</v>
      </c>
    </row>
    <row r="1409" spans="1:8" ht="30">
      <c r="A1409" s="108" t="s">
        <v>8525</v>
      </c>
      <c r="B1409" s="793" t="s">
        <v>5431</v>
      </c>
      <c r="C1409" s="793" t="s">
        <v>5432</v>
      </c>
      <c r="D1409" s="793" t="s">
        <v>5433</v>
      </c>
      <c r="E1409" s="793" t="s">
        <v>5434</v>
      </c>
      <c r="F1409" s="793" t="s">
        <v>5435</v>
      </c>
      <c r="G1409" s="108">
        <f t="shared" si="21"/>
        <v>3</v>
      </c>
      <c r="H1409" s="865" t="s">
        <v>8766</v>
      </c>
    </row>
    <row r="1410" spans="1:8" ht="45">
      <c r="A1410" s="108" t="s">
        <v>8525</v>
      </c>
      <c r="B1410" s="793" t="s">
        <v>5436</v>
      </c>
      <c r="C1410" s="793" t="s">
        <v>5437</v>
      </c>
      <c r="D1410" s="793" t="s">
        <v>5438</v>
      </c>
      <c r="E1410" s="793" t="s">
        <v>5439</v>
      </c>
      <c r="F1410" s="793" t="s">
        <v>5440</v>
      </c>
      <c r="G1410" s="108">
        <f t="shared" si="21"/>
        <v>4</v>
      </c>
      <c r="H1410" s="865" t="s">
        <v>8763</v>
      </c>
    </row>
    <row r="1411" spans="1:8">
      <c r="A1411" s="108" t="s">
        <v>1203</v>
      </c>
      <c r="B1411" s="886" t="s">
        <v>3103</v>
      </c>
      <c r="C1411" s="922" t="s">
        <v>3104</v>
      </c>
      <c r="D1411" s="922" t="s">
        <v>3105</v>
      </c>
      <c r="E1411" s="922" t="s">
        <v>3106</v>
      </c>
      <c r="F1411" s="922" t="s">
        <v>3107</v>
      </c>
      <c r="G1411" s="108">
        <f t="shared" ref="G1411:G1474" si="22">IF(H1411="A",1,IF(H1411="B",2,IF(H1411="C",3,IF(H1411="D",4,0))))</f>
        <v>3</v>
      </c>
      <c r="H1411" s="921" t="s">
        <v>8766</v>
      </c>
    </row>
    <row r="1412" spans="1:8" ht="24">
      <c r="A1412" s="108" t="s">
        <v>1203</v>
      </c>
      <c r="B1412" s="886" t="s">
        <v>3108</v>
      </c>
      <c r="C1412" s="922" t="s">
        <v>3109</v>
      </c>
      <c r="D1412" s="922" t="s">
        <v>3110</v>
      </c>
      <c r="E1412" s="922" t="s">
        <v>3111</v>
      </c>
      <c r="F1412" s="284" t="s">
        <v>3112</v>
      </c>
      <c r="G1412" s="108">
        <f t="shared" si="22"/>
        <v>4</v>
      </c>
      <c r="H1412" s="921" t="s">
        <v>8763</v>
      </c>
    </row>
    <row r="1413" spans="1:8" ht="36">
      <c r="A1413" s="108" t="s">
        <v>1203</v>
      </c>
      <c r="B1413" s="886" t="s">
        <v>3113</v>
      </c>
      <c r="C1413" s="922" t="s">
        <v>3114</v>
      </c>
      <c r="D1413" s="922" t="s">
        <v>3115</v>
      </c>
      <c r="E1413" s="284" t="s">
        <v>3116</v>
      </c>
      <c r="F1413" s="922" t="s">
        <v>3117</v>
      </c>
      <c r="G1413" s="108">
        <f t="shared" si="22"/>
        <v>3</v>
      </c>
      <c r="H1413" s="921" t="s">
        <v>8766</v>
      </c>
    </row>
    <row r="1414" spans="1:8">
      <c r="A1414" s="108" t="s">
        <v>1203</v>
      </c>
      <c r="B1414" s="886" t="s">
        <v>3118</v>
      </c>
      <c r="C1414" s="922" t="s">
        <v>3119</v>
      </c>
      <c r="D1414" s="922" t="s">
        <v>3120</v>
      </c>
      <c r="E1414" s="922" t="s">
        <v>3121</v>
      </c>
      <c r="F1414" s="284" t="s">
        <v>3122</v>
      </c>
      <c r="G1414" s="108">
        <f t="shared" si="22"/>
        <v>4</v>
      </c>
      <c r="H1414" s="921" t="s">
        <v>8763</v>
      </c>
    </row>
    <row r="1415" spans="1:8" ht="36">
      <c r="A1415" s="108" t="s">
        <v>1203</v>
      </c>
      <c r="B1415" s="886" t="s">
        <v>3123</v>
      </c>
      <c r="C1415" s="954">
        <v>40999</v>
      </c>
      <c r="D1415" s="954">
        <v>41363</v>
      </c>
      <c r="E1415" s="284" t="s">
        <v>11037</v>
      </c>
      <c r="F1415" s="954">
        <v>41334</v>
      </c>
      <c r="G1415" s="108">
        <f t="shared" si="22"/>
        <v>3</v>
      </c>
      <c r="H1415" s="921" t="s">
        <v>8766</v>
      </c>
    </row>
    <row r="1416" spans="1:8">
      <c r="A1416" s="108" t="s">
        <v>1203</v>
      </c>
      <c r="B1416" s="924" t="s">
        <v>3125</v>
      </c>
      <c r="C1416" s="279" t="s">
        <v>3126</v>
      </c>
      <c r="D1416" s="284" t="s">
        <v>3127</v>
      </c>
      <c r="E1416" s="279" t="s">
        <v>3128</v>
      </c>
      <c r="F1416" s="279" t="s">
        <v>3129</v>
      </c>
      <c r="G1416" s="108">
        <f t="shared" si="22"/>
        <v>2</v>
      </c>
      <c r="H1416" s="921" t="s">
        <v>8764</v>
      </c>
    </row>
    <row r="1417" spans="1:8" ht="24">
      <c r="A1417" s="108" t="s">
        <v>1203</v>
      </c>
      <c r="B1417" s="924" t="s">
        <v>3130</v>
      </c>
      <c r="C1417" s="279" t="s">
        <v>3131</v>
      </c>
      <c r="D1417" s="279" t="s">
        <v>3132</v>
      </c>
      <c r="E1417" s="284" t="s">
        <v>3133</v>
      </c>
      <c r="F1417" s="279" t="s">
        <v>3134</v>
      </c>
      <c r="G1417" s="108">
        <f t="shared" si="22"/>
        <v>3</v>
      </c>
      <c r="H1417" s="921" t="s">
        <v>8766</v>
      </c>
    </row>
    <row r="1418" spans="1:8">
      <c r="A1418" s="108" t="s">
        <v>1203</v>
      </c>
      <c r="B1418" s="924" t="s">
        <v>3135</v>
      </c>
      <c r="C1418" s="279" t="s">
        <v>3136</v>
      </c>
      <c r="D1418" s="284" t="s">
        <v>3137</v>
      </c>
      <c r="E1418" s="279" t="s">
        <v>3138</v>
      </c>
      <c r="F1418" s="279" t="s">
        <v>3139</v>
      </c>
      <c r="G1418" s="108">
        <f t="shared" si="22"/>
        <v>4</v>
      </c>
      <c r="H1418" s="921" t="s">
        <v>8763</v>
      </c>
    </row>
    <row r="1419" spans="1:8" ht="24">
      <c r="A1419" s="108" t="s">
        <v>1203</v>
      </c>
      <c r="B1419" s="924" t="s">
        <v>3140</v>
      </c>
      <c r="C1419" s="279" t="s">
        <v>3141</v>
      </c>
      <c r="D1419" s="279" t="s">
        <v>3142</v>
      </c>
      <c r="E1419" s="279" t="s">
        <v>3143</v>
      </c>
      <c r="F1419" s="284" t="s">
        <v>11038</v>
      </c>
      <c r="G1419" s="108">
        <f t="shared" si="22"/>
        <v>4</v>
      </c>
      <c r="H1419" s="921" t="s">
        <v>8763</v>
      </c>
    </row>
    <row r="1420" spans="1:8" ht="36">
      <c r="A1420" s="108" t="s">
        <v>1203</v>
      </c>
      <c r="B1420" s="166" t="s">
        <v>3145</v>
      </c>
      <c r="C1420" s="279" t="s">
        <v>1422</v>
      </c>
      <c r="D1420" s="284" t="s">
        <v>3146</v>
      </c>
      <c r="E1420" s="279" t="s">
        <v>3147</v>
      </c>
      <c r="F1420" s="279" t="s">
        <v>3148</v>
      </c>
      <c r="G1420" s="108">
        <f t="shared" si="22"/>
        <v>2</v>
      </c>
      <c r="H1420" s="921" t="s">
        <v>8764</v>
      </c>
    </row>
    <row r="1421" spans="1:8">
      <c r="A1421" s="108" t="s">
        <v>1203</v>
      </c>
      <c r="B1421" s="924" t="s">
        <v>3149</v>
      </c>
      <c r="C1421" s="284" t="s">
        <v>3150</v>
      </c>
      <c r="D1421" s="279" t="s">
        <v>3151</v>
      </c>
      <c r="E1421" s="279" t="s">
        <v>3152</v>
      </c>
      <c r="F1421" s="279" t="s">
        <v>3153</v>
      </c>
      <c r="G1421" s="108">
        <f t="shared" si="22"/>
        <v>1</v>
      </c>
      <c r="H1421" s="921" t="s">
        <v>8761</v>
      </c>
    </row>
    <row r="1422" spans="1:8" ht="36">
      <c r="A1422" s="108" t="s">
        <v>1203</v>
      </c>
      <c r="B1422" s="924" t="s">
        <v>3154</v>
      </c>
      <c r="C1422" s="279" t="s">
        <v>3155</v>
      </c>
      <c r="D1422" s="279" t="s">
        <v>3156</v>
      </c>
      <c r="E1422" s="279" t="s">
        <v>3157</v>
      </c>
      <c r="F1422" s="284" t="s">
        <v>3158</v>
      </c>
      <c r="G1422" s="108">
        <f t="shared" si="22"/>
        <v>4</v>
      </c>
      <c r="H1422" s="921" t="s">
        <v>8763</v>
      </c>
    </row>
    <row r="1423" spans="1:8">
      <c r="A1423" s="108" t="s">
        <v>1203</v>
      </c>
      <c r="B1423" s="924" t="s">
        <v>3159</v>
      </c>
      <c r="C1423" s="279" t="s">
        <v>3160</v>
      </c>
      <c r="D1423" s="279" t="s">
        <v>3161</v>
      </c>
      <c r="E1423" s="284" t="s">
        <v>3162</v>
      </c>
      <c r="F1423" s="279" t="s">
        <v>3163</v>
      </c>
      <c r="G1423" s="108">
        <f t="shared" si="22"/>
        <v>3</v>
      </c>
      <c r="H1423" s="921" t="s">
        <v>8766</v>
      </c>
    </row>
    <row r="1424" spans="1:8">
      <c r="A1424" s="108" t="s">
        <v>1203</v>
      </c>
      <c r="B1424" s="924" t="s">
        <v>3164</v>
      </c>
      <c r="C1424" s="279" t="s">
        <v>3165</v>
      </c>
      <c r="D1424" s="279" t="s">
        <v>3166</v>
      </c>
      <c r="E1424" s="279" t="s">
        <v>3167</v>
      </c>
      <c r="F1424" s="284" t="s">
        <v>3168</v>
      </c>
      <c r="G1424" s="108">
        <f t="shared" si="22"/>
        <v>4</v>
      </c>
      <c r="H1424" s="921" t="s">
        <v>8763</v>
      </c>
    </row>
    <row r="1425" spans="1:8" ht="36">
      <c r="A1425" s="108" t="s">
        <v>1203</v>
      </c>
      <c r="B1425" s="924" t="s">
        <v>3169</v>
      </c>
      <c r="C1425" s="279">
        <v>1500</v>
      </c>
      <c r="D1425" s="279">
        <v>1500000</v>
      </c>
      <c r="E1425" s="279">
        <v>15</v>
      </c>
      <c r="F1425" s="284" t="s">
        <v>1422</v>
      </c>
      <c r="G1425" s="108">
        <f t="shared" si="22"/>
        <v>4</v>
      </c>
      <c r="H1425" s="921" t="s">
        <v>8763</v>
      </c>
    </row>
    <row r="1426" spans="1:8" ht="24">
      <c r="A1426" s="108" t="s">
        <v>1203</v>
      </c>
      <c r="B1426" s="924" t="s">
        <v>3170</v>
      </c>
      <c r="C1426" s="279" t="s">
        <v>3171</v>
      </c>
      <c r="D1426" s="284" t="s">
        <v>3172</v>
      </c>
      <c r="E1426" s="279" t="s">
        <v>3173</v>
      </c>
      <c r="F1426" s="279" t="s">
        <v>3174</v>
      </c>
      <c r="G1426" s="108">
        <f t="shared" si="22"/>
        <v>2</v>
      </c>
      <c r="H1426" s="921" t="s">
        <v>8764</v>
      </c>
    </row>
    <row r="1427" spans="1:8" ht="36">
      <c r="A1427" s="108" t="s">
        <v>1203</v>
      </c>
      <c r="B1427" s="924" t="s">
        <v>3175</v>
      </c>
      <c r="C1427" s="279" t="s">
        <v>3176</v>
      </c>
      <c r="D1427" s="279" t="s">
        <v>3177</v>
      </c>
      <c r="E1427" s="279" t="s">
        <v>3178</v>
      </c>
      <c r="F1427" s="284" t="s">
        <v>3179</v>
      </c>
      <c r="G1427" s="108">
        <f t="shared" si="22"/>
        <v>4</v>
      </c>
      <c r="H1427" s="921" t="s">
        <v>8763</v>
      </c>
    </row>
    <row r="1428" spans="1:8">
      <c r="A1428" s="108" t="s">
        <v>1203</v>
      </c>
      <c r="B1428" s="924" t="s">
        <v>3180</v>
      </c>
      <c r="C1428" s="279" t="s">
        <v>173</v>
      </c>
      <c r="D1428" s="284" t="s">
        <v>3181</v>
      </c>
      <c r="E1428" s="279" t="s">
        <v>3182</v>
      </c>
      <c r="F1428" s="279" t="s">
        <v>76</v>
      </c>
      <c r="G1428" s="108">
        <f t="shared" si="22"/>
        <v>2</v>
      </c>
      <c r="H1428" s="921" t="s">
        <v>8764</v>
      </c>
    </row>
    <row r="1429" spans="1:8" ht="36">
      <c r="A1429" s="108" t="s">
        <v>1203</v>
      </c>
      <c r="B1429" s="924" t="s">
        <v>11039</v>
      </c>
      <c r="C1429" s="279" t="s">
        <v>3184</v>
      </c>
      <c r="D1429" s="279" t="s">
        <v>3185</v>
      </c>
      <c r="E1429" s="279" t="s">
        <v>3186</v>
      </c>
      <c r="F1429" s="279" t="s">
        <v>3187</v>
      </c>
      <c r="G1429" s="108">
        <f t="shared" si="22"/>
        <v>3</v>
      </c>
      <c r="H1429" s="921" t="s">
        <v>8766</v>
      </c>
    </row>
    <row r="1430" spans="1:8" ht="24">
      <c r="A1430" s="108" t="s">
        <v>1203</v>
      </c>
      <c r="B1430" s="924" t="s">
        <v>11040</v>
      </c>
      <c r="C1430" s="279" t="s">
        <v>11041</v>
      </c>
      <c r="D1430" s="284" t="s">
        <v>11042</v>
      </c>
      <c r="E1430" s="279" t="s">
        <v>11043</v>
      </c>
      <c r="F1430" s="279" t="s">
        <v>468</v>
      </c>
      <c r="G1430" s="108">
        <f t="shared" si="22"/>
        <v>2</v>
      </c>
      <c r="H1430" s="921" t="s">
        <v>8764</v>
      </c>
    </row>
    <row r="1431" spans="1:8" ht="24">
      <c r="A1431" s="108" t="s">
        <v>1203</v>
      </c>
      <c r="B1431" s="924" t="s">
        <v>3188</v>
      </c>
      <c r="C1431" s="284" t="s">
        <v>3189</v>
      </c>
      <c r="D1431" s="279" t="s">
        <v>3190</v>
      </c>
      <c r="E1431" s="279" t="s">
        <v>3191</v>
      </c>
      <c r="F1431" s="279" t="s">
        <v>3192</v>
      </c>
      <c r="G1431" s="108">
        <f t="shared" si="22"/>
        <v>1</v>
      </c>
      <c r="H1431" s="921" t="s">
        <v>8761</v>
      </c>
    </row>
    <row r="1432" spans="1:8" ht="24">
      <c r="A1432" s="108" t="s">
        <v>1203</v>
      </c>
      <c r="B1432" s="924" t="s">
        <v>3193</v>
      </c>
      <c r="C1432" s="279" t="s">
        <v>3194</v>
      </c>
      <c r="D1432" s="279" t="s">
        <v>3195</v>
      </c>
      <c r="E1432" s="284" t="s">
        <v>3196</v>
      </c>
      <c r="F1432" s="279" t="s">
        <v>3197</v>
      </c>
      <c r="G1432" s="108">
        <f t="shared" si="22"/>
        <v>3</v>
      </c>
      <c r="H1432" s="921" t="s">
        <v>8766</v>
      </c>
    </row>
    <row r="1433" spans="1:8">
      <c r="A1433" s="108" t="s">
        <v>1203</v>
      </c>
      <c r="B1433" s="924" t="s">
        <v>3198</v>
      </c>
      <c r="C1433" s="284" t="s">
        <v>3136</v>
      </c>
      <c r="D1433" s="279" t="s">
        <v>3137</v>
      </c>
      <c r="E1433" s="279" t="s">
        <v>3138</v>
      </c>
      <c r="F1433" s="279" t="s">
        <v>3139</v>
      </c>
      <c r="G1433" s="108">
        <f t="shared" si="22"/>
        <v>1</v>
      </c>
      <c r="H1433" s="921" t="s">
        <v>8761</v>
      </c>
    </row>
    <row r="1434" spans="1:8">
      <c r="A1434" s="108" t="s">
        <v>1203</v>
      </c>
      <c r="B1434" s="929" t="s">
        <v>3199</v>
      </c>
      <c r="C1434" s="892" t="s">
        <v>1976</v>
      </c>
      <c r="D1434" s="929" t="s">
        <v>3200</v>
      </c>
      <c r="E1434" s="929" t="s">
        <v>3201</v>
      </c>
      <c r="F1434" s="929" t="s">
        <v>3202</v>
      </c>
      <c r="G1434" s="108">
        <f t="shared" si="22"/>
        <v>1</v>
      </c>
      <c r="H1434" s="955" t="s">
        <v>8761</v>
      </c>
    </row>
    <row r="1435" spans="1:8">
      <c r="A1435" s="108" t="s">
        <v>1203</v>
      </c>
      <c r="B1435" s="929" t="s">
        <v>3203</v>
      </c>
      <c r="C1435" s="929" t="s">
        <v>166</v>
      </c>
      <c r="D1435" s="929" t="s">
        <v>3204</v>
      </c>
      <c r="E1435" s="892" t="s">
        <v>3205</v>
      </c>
      <c r="F1435" s="929" t="s">
        <v>3206</v>
      </c>
      <c r="G1435" s="108">
        <f t="shared" si="22"/>
        <v>3</v>
      </c>
      <c r="H1435" s="955" t="s">
        <v>8766</v>
      </c>
    </row>
    <row r="1436" spans="1:8" ht="36.75">
      <c r="A1436" s="108" t="s">
        <v>1203</v>
      </c>
      <c r="B1436" s="929" t="s">
        <v>3207</v>
      </c>
      <c r="C1436" s="929" t="s">
        <v>3208</v>
      </c>
      <c r="D1436" s="929" t="s">
        <v>3209</v>
      </c>
      <c r="E1436" s="929" t="s">
        <v>3210</v>
      </c>
      <c r="F1436" s="892" t="s">
        <v>3211</v>
      </c>
      <c r="G1436" s="108">
        <f t="shared" si="22"/>
        <v>4</v>
      </c>
      <c r="H1436" s="955" t="s">
        <v>8763</v>
      </c>
    </row>
    <row r="1437" spans="1:8" ht="24.75">
      <c r="A1437" s="108" t="s">
        <v>1203</v>
      </c>
      <c r="B1437" s="929" t="s">
        <v>7554</v>
      </c>
      <c r="C1437" s="929" t="s">
        <v>3221</v>
      </c>
      <c r="D1437" s="892" t="s">
        <v>3220</v>
      </c>
      <c r="E1437" s="929"/>
      <c r="F1437" s="929"/>
      <c r="G1437" s="108">
        <f t="shared" si="22"/>
        <v>2</v>
      </c>
      <c r="H1437" s="955" t="s">
        <v>8764</v>
      </c>
    </row>
    <row r="1438" spans="1:8">
      <c r="A1438" s="108" t="s">
        <v>1203</v>
      </c>
      <c r="B1438" s="929" t="s">
        <v>3212</v>
      </c>
      <c r="C1438" s="929" t="s">
        <v>3213</v>
      </c>
      <c r="D1438" s="929" t="s">
        <v>3214</v>
      </c>
      <c r="E1438" s="929" t="s">
        <v>3215</v>
      </c>
      <c r="F1438" s="929" t="s">
        <v>76</v>
      </c>
      <c r="G1438" s="108">
        <f t="shared" si="22"/>
        <v>2</v>
      </c>
      <c r="H1438" s="955" t="s">
        <v>8764</v>
      </c>
    </row>
    <row r="1439" spans="1:8">
      <c r="A1439" s="108" t="s">
        <v>1203</v>
      </c>
      <c r="B1439" s="929" t="s">
        <v>3216</v>
      </c>
      <c r="C1439" s="892" t="s">
        <v>76</v>
      </c>
      <c r="D1439" s="929" t="s">
        <v>179</v>
      </c>
      <c r="E1439" s="929" t="s">
        <v>557</v>
      </c>
      <c r="F1439" s="929" t="s">
        <v>174</v>
      </c>
      <c r="G1439" s="108">
        <f t="shared" si="22"/>
        <v>1</v>
      </c>
      <c r="H1439" s="955" t="s">
        <v>8761</v>
      </c>
    </row>
    <row r="1440" spans="1:8">
      <c r="A1440" s="108" t="s">
        <v>1203</v>
      </c>
      <c r="B1440" s="929" t="s">
        <v>3217</v>
      </c>
      <c r="C1440" s="929" t="s">
        <v>3251</v>
      </c>
      <c r="D1440" s="929" t="s">
        <v>995</v>
      </c>
      <c r="E1440" s="929" t="s">
        <v>3240</v>
      </c>
      <c r="F1440" s="929" t="s">
        <v>3218</v>
      </c>
      <c r="G1440" s="108">
        <f t="shared" si="22"/>
        <v>4</v>
      </c>
      <c r="H1440" s="955" t="s">
        <v>8763</v>
      </c>
    </row>
    <row r="1441" spans="1:8" ht="36.75">
      <c r="A1441" s="108" t="s">
        <v>1203</v>
      </c>
      <c r="B1441" s="929" t="s">
        <v>7564</v>
      </c>
      <c r="C1441" s="892" t="s">
        <v>3220</v>
      </c>
      <c r="D1441" s="929" t="s">
        <v>3221</v>
      </c>
      <c r="E1441" s="929"/>
      <c r="F1441" s="929"/>
      <c r="G1441" s="108">
        <f t="shared" si="22"/>
        <v>1</v>
      </c>
      <c r="H1441" s="955" t="s">
        <v>8761</v>
      </c>
    </row>
    <row r="1442" spans="1:8">
      <c r="A1442" s="108" t="s">
        <v>1203</v>
      </c>
      <c r="B1442" s="929" t="s">
        <v>3222</v>
      </c>
      <c r="C1442" s="892" t="s">
        <v>1122</v>
      </c>
      <c r="D1442" s="929" t="s">
        <v>76</v>
      </c>
      <c r="E1442" s="929" t="s">
        <v>3223</v>
      </c>
      <c r="F1442" s="929" t="s">
        <v>174</v>
      </c>
      <c r="G1442" s="108">
        <f t="shared" si="22"/>
        <v>1</v>
      </c>
      <c r="H1442" s="955" t="s">
        <v>8761</v>
      </c>
    </row>
    <row r="1443" spans="1:8" ht="24.75">
      <c r="A1443" s="108" t="s">
        <v>1203</v>
      </c>
      <c r="B1443" s="929" t="s">
        <v>3224</v>
      </c>
      <c r="C1443" s="929" t="s">
        <v>3225</v>
      </c>
      <c r="D1443" s="892" t="s">
        <v>3226</v>
      </c>
      <c r="E1443" s="929" t="s">
        <v>3227</v>
      </c>
      <c r="F1443" s="929" t="s">
        <v>3228</v>
      </c>
      <c r="G1443" s="108">
        <f t="shared" si="22"/>
        <v>2</v>
      </c>
      <c r="H1443" s="955" t="s">
        <v>8764</v>
      </c>
    </row>
    <row r="1444" spans="1:8">
      <c r="A1444" s="108" t="s">
        <v>1203</v>
      </c>
      <c r="B1444" s="929" t="s">
        <v>3229</v>
      </c>
      <c r="C1444" s="929" t="s">
        <v>174</v>
      </c>
      <c r="D1444" s="892" t="s">
        <v>3230</v>
      </c>
      <c r="E1444" s="929" t="s">
        <v>76</v>
      </c>
      <c r="F1444" s="929" t="s">
        <v>3231</v>
      </c>
      <c r="G1444" s="108">
        <f t="shared" si="22"/>
        <v>2</v>
      </c>
      <c r="H1444" s="955" t="s">
        <v>8764</v>
      </c>
    </row>
    <row r="1445" spans="1:8" ht="24.75">
      <c r="A1445" s="108" t="s">
        <v>1203</v>
      </c>
      <c r="B1445" s="929" t="s">
        <v>3232</v>
      </c>
      <c r="C1445" s="929" t="s">
        <v>557</v>
      </c>
      <c r="D1445" s="929" t="s">
        <v>173</v>
      </c>
      <c r="E1445" s="892" t="s">
        <v>76</v>
      </c>
      <c r="F1445" s="929" t="s">
        <v>3231</v>
      </c>
      <c r="G1445" s="108">
        <f t="shared" si="22"/>
        <v>3</v>
      </c>
      <c r="H1445" s="955" t="s">
        <v>8766</v>
      </c>
    </row>
    <row r="1446" spans="1:8" ht="48.75">
      <c r="A1446" s="108" t="s">
        <v>1203</v>
      </c>
      <c r="B1446" s="929" t="s">
        <v>3233</v>
      </c>
      <c r="C1446" s="892" t="s">
        <v>3234</v>
      </c>
      <c r="D1446" s="929" t="s">
        <v>3235</v>
      </c>
      <c r="E1446" s="929" t="s">
        <v>3236</v>
      </c>
      <c r="F1446" s="929" t="s">
        <v>3237</v>
      </c>
      <c r="G1446" s="108">
        <f t="shared" si="22"/>
        <v>4</v>
      </c>
      <c r="H1446" s="955" t="s">
        <v>8763</v>
      </c>
    </row>
    <row r="1447" spans="1:8" ht="24.75">
      <c r="A1447" s="108" t="s">
        <v>1203</v>
      </c>
      <c r="B1447" s="929" t="s">
        <v>3238</v>
      </c>
      <c r="C1447" s="929" t="s">
        <v>3239</v>
      </c>
      <c r="D1447" s="929" t="s">
        <v>3240</v>
      </c>
      <c r="E1447" s="892" t="s">
        <v>3241</v>
      </c>
      <c r="F1447" s="929" t="s">
        <v>3242</v>
      </c>
      <c r="G1447" s="108">
        <f t="shared" si="22"/>
        <v>3</v>
      </c>
      <c r="H1447" s="955" t="s">
        <v>8766</v>
      </c>
    </row>
    <row r="1448" spans="1:8">
      <c r="A1448" s="108" t="s">
        <v>1203</v>
      </c>
      <c r="B1448" s="929" t="s">
        <v>3243</v>
      </c>
      <c r="C1448" s="892" t="s">
        <v>557</v>
      </c>
      <c r="D1448" s="929" t="s">
        <v>177</v>
      </c>
      <c r="E1448" s="929" t="s">
        <v>173</v>
      </c>
      <c r="F1448" s="929" t="s">
        <v>3244</v>
      </c>
      <c r="G1448" s="108">
        <f t="shared" si="22"/>
        <v>1</v>
      </c>
      <c r="H1448" s="955" t="s">
        <v>8761</v>
      </c>
    </row>
    <row r="1449" spans="1:8">
      <c r="A1449" s="108" t="s">
        <v>1203</v>
      </c>
      <c r="B1449" s="929" t="s">
        <v>3245</v>
      </c>
      <c r="C1449" s="892" t="s">
        <v>3246</v>
      </c>
      <c r="D1449" s="929" t="s">
        <v>3247</v>
      </c>
      <c r="E1449" s="929" t="s">
        <v>3248</v>
      </c>
      <c r="F1449" s="929" t="s">
        <v>3249</v>
      </c>
      <c r="G1449" s="108">
        <f t="shared" si="22"/>
        <v>1</v>
      </c>
      <c r="H1449" s="955" t="s">
        <v>8761</v>
      </c>
    </row>
    <row r="1450" spans="1:8" ht="24.75">
      <c r="A1450" s="108" t="s">
        <v>1203</v>
      </c>
      <c r="B1450" s="929" t="s">
        <v>3250</v>
      </c>
      <c r="C1450" s="929" t="s">
        <v>3251</v>
      </c>
      <c r="D1450" s="892" t="s">
        <v>3240</v>
      </c>
      <c r="E1450" s="929" t="s">
        <v>3252</v>
      </c>
      <c r="F1450" s="929" t="s">
        <v>3253</v>
      </c>
      <c r="G1450" s="108">
        <f t="shared" si="22"/>
        <v>2</v>
      </c>
      <c r="H1450" s="955" t="s">
        <v>8764</v>
      </c>
    </row>
    <row r="1451" spans="1:8" ht="24.75">
      <c r="A1451" s="108" t="s">
        <v>1203</v>
      </c>
      <c r="B1451" s="929" t="s">
        <v>3254</v>
      </c>
      <c r="C1451" s="892" t="s">
        <v>3251</v>
      </c>
      <c r="D1451" s="929" t="s">
        <v>3240</v>
      </c>
      <c r="E1451" s="929" t="s">
        <v>3252</v>
      </c>
      <c r="F1451" s="929" t="s">
        <v>3253</v>
      </c>
      <c r="G1451" s="108">
        <f t="shared" si="22"/>
        <v>1</v>
      </c>
      <c r="H1451" s="955" t="s">
        <v>8761</v>
      </c>
    </row>
    <row r="1452" spans="1:8" ht="36.75">
      <c r="A1452" s="108" t="s">
        <v>1203</v>
      </c>
      <c r="B1452" s="929" t="s">
        <v>3255</v>
      </c>
      <c r="C1452" s="892" t="s">
        <v>3256</v>
      </c>
      <c r="D1452" s="929" t="s">
        <v>3257</v>
      </c>
      <c r="E1452" s="929" t="s">
        <v>3258</v>
      </c>
      <c r="F1452" s="929" t="s">
        <v>61</v>
      </c>
      <c r="G1452" s="108">
        <f t="shared" si="22"/>
        <v>1</v>
      </c>
      <c r="H1452" s="955" t="s">
        <v>8761</v>
      </c>
    </row>
    <row r="1453" spans="1:8" ht="24.75">
      <c r="A1453" s="108" t="s">
        <v>1203</v>
      </c>
      <c r="B1453" s="929" t="s">
        <v>3260</v>
      </c>
      <c r="C1453" s="929" t="s">
        <v>3261</v>
      </c>
      <c r="D1453" s="929" t="s">
        <v>3262</v>
      </c>
      <c r="E1453" s="929" t="s">
        <v>3263</v>
      </c>
      <c r="F1453" s="892" t="s">
        <v>4477</v>
      </c>
      <c r="G1453" s="108">
        <f t="shared" si="22"/>
        <v>4</v>
      </c>
      <c r="H1453" s="955" t="s">
        <v>8763</v>
      </c>
    </row>
    <row r="1454" spans="1:8" ht="24.75">
      <c r="A1454" s="108" t="s">
        <v>1203</v>
      </c>
      <c r="B1454" s="929" t="s">
        <v>3265</v>
      </c>
      <c r="C1454" s="892" t="s">
        <v>3266</v>
      </c>
      <c r="D1454" s="929" t="s">
        <v>3262</v>
      </c>
      <c r="E1454" s="929" t="s">
        <v>3263</v>
      </c>
      <c r="F1454" s="929" t="s">
        <v>4477</v>
      </c>
      <c r="G1454" s="108">
        <f t="shared" si="22"/>
        <v>1</v>
      </c>
      <c r="H1454" s="955" t="s">
        <v>8761</v>
      </c>
    </row>
    <row r="1455" spans="1:8">
      <c r="A1455" s="108" t="s">
        <v>1203</v>
      </c>
      <c r="B1455" s="929" t="s">
        <v>3268</v>
      </c>
      <c r="C1455" s="929" t="s">
        <v>3269</v>
      </c>
      <c r="D1455" s="929" t="s">
        <v>3270</v>
      </c>
      <c r="E1455" s="892" t="s">
        <v>3271</v>
      </c>
      <c r="F1455" s="929" t="s">
        <v>3272</v>
      </c>
      <c r="G1455" s="108">
        <f t="shared" si="22"/>
        <v>3</v>
      </c>
      <c r="H1455" s="955" t="s">
        <v>8766</v>
      </c>
    </row>
    <row r="1456" spans="1:8" ht="24.75">
      <c r="A1456" s="108" t="s">
        <v>1203</v>
      </c>
      <c r="B1456" s="929" t="s">
        <v>3273</v>
      </c>
      <c r="C1456" s="929" t="s">
        <v>3274</v>
      </c>
      <c r="D1456" s="892" t="s">
        <v>3275</v>
      </c>
      <c r="E1456" s="929" t="s">
        <v>3276</v>
      </c>
      <c r="F1456" s="929" t="s">
        <v>3277</v>
      </c>
      <c r="G1456" s="108">
        <f t="shared" si="22"/>
        <v>2</v>
      </c>
      <c r="H1456" s="955" t="s">
        <v>8764</v>
      </c>
    </row>
    <row r="1457" spans="1:8">
      <c r="A1457" s="108" t="s">
        <v>1203</v>
      </c>
      <c r="B1457" s="929" t="s">
        <v>3278</v>
      </c>
      <c r="C1457" s="892" t="s">
        <v>76</v>
      </c>
      <c r="D1457" s="929" t="s">
        <v>174</v>
      </c>
      <c r="E1457" s="929" t="s">
        <v>3181</v>
      </c>
      <c r="F1457" s="929" t="s">
        <v>557</v>
      </c>
      <c r="G1457" s="108">
        <f t="shared" si="22"/>
        <v>1</v>
      </c>
      <c r="H1457" s="955" t="s">
        <v>8761</v>
      </c>
    </row>
    <row r="1458" spans="1:8">
      <c r="A1458" s="108" t="s">
        <v>1203</v>
      </c>
      <c r="B1458" s="929" t="s">
        <v>7565</v>
      </c>
      <c r="C1458" s="929" t="s">
        <v>7566</v>
      </c>
      <c r="D1458" s="929" t="s">
        <v>3283</v>
      </c>
      <c r="E1458" s="929" t="s">
        <v>3284</v>
      </c>
      <c r="F1458" s="929" t="s">
        <v>3285</v>
      </c>
      <c r="G1458" s="108">
        <f t="shared" si="22"/>
        <v>1</v>
      </c>
      <c r="H1458" s="955" t="s">
        <v>8761</v>
      </c>
    </row>
    <row r="1459" spans="1:8">
      <c r="A1459" s="108" t="s">
        <v>1203</v>
      </c>
      <c r="B1459" s="929" t="s">
        <v>3281</v>
      </c>
      <c r="C1459" s="929" t="s">
        <v>3282</v>
      </c>
      <c r="D1459" s="929" t="s">
        <v>3283</v>
      </c>
      <c r="E1459" s="929" t="s">
        <v>3284</v>
      </c>
      <c r="F1459" s="929" t="s">
        <v>3285</v>
      </c>
      <c r="G1459" s="108">
        <f t="shared" si="22"/>
        <v>3</v>
      </c>
      <c r="H1459" s="955" t="s">
        <v>8766</v>
      </c>
    </row>
    <row r="1460" spans="1:8">
      <c r="A1460" s="108" t="s">
        <v>1203</v>
      </c>
      <c r="B1460" s="929" t="s">
        <v>11044</v>
      </c>
      <c r="C1460" s="929" t="s">
        <v>11045</v>
      </c>
      <c r="D1460" s="929" t="s">
        <v>3283</v>
      </c>
      <c r="E1460" s="929" t="s">
        <v>3288</v>
      </c>
      <c r="F1460" s="929" t="s">
        <v>11046</v>
      </c>
      <c r="G1460" s="108">
        <f t="shared" si="22"/>
        <v>4</v>
      </c>
      <c r="H1460" s="955" t="s">
        <v>8763</v>
      </c>
    </row>
    <row r="1461" spans="1:8">
      <c r="A1461" s="108" t="s">
        <v>1203</v>
      </c>
      <c r="B1461" s="929" t="s">
        <v>3286</v>
      </c>
      <c r="C1461" s="929" t="s">
        <v>3287</v>
      </c>
      <c r="D1461" s="929" t="s">
        <v>3282</v>
      </c>
      <c r="E1461" s="929" t="s">
        <v>3288</v>
      </c>
      <c r="F1461" s="929" t="s">
        <v>3289</v>
      </c>
      <c r="G1461" s="108">
        <f t="shared" si="22"/>
        <v>2</v>
      </c>
      <c r="H1461" s="955" t="s">
        <v>8764</v>
      </c>
    </row>
    <row r="1462" spans="1:8" ht="60.75">
      <c r="A1462" s="108" t="s">
        <v>1203</v>
      </c>
      <c r="B1462" s="929" t="s">
        <v>3290</v>
      </c>
      <c r="C1462" s="892" t="s">
        <v>3291</v>
      </c>
      <c r="D1462" s="929" t="s">
        <v>3292</v>
      </c>
      <c r="E1462" s="929" t="s">
        <v>3293</v>
      </c>
      <c r="F1462" s="929" t="s">
        <v>3294</v>
      </c>
      <c r="G1462" s="108">
        <f t="shared" si="22"/>
        <v>1</v>
      </c>
      <c r="H1462" s="955" t="s">
        <v>8761</v>
      </c>
    </row>
    <row r="1463" spans="1:8" ht="30">
      <c r="A1463" s="108" t="s">
        <v>11047</v>
      </c>
      <c r="B1463" s="497" t="s">
        <v>11048</v>
      </c>
      <c r="C1463" s="498" t="s">
        <v>11049</v>
      </c>
      <c r="D1463" s="498" t="s">
        <v>11050</v>
      </c>
      <c r="E1463" s="498" t="s">
        <v>11051</v>
      </c>
      <c r="F1463" s="498" t="s">
        <v>11052</v>
      </c>
      <c r="G1463" s="108">
        <f t="shared" si="22"/>
        <v>3</v>
      </c>
      <c r="H1463" s="862" t="s">
        <v>8766</v>
      </c>
    </row>
    <row r="1464" spans="1:8" ht="30">
      <c r="A1464" s="108" t="s">
        <v>11047</v>
      </c>
      <c r="B1464" s="497" t="s">
        <v>11053</v>
      </c>
      <c r="C1464" s="498" t="s">
        <v>11054</v>
      </c>
      <c r="D1464" s="498" t="s">
        <v>11055</v>
      </c>
      <c r="E1464" s="498" t="s">
        <v>11056</v>
      </c>
      <c r="F1464" s="498" t="s">
        <v>11057</v>
      </c>
      <c r="G1464" s="108">
        <f t="shared" si="22"/>
        <v>2</v>
      </c>
      <c r="H1464" s="862" t="s">
        <v>8764</v>
      </c>
    </row>
    <row r="1465" spans="1:8" ht="60">
      <c r="A1465" s="108" t="s">
        <v>11047</v>
      </c>
      <c r="B1465" s="497" t="s">
        <v>11058</v>
      </c>
      <c r="C1465" s="498" t="s">
        <v>11059</v>
      </c>
      <c r="D1465" s="498" t="s">
        <v>11060</v>
      </c>
      <c r="E1465" s="498" t="s">
        <v>11061</v>
      </c>
      <c r="F1465" s="498" t="s">
        <v>11062</v>
      </c>
      <c r="G1465" s="108">
        <f t="shared" si="22"/>
        <v>3</v>
      </c>
      <c r="H1465" s="862" t="s">
        <v>8766</v>
      </c>
    </row>
    <row r="1466" spans="1:8" ht="75">
      <c r="A1466" s="108" t="s">
        <v>11047</v>
      </c>
      <c r="B1466" s="497" t="s">
        <v>11063</v>
      </c>
      <c r="C1466" s="498" t="s">
        <v>11064</v>
      </c>
      <c r="D1466" s="498" t="s">
        <v>25</v>
      </c>
      <c r="E1466" s="498" t="s">
        <v>11065</v>
      </c>
      <c r="F1466" s="498" t="s">
        <v>11066</v>
      </c>
      <c r="G1466" s="108">
        <f t="shared" si="22"/>
        <v>3</v>
      </c>
      <c r="H1466" s="862" t="s">
        <v>8766</v>
      </c>
    </row>
    <row r="1467" spans="1:8" ht="45">
      <c r="A1467" s="108" t="s">
        <v>11047</v>
      </c>
      <c r="B1467" s="497" t="s">
        <v>11067</v>
      </c>
      <c r="C1467" s="956" t="s">
        <v>11068</v>
      </c>
      <c r="D1467" s="498" t="s">
        <v>11069</v>
      </c>
      <c r="E1467" s="498" t="s">
        <v>11070</v>
      </c>
      <c r="F1467" s="498" t="s">
        <v>11071</v>
      </c>
      <c r="G1467" s="108">
        <f t="shared" si="22"/>
        <v>2</v>
      </c>
      <c r="H1467" s="862" t="s">
        <v>8764</v>
      </c>
    </row>
    <row r="1468" spans="1:8" ht="30">
      <c r="A1468" s="108" t="s">
        <v>11047</v>
      </c>
      <c r="B1468" s="497" t="s">
        <v>11072</v>
      </c>
      <c r="C1468" s="498" t="s">
        <v>11073</v>
      </c>
      <c r="D1468" s="498" t="s">
        <v>11074</v>
      </c>
      <c r="E1468" s="498" t="s">
        <v>11075</v>
      </c>
      <c r="F1468" s="498" t="s">
        <v>11076</v>
      </c>
      <c r="G1468" s="108">
        <f t="shared" si="22"/>
        <v>4</v>
      </c>
      <c r="H1468" s="862" t="s">
        <v>8763</v>
      </c>
    </row>
    <row r="1469" spans="1:8" ht="30">
      <c r="A1469" s="108" t="s">
        <v>11047</v>
      </c>
      <c r="B1469" s="497" t="s">
        <v>11077</v>
      </c>
      <c r="C1469" s="498" t="s">
        <v>11078</v>
      </c>
      <c r="D1469" s="498" t="s">
        <v>11079</v>
      </c>
      <c r="E1469" s="498" t="s">
        <v>11080</v>
      </c>
      <c r="F1469" s="498" t="s">
        <v>209</v>
      </c>
      <c r="G1469" s="108">
        <f t="shared" si="22"/>
        <v>1</v>
      </c>
      <c r="H1469" s="862" t="s">
        <v>8761</v>
      </c>
    </row>
    <row r="1470" spans="1:8" ht="30">
      <c r="A1470" s="108" t="s">
        <v>11047</v>
      </c>
      <c r="B1470" s="497" t="s">
        <v>11081</v>
      </c>
      <c r="C1470" s="498" t="s">
        <v>73</v>
      </c>
      <c r="D1470" s="498" t="s">
        <v>74</v>
      </c>
      <c r="E1470" s="498" t="s">
        <v>174</v>
      </c>
      <c r="F1470" s="498" t="s">
        <v>11082</v>
      </c>
      <c r="G1470" s="108">
        <f t="shared" si="22"/>
        <v>4</v>
      </c>
      <c r="H1470" s="862" t="s">
        <v>8763</v>
      </c>
    </row>
    <row r="1471" spans="1:8" ht="60">
      <c r="A1471" s="108" t="s">
        <v>11047</v>
      </c>
      <c r="B1471" s="497" t="s">
        <v>11083</v>
      </c>
      <c r="C1471" s="498" t="s">
        <v>11084</v>
      </c>
      <c r="D1471" s="498" t="s">
        <v>11085</v>
      </c>
      <c r="E1471" s="498" t="s">
        <v>11086</v>
      </c>
      <c r="F1471" s="498" t="s">
        <v>209</v>
      </c>
      <c r="G1471" s="108">
        <f t="shared" si="22"/>
        <v>3</v>
      </c>
      <c r="H1471" s="862" t="s">
        <v>8766</v>
      </c>
    </row>
    <row r="1472" spans="1:8" ht="75">
      <c r="A1472" s="108" t="s">
        <v>11047</v>
      </c>
      <c r="B1472" s="497" t="s">
        <v>11087</v>
      </c>
      <c r="C1472" s="498" t="s">
        <v>7403</v>
      </c>
      <c r="D1472" s="498" t="s">
        <v>11088</v>
      </c>
      <c r="E1472" s="498" t="s">
        <v>11089</v>
      </c>
      <c r="F1472" s="498" t="s">
        <v>6979</v>
      </c>
      <c r="G1472" s="108">
        <f t="shared" si="22"/>
        <v>2</v>
      </c>
      <c r="H1472" s="862" t="s">
        <v>8764</v>
      </c>
    </row>
    <row r="1473" spans="1:8" ht="45">
      <c r="A1473" s="108" t="s">
        <v>11047</v>
      </c>
      <c r="B1473" s="497" t="s">
        <v>11090</v>
      </c>
      <c r="C1473" s="498" t="s">
        <v>11091</v>
      </c>
      <c r="D1473" s="498" t="s">
        <v>11092</v>
      </c>
      <c r="E1473" s="498" t="s">
        <v>2427</v>
      </c>
      <c r="F1473" s="498" t="s">
        <v>209</v>
      </c>
      <c r="G1473" s="108">
        <f t="shared" si="22"/>
        <v>3</v>
      </c>
      <c r="H1473" s="862" t="s">
        <v>8766</v>
      </c>
    </row>
    <row r="1474" spans="1:8" ht="30">
      <c r="A1474" s="108" t="s">
        <v>11047</v>
      </c>
      <c r="B1474" s="497" t="s">
        <v>11093</v>
      </c>
      <c r="C1474" s="498" t="s">
        <v>11094</v>
      </c>
      <c r="D1474" s="498" t="s">
        <v>11095</v>
      </c>
      <c r="E1474" s="498" t="s">
        <v>11096</v>
      </c>
      <c r="F1474" s="498" t="s">
        <v>11097</v>
      </c>
      <c r="G1474" s="108">
        <f t="shared" si="22"/>
        <v>1</v>
      </c>
      <c r="H1474" s="862" t="s">
        <v>8761</v>
      </c>
    </row>
    <row r="1475" spans="1:8" ht="60">
      <c r="A1475" s="108" t="s">
        <v>11047</v>
      </c>
      <c r="B1475" s="497" t="s">
        <v>11098</v>
      </c>
      <c r="C1475" s="498" t="s">
        <v>11099</v>
      </c>
      <c r="D1475" s="498" t="s">
        <v>11100</v>
      </c>
      <c r="E1475" s="498" t="s">
        <v>11101</v>
      </c>
      <c r="F1475" s="498" t="s">
        <v>11102</v>
      </c>
      <c r="G1475" s="108">
        <f t="shared" ref="G1475:G1538" si="23">IF(H1475="A",1,IF(H1475="B",2,IF(H1475="C",3,IF(H1475="D",4,0))))</f>
        <v>4</v>
      </c>
      <c r="H1475" s="862" t="s">
        <v>8763</v>
      </c>
    </row>
    <row r="1476" spans="1:8" ht="30">
      <c r="A1476" s="108" t="s">
        <v>11047</v>
      </c>
      <c r="B1476" s="497" t="s">
        <v>11103</v>
      </c>
      <c r="C1476" s="498" t="s">
        <v>11104</v>
      </c>
      <c r="D1476" s="498" t="s">
        <v>11105</v>
      </c>
      <c r="E1476" s="498" t="s">
        <v>11106</v>
      </c>
      <c r="F1476" s="498" t="s">
        <v>209</v>
      </c>
      <c r="G1476" s="108">
        <f t="shared" si="23"/>
        <v>1</v>
      </c>
      <c r="H1476" s="862" t="s">
        <v>8761</v>
      </c>
    </row>
    <row r="1477" spans="1:8" ht="30">
      <c r="A1477" s="108" t="s">
        <v>11047</v>
      </c>
      <c r="B1477" s="497" t="s">
        <v>11107</v>
      </c>
      <c r="C1477" s="498" t="s">
        <v>11108</v>
      </c>
      <c r="D1477" s="498" t="s">
        <v>11109</v>
      </c>
      <c r="E1477" s="498" t="s">
        <v>11110</v>
      </c>
      <c r="F1477" s="498" t="s">
        <v>209</v>
      </c>
      <c r="G1477" s="108">
        <f t="shared" si="23"/>
        <v>2</v>
      </c>
      <c r="H1477" s="862" t="s">
        <v>8764</v>
      </c>
    </row>
    <row r="1478" spans="1:8" ht="45">
      <c r="A1478" s="108" t="s">
        <v>11047</v>
      </c>
      <c r="B1478" s="497" t="s">
        <v>11111</v>
      </c>
      <c r="C1478" s="498" t="s">
        <v>11112</v>
      </c>
      <c r="D1478" s="498" t="s">
        <v>11113</v>
      </c>
      <c r="E1478" s="498" t="s">
        <v>11114</v>
      </c>
      <c r="F1478" s="498" t="s">
        <v>209</v>
      </c>
      <c r="G1478" s="108">
        <f t="shared" si="23"/>
        <v>1</v>
      </c>
      <c r="H1478" s="862" t="s">
        <v>8761</v>
      </c>
    </row>
    <row r="1479" spans="1:8" ht="45">
      <c r="A1479" s="108" t="s">
        <v>11047</v>
      </c>
      <c r="B1479" s="497" t="s">
        <v>11115</v>
      </c>
      <c r="C1479" s="498" t="s">
        <v>11116</v>
      </c>
      <c r="D1479" s="498" t="s">
        <v>11117</v>
      </c>
      <c r="E1479" s="498" t="s">
        <v>11118</v>
      </c>
      <c r="F1479" s="498" t="s">
        <v>209</v>
      </c>
      <c r="G1479" s="108">
        <f t="shared" si="23"/>
        <v>1</v>
      </c>
      <c r="H1479" s="862" t="s">
        <v>8761</v>
      </c>
    </row>
    <row r="1480" spans="1:8" ht="60">
      <c r="A1480" s="108" t="s">
        <v>11047</v>
      </c>
      <c r="B1480" s="497" t="s">
        <v>11119</v>
      </c>
      <c r="C1480" s="498" t="s">
        <v>11120</v>
      </c>
      <c r="D1480" s="498" t="s">
        <v>11121</v>
      </c>
      <c r="E1480" s="498" t="s">
        <v>11122</v>
      </c>
      <c r="F1480" s="498" t="s">
        <v>11123</v>
      </c>
      <c r="G1480" s="108">
        <f t="shared" si="23"/>
        <v>3</v>
      </c>
      <c r="H1480" s="862" t="s">
        <v>8766</v>
      </c>
    </row>
    <row r="1481" spans="1:8" ht="45">
      <c r="A1481" s="108" t="s">
        <v>11047</v>
      </c>
      <c r="B1481" s="497" t="s">
        <v>11124</v>
      </c>
      <c r="C1481" s="498" t="s">
        <v>11125</v>
      </c>
      <c r="D1481" s="498" t="s">
        <v>11126</v>
      </c>
      <c r="E1481" s="498" t="s">
        <v>11127</v>
      </c>
      <c r="F1481" s="498" t="s">
        <v>11128</v>
      </c>
      <c r="G1481" s="108">
        <f t="shared" si="23"/>
        <v>3</v>
      </c>
      <c r="H1481" s="862" t="s">
        <v>8766</v>
      </c>
    </row>
    <row r="1482" spans="1:8" ht="45">
      <c r="A1482" s="108" t="s">
        <v>11047</v>
      </c>
      <c r="B1482" s="497" t="s">
        <v>11129</v>
      </c>
      <c r="C1482" s="498" t="s">
        <v>11130</v>
      </c>
      <c r="D1482" s="498" t="s">
        <v>11131</v>
      </c>
      <c r="E1482" s="498" t="s">
        <v>11132</v>
      </c>
      <c r="F1482" s="498" t="s">
        <v>209</v>
      </c>
      <c r="G1482" s="108">
        <f t="shared" si="23"/>
        <v>1</v>
      </c>
      <c r="H1482" s="862" t="s">
        <v>8761</v>
      </c>
    </row>
    <row r="1483" spans="1:8" ht="30">
      <c r="A1483" s="108" t="s">
        <v>11133</v>
      </c>
      <c r="B1483" s="497" t="s">
        <v>11134</v>
      </c>
      <c r="C1483" s="498" t="s">
        <v>7470</v>
      </c>
      <c r="D1483" s="498" t="s">
        <v>6067</v>
      </c>
      <c r="E1483" s="498" t="s">
        <v>7471</v>
      </c>
      <c r="F1483" s="498" t="s">
        <v>7472</v>
      </c>
      <c r="G1483" s="108">
        <f t="shared" si="23"/>
        <v>3</v>
      </c>
      <c r="H1483" s="862" t="s">
        <v>8766</v>
      </c>
    </row>
    <row r="1484" spans="1:8" ht="30">
      <c r="A1484" s="108" t="s">
        <v>11133</v>
      </c>
      <c r="B1484" s="497" t="s">
        <v>11135</v>
      </c>
      <c r="C1484" s="498" t="s">
        <v>7470</v>
      </c>
      <c r="D1484" s="498" t="s">
        <v>6067</v>
      </c>
      <c r="E1484" s="498" t="s">
        <v>7471</v>
      </c>
      <c r="F1484" s="498" t="s">
        <v>7472</v>
      </c>
      <c r="G1484" s="108">
        <f t="shared" si="23"/>
        <v>4</v>
      </c>
      <c r="H1484" s="862" t="s">
        <v>8763</v>
      </c>
    </row>
    <row r="1485" spans="1:8" ht="30">
      <c r="A1485" s="108" t="s">
        <v>11133</v>
      </c>
      <c r="B1485" s="497" t="s">
        <v>11136</v>
      </c>
      <c r="C1485" s="498" t="s">
        <v>7475</v>
      </c>
      <c r="D1485" s="498" t="s">
        <v>7476</v>
      </c>
      <c r="E1485" s="498" t="s">
        <v>7477</v>
      </c>
      <c r="F1485" s="498" t="s">
        <v>7478</v>
      </c>
      <c r="G1485" s="108">
        <f t="shared" si="23"/>
        <v>2</v>
      </c>
      <c r="H1485" s="862" t="s">
        <v>8764</v>
      </c>
    </row>
    <row r="1486" spans="1:8" ht="30">
      <c r="A1486" s="108" t="s">
        <v>11133</v>
      </c>
      <c r="B1486" s="497" t="s">
        <v>7479</v>
      </c>
      <c r="C1486" s="498" t="s">
        <v>7480</v>
      </c>
      <c r="D1486" s="498" t="s">
        <v>7481</v>
      </c>
      <c r="E1486" s="498" t="s">
        <v>7482</v>
      </c>
      <c r="F1486" s="498" t="s">
        <v>7483</v>
      </c>
      <c r="G1486" s="108">
        <f t="shared" si="23"/>
        <v>1</v>
      </c>
      <c r="H1486" s="862" t="s">
        <v>8761</v>
      </c>
    </row>
    <row r="1487" spans="1:8" ht="30">
      <c r="A1487" s="108" t="s">
        <v>11133</v>
      </c>
      <c r="B1487" s="497" t="s">
        <v>11137</v>
      </c>
      <c r="C1487" s="498" t="s">
        <v>7485</v>
      </c>
      <c r="D1487" s="498" t="s">
        <v>7486</v>
      </c>
      <c r="E1487" s="498" t="s">
        <v>7487</v>
      </c>
      <c r="F1487" s="498" t="s">
        <v>7488</v>
      </c>
      <c r="G1487" s="108">
        <f t="shared" si="23"/>
        <v>1</v>
      </c>
      <c r="H1487" s="862" t="s">
        <v>8761</v>
      </c>
    </row>
    <row r="1488" spans="1:8" ht="30">
      <c r="A1488" s="108" t="s">
        <v>11133</v>
      </c>
      <c r="B1488" s="497" t="s">
        <v>7489</v>
      </c>
      <c r="C1488" s="498" t="s">
        <v>7480</v>
      </c>
      <c r="D1488" s="498" t="s">
        <v>7481</v>
      </c>
      <c r="E1488" s="498" t="s">
        <v>7482</v>
      </c>
      <c r="F1488" s="498" t="s">
        <v>7483</v>
      </c>
      <c r="G1488" s="108">
        <f t="shared" si="23"/>
        <v>4</v>
      </c>
      <c r="H1488" s="862" t="s">
        <v>8763</v>
      </c>
    </row>
    <row r="1489" spans="1:8" ht="75">
      <c r="A1489" s="108" t="s">
        <v>11133</v>
      </c>
      <c r="B1489" s="497" t="s">
        <v>11138</v>
      </c>
      <c r="C1489" s="498" t="s">
        <v>7491</v>
      </c>
      <c r="D1489" s="498" t="s">
        <v>7492</v>
      </c>
      <c r="E1489" s="498" t="s">
        <v>7493</v>
      </c>
      <c r="F1489" s="498" t="s">
        <v>7494</v>
      </c>
      <c r="G1489" s="108">
        <f t="shared" si="23"/>
        <v>4</v>
      </c>
      <c r="H1489" s="862" t="s">
        <v>8763</v>
      </c>
    </row>
    <row r="1490" spans="1:8" ht="30">
      <c r="A1490" s="108" t="s">
        <v>11133</v>
      </c>
      <c r="B1490" s="497" t="s">
        <v>7495</v>
      </c>
      <c r="C1490" s="498" t="s">
        <v>7480</v>
      </c>
      <c r="D1490" s="498" t="s">
        <v>7481</v>
      </c>
      <c r="E1490" s="498" t="s">
        <v>7482</v>
      </c>
      <c r="F1490" s="498" t="s">
        <v>7483</v>
      </c>
      <c r="G1490" s="108">
        <f t="shared" si="23"/>
        <v>1</v>
      </c>
      <c r="H1490" s="862" t="s">
        <v>8761</v>
      </c>
    </row>
    <row r="1491" spans="1:8" ht="45">
      <c r="A1491" s="108" t="s">
        <v>11133</v>
      </c>
      <c r="B1491" s="497" t="s">
        <v>11139</v>
      </c>
      <c r="C1491" s="498" t="s">
        <v>7497</v>
      </c>
      <c r="D1491" s="498" t="s">
        <v>7498</v>
      </c>
      <c r="E1491" s="498" t="s">
        <v>7499</v>
      </c>
      <c r="F1491" s="498" t="s">
        <v>7500</v>
      </c>
      <c r="G1491" s="108">
        <f t="shared" si="23"/>
        <v>3</v>
      </c>
      <c r="H1491" s="862" t="s">
        <v>8766</v>
      </c>
    </row>
    <row r="1492" spans="1:8">
      <c r="A1492" s="108" t="s">
        <v>11133</v>
      </c>
      <c r="B1492" s="497" t="s">
        <v>7501</v>
      </c>
      <c r="C1492" s="498" t="s">
        <v>7502</v>
      </c>
      <c r="D1492" s="498" t="s">
        <v>4767</v>
      </c>
      <c r="E1492" s="498" t="s">
        <v>7503</v>
      </c>
      <c r="F1492" s="498" t="s">
        <v>4770</v>
      </c>
      <c r="G1492" s="108">
        <f t="shared" si="23"/>
        <v>4</v>
      </c>
      <c r="H1492" s="862" t="s">
        <v>8763</v>
      </c>
    </row>
    <row r="1493" spans="1:8" ht="30">
      <c r="A1493" s="108" t="s">
        <v>11133</v>
      </c>
      <c r="B1493" s="497" t="s">
        <v>11140</v>
      </c>
      <c r="C1493" s="498">
        <v>0.98</v>
      </c>
      <c r="D1493" s="498">
        <v>0.97</v>
      </c>
      <c r="E1493" s="498">
        <v>0.96</v>
      </c>
      <c r="F1493" s="498">
        <v>0.95</v>
      </c>
      <c r="G1493" s="108">
        <f t="shared" si="23"/>
        <v>2</v>
      </c>
      <c r="H1493" s="862" t="s">
        <v>8764</v>
      </c>
    </row>
    <row r="1494" spans="1:8" ht="30">
      <c r="A1494" s="108" t="s">
        <v>11133</v>
      </c>
      <c r="B1494" s="497" t="s">
        <v>11141</v>
      </c>
      <c r="C1494" s="498">
        <v>1.02</v>
      </c>
      <c r="D1494" s="498">
        <v>1.03</v>
      </c>
      <c r="E1494" s="498">
        <v>1.04</v>
      </c>
      <c r="F1494" s="498">
        <v>1.05</v>
      </c>
      <c r="G1494" s="108">
        <f t="shared" si="23"/>
        <v>2</v>
      </c>
      <c r="H1494" s="862" t="s">
        <v>8764</v>
      </c>
    </row>
    <row r="1495" spans="1:8" ht="30">
      <c r="A1495" s="108" t="s">
        <v>11133</v>
      </c>
      <c r="B1495" s="497" t="s">
        <v>7506</v>
      </c>
      <c r="C1495" s="498" t="s">
        <v>7507</v>
      </c>
      <c r="D1495" s="498" t="s">
        <v>7508</v>
      </c>
      <c r="E1495" s="498" t="s">
        <v>7509</v>
      </c>
      <c r="F1495" s="498" t="s">
        <v>209</v>
      </c>
      <c r="G1495" s="108">
        <f t="shared" si="23"/>
        <v>3</v>
      </c>
      <c r="H1495" s="862" t="s">
        <v>8766</v>
      </c>
    </row>
    <row r="1496" spans="1:8" ht="30">
      <c r="A1496" s="108" t="s">
        <v>11133</v>
      </c>
      <c r="B1496" s="497" t="s">
        <v>7510</v>
      </c>
      <c r="C1496" s="498" t="s">
        <v>7507</v>
      </c>
      <c r="D1496" s="498" t="s">
        <v>7508</v>
      </c>
      <c r="E1496" s="498" t="s">
        <v>7509</v>
      </c>
      <c r="F1496" s="498" t="s">
        <v>3313</v>
      </c>
      <c r="G1496" s="108">
        <f t="shared" si="23"/>
        <v>4</v>
      </c>
      <c r="H1496" s="862" t="s">
        <v>8763</v>
      </c>
    </row>
    <row r="1497" spans="1:8" ht="30">
      <c r="A1497" s="108" t="s">
        <v>11133</v>
      </c>
      <c r="B1497" s="497" t="s">
        <v>11142</v>
      </c>
      <c r="C1497" s="498" t="s">
        <v>7512</v>
      </c>
      <c r="D1497" s="498" t="s">
        <v>7513</v>
      </c>
      <c r="E1497" s="498" t="s">
        <v>7514</v>
      </c>
      <c r="F1497" s="498" t="s">
        <v>209</v>
      </c>
      <c r="G1497" s="108">
        <f t="shared" si="23"/>
        <v>1</v>
      </c>
      <c r="H1497" s="862" t="s">
        <v>8761</v>
      </c>
    </row>
    <row r="1498" spans="1:8">
      <c r="A1498" s="108" t="s">
        <v>11133</v>
      </c>
      <c r="B1498" s="497" t="s">
        <v>7515</v>
      </c>
      <c r="C1498" s="498">
        <v>455</v>
      </c>
      <c r="D1498" s="498">
        <v>515</v>
      </c>
      <c r="E1498" s="498">
        <v>575</v>
      </c>
      <c r="F1498" s="498">
        <v>625</v>
      </c>
      <c r="G1498" s="108">
        <f t="shared" si="23"/>
        <v>2</v>
      </c>
      <c r="H1498" s="862" t="s">
        <v>8764</v>
      </c>
    </row>
    <row r="1499" spans="1:8" ht="30">
      <c r="A1499" s="108" t="s">
        <v>11133</v>
      </c>
      <c r="B1499" s="497" t="s">
        <v>7516</v>
      </c>
      <c r="C1499" s="498" t="s">
        <v>7517</v>
      </c>
      <c r="D1499" s="498" t="s">
        <v>7518</v>
      </c>
      <c r="E1499" s="498" t="s">
        <v>7519</v>
      </c>
      <c r="F1499" s="498" t="s">
        <v>2174</v>
      </c>
      <c r="G1499" s="108">
        <f t="shared" si="23"/>
        <v>4</v>
      </c>
      <c r="H1499" s="862" t="s">
        <v>8763</v>
      </c>
    </row>
    <row r="1500" spans="1:8" ht="30">
      <c r="A1500" s="108" t="s">
        <v>11133</v>
      </c>
      <c r="B1500" s="497" t="s">
        <v>11143</v>
      </c>
      <c r="C1500" s="498" t="s">
        <v>4768</v>
      </c>
      <c r="D1500" s="498" t="s">
        <v>4770</v>
      </c>
      <c r="E1500" s="498" t="s">
        <v>4767</v>
      </c>
      <c r="F1500" s="498" t="s">
        <v>1743</v>
      </c>
      <c r="G1500" s="108">
        <f t="shared" si="23"/>
        <v>3</v>
      </c>
      <c r="H1500" s="862" t="s">
        <v>8766</v>
      </c>
    </row>
    <row r="1501" spans="1:8" ht="30">
      <c r="A1501" s="108" t="s">
        <v>11133</v>
      </c>
      <c r="B1501" s="497" t="s">
        <v>11144</v>
      </c>
      <c r="C1501" s="498" t="s">
        <v>4768</v>
      </c>
      <c r="D1501" s="498" t="s">
        <v>4770</v>
      </c>
      <c r="E1501" s="498" t="s">
        <v>4767</v>
      </c>
      <c r="F1501" s="498" t="s">
        <v>1743</v>
      </c>
      <c r="G1501" s="108">
        <f t="shared" si="23"/>
        <v>4</v>
      </c>
      <c r="H1501" s="862" t="s">
        <v>8763</v>
      </c>
    </row>
    <row r="1502" spans="1:8" ht="30">
      <c r="A1502" s="108" t="s">
        <v>11133</v>
      </c>
      <c r="B1502" s="497" t="s">
        <v>11145</v>
      </c>
      <c r="C1502" s="498" t="s">
        <v>4768</v>
      </c>
      <c r="D1502" s="498" t="s">
        <v>4770</v>
      </c>
      <c r="E1502" s="498" t="s">
        <v>4767</v>
      </c>
      <c r="F1502" s="498" t="s">
        <v>1743</v>
      </c>
      <c r="G1502" s="108">
        <f t="shared" si="23"/>
        <v>3</v>
      </c>
      <c r="H1502" s="862" t="s">
        <v>8766</v>
      </c>
    </row>
    <row r="1503" spans="1:8" ht="30">
      <c r="A1503" s="108" t="s">
        <v>11133</v>
      </c>
      <c r="B1503" s="497" t="s">
        <v>11146</v>
      </c>
      <c r="C1503" s="498" t="s">
        <v>7524</v>
      </c>
      <c r="D1503" s="498" t="s">
        <v>7525</v>
      </c>
      <c r="E1503" s="498" t="s">
        <v>7526</v>
      </c>
      <c r="F1503" s="498" t="s">
        <v>7527</v>
      </c>
      <c r="G1503" s="108">
        <f t="shared" si="23"/>
        <v>3</v>
      </c>
      <c r="H1503" s="862" t="s">
        <v>8766</v>
      </c>
    </row>
    <row r="1504" spans="1:8" ht="30">
      <c r="A1504" s="108" t="s">
        <v>11133</v>
      </c>
      <c r="B1504" s="497" t="s">
        <v>11147</v>
      </c>
      <c r="C1504" s="498">
        <v>1</v>
      </c>
      <c r="D1504" s="498">
        <v>3</v>
      </c>
      <c r="E1504" s="498">
        <v>6</v>
      </c>
      <c r="F1504" s="498">
        <v>8</v>
      </c>
      <c r="G1504" s="108">
        <f t="shared" si="23"/>
        <v>1</v>
      </c>
      <c r="H1504" s="862" t="s">
        <v>8761</v>
      </c>
    </row>
    <row r="1505" spans="1:8" ht="30">
      <c r="A1505" s="108" t="s">
        <v>11133</v>
      </c>
      <c r="B1505" s="497" t="s">
        <v>11148</v>
      </c>
      <c r="C1505" s="498" t="s">
        <v>1422</v>
      </c>
      <c r="D1505" s="498">
        <v>1</v>
      </c>
      <c r="E1505" s="498">
        <v>2</v>
      </c>
      <c r="F1505" s="498">
        <v>3</v>
      </c>
      <c r="G1505" s="108">
        <f t="shared" si="23"/>
        <v>3</v>
      </c>
      <c r="H1505" s="862" t="s">
        <v>8766</v>
      </c>
    </row>
    <row r="1506" spans="1:8" ht="60">
      <c r="A1506" s="108" t="s">
        <v>11133</v>
      </c>
      <c r="B1506" s="497" t="s">
        <v>7530</v>
      </c>
      <c r="C1506" s="498" t="s">
        <v>7531</v>
      </c>
      <c r="D1506" s="498" t="s">
        <v>7532</v>
      </c>
      <c r="E1506" s="498" t="s">
        <v>7533</v>
      </c>
      <c r="F1506" s="498" t="s">
        <v>7534</v>
      </c>
      <c r="G1506" s="108">
        <f t="shared" si="23"/>
        <v>1</v>
      </c>
      <c r="H1506" s="862" t="s">
        <v>8761</v>
      </c>
    </row>
    <row r="1507" spans="1:8" ht="30">
      <c r="A1507" s="108" t="s">
        <v>11133</v>
      </c>
      <c r="B1507" s="497" t="s">
        <v>7535</v>
      </c>
      <c r="C1507" s="498" t="s">
        <v>73</v>
      </c>
      <c r="D1507" s="498" t="s">
        <v>7536</v>
      </c>
      <c r="E1507" s="498" t="s">
        <v>5337</v>
      </c>
      <c r="F1507" s="498" t="s">
        <v>74</v>
      </c>
      <c r="G1507" s="108">
        <f t="shared" si="23"/>
        <v>3</v>
      </c>
      <c r="H1507" s="862" t="s">
        <v>8766</v>
      </c>
    </row>
    <row r="1508" spans="1:8" ht="30">
      <c r="A1508" s="108" t="s">
        <v>11133</v>
      </c>
      <c r="B1508" s="497" t="s">
        <v>7537</v>
      </c>
      <c r="C1508" s="498" t="s">
        <v>1122</v>
      </c>
      <c r="D1508" s="498" t="s">
        <v>4967</v>
      </c>
      <c r="E1508" s="498" t="s">
        <v>7538</v>
      </c>
      <c r="F1508" s="498" t="s">
        <v>5337</v>
      </c>
      <c r="G1508" s="108">
        <f t="shared" si="23"/>
        <v>4</v>
      </c>
      <c r="H1508" s="862" t="s">
        <v>8763</v>
      </c>
    </row>
    <row r="1509" spans="1:8" ht="30">
      <c r="A1509" s="108" t="s">
        <v>11133</v>
      </c>
      <c r="B1509" s="497" t="s">
        <v>7539</v>
      </c>
      <c r="C1509" s="498" t="s">
        <v>7540</v>
      </c>
      <c r="D1509" s="498" t="s">
        <v>7541</v>
      </c>
      <c r="E1509" s="498" t="s">
        <v>7542</v>
      </c>
      <c r="F1509" s="498" t="s">
        <v>7543</v>
      </c>
      <c r="G1509" s="108">
        <f t="shared" si="23"/>
        <v>3</v>
      </c>
      <c r="H1509" s="862" t="s">
        <v>8766</v>
      </c>
    </row>
    <row r="1510" spans="1:8" ht="30">
      <c r="A1510" s="108" t="s">
        <v>11149</v>
      </c>
      <c r="B1510" s="497" t="s">
        <v>7569</v>
      </c>
      <c r="C1510" s="498" t="s">
        <v>7570</v>
      </c>
      <c r="D1510" s="498" t="s">
        <v>7571</v>
      </c>
      <c r="E1510" s="498" t="s">
        <v>7572</v>
      </c>
      <c r="F1510" s="498" t="s">
        <v>7573</v>
      </c>
      <c r="G1510" s="108">
        <f t="shared" si="23"/>
        <v>3</v>
      </c>
      <c r="H1510" s="862" t="s">
        <v>8766</v>
      </c>
    </row>
    <row r="1511" spans="1:8" ht="60">
      <c r="A1511" s="108" t="s">
        <v>11149</v>
      </c>
      <c r="B1511" s="497" t="s">
        <v>11150</v>
      </c>
      <c r="C1511" s="498" t="s">
        <v>7575</v>
      </c>
      <c r="D1511" s="498" t="s">
        <v>7576</v>
      </c>
      <c r="E1511" s="498" t="s">
        <v>7577</v>
      </c>
      <c r="F1511" s="498" t="s">
        <v>7578</v>
      </c>
      <c r="G1511" s="108">
        <f t="shared" si="23"/>
        <v>3</v>
      </c>
      <c r="H1511" s="862" t="s">
        <v>8766</v>
      </c>
    </row>
    <row r="1512" spans="1:8" ht="30">
      <c r="A1512" s="108" t="s">
        <v>11149</v>
      </c>
      <c r="B1512" s="497" t="s">
        <v>7579</v>
      </c>
      <c r="C1512" s="498" t="s">
        <v>7580</v>
      </c>
      <c r="D1512" s="498" t="s">
        <v>7581</v>
      </c>
      <c r="E1512" s="498" t="s">
        <v>7582</v>
      </c>
      <c r="F1512" s="498" t="s">
        <v>1869</v>
      </c>
      <c r="G1512" s="108">
        <f t="shared" si="23"/>
        <v>4</v>
      </c>
      <c r="H1512" s="862" t="s">
        <v>8763</v>
      </c>
    </row>
    <row r="1513" spans="1:8" ht="60">
      <c r="A1513" s="108" t="s">
        <v>11149</v>
      </c>
      <c r="B1513" s="497" t="s">
        <v>11151</v>
      </c>
      <c r="C1513" s="498" t="s">
        <v>7585</v>
      </c>
      <c r="D1513" s="498" t="s">
        <v>7586</v>
      </c>
      <c r="E1513" s="498" t="s">
        <v>7587</v>
      </c>
      <c r="F1513" s="498" t="s">
        <v>1869</v>
      </c>
      <c r="G1513" s="108">
        <f t="shared" si="23"/>
        <v>4</v>
      </c>
      <c r="H1513" s="862" t="s">
        <v>8763</v>
      </c>
    </row>
    <row r="1514" spans="1:8" ht="75">
      <c r="A1514" s="108" t="s">
        <v>11149</v>
      </c>
      <c r="B1514" s="497" t="s">
        <v>11152</v>
      </c>
      <c r="C1514" s="498" t="s">
        <v>7589</v>
      </c>
      <c r="D1514" s="498" t="s">
        <v>7590</v>
      </c>
      <c r="E1514" s="498" t="s">
        <v>7591</v>
      </c>
      <c r="F1514" s="498" t="s">
        <v>1869</v>
      </c>
      <c r="G1514" s="108">
        <f t="shared" si="23"/>
        <v>4</v>
      </c>
      <c r="H1514" s="862" t="s">
        <v>8763</v>
      </c>
    </row>
    <row r="1515" spans="1:8" ht="30">
      <c r="A1515" s="108" t="s">
        <v>11149</v>
      </c>
      <c r="B1515" s="497" t="s">
        <v>11153</v>
      </c>
      <c r="C1515" s="498" t="s">
        <v>7593</v>
      </c>
      <c r="D1515" s="498" t="s">
        <v>7594</v>
      </c>
      <c r="E1515" s="498" t="s">
        <v>7595</v>
      </c>
      <c r="F1515" s="498" t="s">
        <v>1869</v>
      </c>
      <c r="G1515" s="108">
        <f t="shared" si="23"/>
        <v>1</v>
      </c>
      <c r="H1515" s="862" t="s">
        <v>8761</v>
      </c>
    </row>
    <row r="1516" spans="1:8" ht="30">
      <c r="A1516" s="108" t="s">
        <v>11149</v>
      </c>
      <c r="B1516" s="497" t="s">
        <v>11154</v>
      </c>
      <c r="C1516" s="498" t="s">
        <v>7597</v>
      </c>
      <c r="D1516" s="498" t="s">
        <v>7598</v>
      </c>
      <c r="E1516" s="498" t="s">
        <v>7599</v>
      </c>
      <c r="F1516" s="498" t="s">
        <v>7600</v>
      </c>
      <c r="G1516" s="108">
        <f t="shared" si="23"/>
        <v>2</v>
      </c>
      <c r="H1516" s="862" t="s">
        <v>8764</v>
      </c>
    </row>
    <row r="1517" spans="1:8" ht="45">
      <c r="A1517" s="108" t="s">
        <v>11149</v>
      </c>
      <c r="B1517" s="497" t="s">
        <v>11155</v>
      </c>
      <c r="C1517" s="498" t="s">
        <v>7602</v>
      </c>
      <c r="D1517" s="498" t="s">
        <v>7603</v>
      </c>
      <c r="E1517" s="498" t="s">
        <v>7604</v>
      </c>
      <c r="F1517" s="498" t="s">
        <v>7605</v>
      </c>
      <c r="G1517" s="108">
        <f t="shared" si="23"/>
        <v>3</v>
      </c>
      <c r="H1517" s="862" t="s">
        <v>8766</v>
      </c>
    </row>
    <row r="1518" spans="1:8" ht="30">
      <c r="A1518" s="108" t="s">
        <v>11149</v>
      </c>
      <c r="B1518" s="497" t="s">
        <v>11156</v>
      </c>
      <c r="C1518" s="498" t="s">
        <v>7607</v>
      </c>
      <c r="D1518" s="498" t="s">
        <v>7608</v>
      </c>
      <c r="E1518" s="498" t="s">
        <v>7609</v>
      </c>
      <c r="F1518" s="498" t="s">
        <v>1869</v>
      </c>
      <c r="G1518" s="108">
        <f t="shared" si="23"/>
        <v>1</v>
      </c>
      <c r="H1518" s="957" t="s">
        <v>8761</v>
      </c>
    </row>
    <row r="1519" spans="1:8" ht="30">
      <c r="A1519" s="108" t="s">
        <v>6599</v>
      </c>
      <c r="B1519" s="497" t="s">
        <v>11157</v>
      </c>
      <c r="C1519" s="498" t="s">
        <v>7611</v>
      </c>
      <c r="D1519" s="498" t="s">
        <v>7612</v>
      </c>
      <c r="E1519" s="498" t="s">
        <v>7613</v>
      </c>
      <c r="F1519" s="498" t="s">
        <v>1869</v>
      </c>
      <c r="G1519" s="108">
        <f t="shared" si="23"/>
        <v>4</v>
      </c>
      <c r="H1519" s="862" t="s">
        <v>8763</v>
      </c>
    </row>
    <row r="1520" spans="1:8" ht="30">
      <c r="A1520" s="108" t="s">
        <v>6599</v>
      </c>
      <c r="B1520" s="497" t="s">
        <v>11158</v>
      </c>
      <c r="C1520" s="498" t="s">
        <v>7615</v>
      </c>
      <c r="D1520" s="498" t="s">
        <v>7611</v>
      </c>
      <c r="E1520" s="498" t="s">
        <v>7616</v>
      </c>
      <c r="F1520" s="498" t="s">
        <v>1869</v>
      </c>
      <c r="G1520" s="108">
        <f t="shared" si="23"/>
        <v>4</v>
      </c>
      <c r="H1520" s="862" t="s">
        <v>8763</v>
      </c>
    </row>
    <row r="1521" spans="1:8" ht="30">
      <c r="A1521" s="108" t="s">
        <v>6599</v>
      </c>
      <c r="B1521" s="497" t="s">
        <v>11159</v>
      </c>
      <c r="C1521" s="498" t="s">
        <v>7618</v>
      </c>
      <c r="D1521" s="498" t="s">
        <v>7648</v>
      </c>
      <c r="E1521" s="498" t="s">
        <v>7620</v>
      </c>
      <c r="F1521" s="498" t="s">
        <v>7621</v>
      </c>
      <c r="G1521" s="108">
        <f t="shared" si="23"/>
        <v>2</v>
      </c>
      <c r="H1521" s="862" t="s">
        <v>8764</v>
      </c>
    </row>
    <row r="1522" spans="1:8">
      <c r="A1522" s="108" t="s">
        <v>6599</v>
      </c>
      <c r="B1522" s="497" t="s">
        <v>11160</v>
      </c>
      <c r="C1522" s="498" t="s">
        <v>7623</v>
      </c>
      <c r="D1522" s="498" t="s">
        <v>7624</v>
      </c>
      <c r="E1522" s="498" t="s">
        <v>7625</v>
      </c>
      <c r="F1522" s="498" t="s">
        <v>1869</v>
      </c>
      <c r="G1522" s="108">
        <f t="shared" si="23"/>
        <v>4</v>
      </c>
      <c r="H1522" s="862" t="s">
        <v>8763</v>
      </c>
    </row>
    <row r="1523" spans="1:8">
      <c r="A1523" s="108" t="s">
        <v>6599</v>
      </c>
      <c r="B1523" s="497" t="s">
        <v>11161</v>
      </c>
      <c r="C1523" s="498" t="s">
        <v>6597</v>
      </c>
      <c r="D1523" s="498" t="s">
        <v>7627</v>
      </c>
      <c r="E1523" s="498" t="s">
        <v>7628</v>
      </c>
      <c r="F1523" s="498" t="s">
        <v>7629</v>
      </c>
      <c r="G1523" s="108">
        <f t="shared" si="23"/>
        <v>3</v>
      </c>
      <c r="H1523" s="862" t="s">
        <v>8766</v>
      </c>
    </row>
    <row r="1524" spans="1:8" ht="45">
      <c r="A1524" s="108" t="s">
        <v>6599</v>
      </c>
      <c r="B1524" s="497" t="s">
        <v>11162</v>
      </c>
      <c r="C1524" s="498" t="s">
        <v>7631</v>
      </c>
      <c r="D1524" s="498" t="s">
        <v>7632</v>
      </c>
      <c r="E1524" s="498" t="s">
        <v>7633</v>
      </c>
      <c r="F1524" s="498" t="s">
        <v>3638</v>
      </c>
      <c r="G1524" s="108">
        <f t="shared" si="23"/>
        <v>2</v>
      </c>
      <c r="H1524" s="862" t="s">
        <v>8764</v>
      </c>
    </row>
    <row r="1525" spans="1:8" ht="60">
      <c r="A1525" s="108" t="s">
        <v>6599</v>
      </c>
      <c r="B1525" s="497" t="s">
        <v>11163</v>
      </c>
      <c r="C1525" s="498" t="s">
        <v>7631</v>
      </c>
      <c r="D1525" s="498" t="s">
        <v>7632</v>
      </c>
      <c r="E1525" s="498" t="s">
        <v>7635</v>
      </c>
      <c r="F1525" s="498" t="s">
        <v>7629</v>
      </c>
      <c r="G1525" s="108">
        <f t="shared" si="23"/>
        <v>3</v>
      </c>
      <c r="H1525" s="862" t="s">
        <v>8766</v>
      </c>
    </row>
    <row r="1526" spans="1:8" ht="30">
      <c r="A1526" s="108" t="s">
        <v>6599</v>
      </c>
      <c r="B1526" s="497" t="s">
        <v>11164</v>
      </c>
      <c r="C1526" s="498" t="s">
        <v>7637</v>
      </c>
      <c r="D1526" s="498" t="s">
        <v>7638</v>
      </c>
      <c r="E1526" s="498" t="s">
        <v>7639</v>
      </c>
      <c r="F1526" s="498" t="s">
        <v>7640</v>
      </c>
      <c r="G1526" s="108">
        <f t="shared" si="23"/>
        <v>3</v>
      </c>
      <c r="H1526" s="862" t="s">
        <v>8766</v>
      </c>
    </row>
    <row r="1527" spans="1:8" ht="30">
      <c r="A1527" s="108" t="s">
        <v>6599</v>
      </c>
      <c r="B1527" s="497" t="s">
        <v>7641</v>
      </c>
      <c r="C1527" s="498" t="s">
        <v>7642</v>
      </c>
      <c r="D1527" s="498" t="s">
        <v>7643</v>
      </c>
      <c r="E1527" s="498" t="s">
        <v>7644</v>
      </c>
      <c r="F1527" s="498" t="s">
        <v>7645</v>
      </c>
      <c r="G1527" s="108">
        <f t="shared" si="23"/>
        <v>2</v>
      </c>
      <c r="H1527" s="862" t="s">
        <v>8764</v>
      </c>
    </row>
    <row r="1528" spans="1:8" ht="60">
      <c r="A1528" s="108" t="s">
        <v>6599</v>
      </c>
      <c r="B1528" s="497" t="s">
        <v>11165</v>
      </c>
      <c r="C1528" s="498" t="s">
        <v>7647</v>
      </c>
      <c r="D1528" s="498" t="s">
        <v>7620</v>
      </c>
      <c r="E1528" s="498" t="s">
        <v>7648</v>
      </c>
      <c r="F1528" s="498" t="s">
        <v>7649</v>
      </c>
      <c r="G1528" s="108">
        <f t="shared" si="23"/>
        <v>1</v>
      </c>
      <c r="H1528" s="862" t="s">
        <v>8761</v>
      </c>
    </row>
    <row r="1529" spans="1:8" ht="30">
      <c r="A1529" s="108" t="s">
        <v>6599</v>
      </c>
      <c r="B1529" s="497" t="s">
        <v>11166</v>
      </c>
      <c r="C1529" s="498" t="s">
        <v>7650</v>
      </c>
      <c r="D1529" s="498" t="s">
        <v>7651</v>
      </c>
      <c r="E1529" s="498" t="s">
        <v>7620</v>
      </c>
      <c r="F1529" s="498" t="s">
        <v>7649</v>
      </c>
      <c r="G1529" s="108">
        <f t="shared" si="23"/>
        <v>2</v>
      </c>
      <c r="H1529" s="862" t="s">
        <v>8764</v>
      </c>
    </row>
    <row r="1530" spans="1:8" ht="45">
      <c r="A1530" s="108" t="s">
        <v>6599</v>
      </c>
      <c r="B1530" s="497" t="s">
        <v>11167</v>
      </c>
      <c r="C1530" s="498" t="s">
        <v>7654</v>
      </c>
      <c r="D1530" s="498" t="s">
        <v>7655</v>
      </c>
      <c r="E1530" s="498" t="s">
        <v>7656</v>
      </c>
      <c r="F1530" s="498" t="s">
        <v>3638</v>
      </c>
      <c r="G1530" s="108">
        <f t="shared" si="23"/>
        <v>3</v>
      </c>
      <c r="H1530" s="862" t="s">
        <v>8766</v>
      </c>
    </row>
    <row r="1531" spans="1:8">
      <c r="A1531" s="108" t="s">
        <v>6599</v>
      </c>
      <c r="B1531" s="497" t="s">
        <v>11168</v>
      </c>
      <c r="C1531" s="498" t="s">
        <v>7662</v>
      </c>
      <c r="D1531" s="498" t="s">
        <v>7659</v>
      </c>
      <c r="E1531" s="498" t="s">
        <v>7660</v>
      </c>
      <c r="F1531" s="498" t="s">
        <v>3638</v>
      </c>
      <c r="G1531" s="108">
        <f t="shared" si="23"/>
        <v>2</v>
      </c>
      <c r="H1531" s="862" t="s">
        <v>8764</v>
      </c>
    </row>
    <row r="1532" spans="1:8" ht="30">
      <c r="A1532" s="108" t="s">
        <v>6599</v>
      </c>
      <c r="B1532" s="497" t="s">
        <v>11169</v>
      </c>
      <c r="C1532" s="498" t="s">
        <v>7664</v>
      </c>
      <c r="D1532" s="498" t="s">
        <v>7665</v>
      </c>
      <c r="E1532" s="502" t="s">
        <v>7666</v>
      </c>
      <c r="F1532" s="498" t="s">
        <v>7667</v>
      </c>
      <c r="G1532" s="108">
        <f t="shared" si="23"/>
        <v>1</v>
      </c>
      <c r="H1532" s="862" t="s">
        <v>8761</v>
      </c>
    </row>
    <row r="1533" spans="1:8" ht="30">
      <c r="A1533" s="108" t="s">
        <v>6599</v>
      </c>
      <c r="B1533" s="497" t="s">
        <v>7668</v>
      </c>
      <c r="C1533" s="502" t="s">
        <v>7669</v>
      </c>
      <c r="D1533" s="502" t="s">
        <v>7670</v>
      </c>
      <c r="E1533" s="778" t="s">
        <v>7671</v>
      </c>
      <c r="F1533" s="778" t="s">
        <v>7672</v>
      </c>
      <c r="G1533" s="108">
        <f t="shared" si="23"/>
        <v>3</v>
      </c>
      <c r="H1533" s="862" t="s">
        <v>8766</v>
      </c>
    </row>
    <row r="1534" spans="1:8">
      <c r="A1534" s="108" t="s">
        <v>6599</v>
      </c>
      <c r="B1534" s="497" t="s">
        <v>7676</v>
      </c>
      <c r="C1534" s="502" t="s">
        <v>7677</v>
      </c>
      <c r="D1534" s="502" t="s">
        <v>7678</v>
      </c>
      <c r="E1534" s="502" t="s">
        <v>7679</v>
      </c>
      <c r="F1534" s="502" t="s">
        <v>7680</v>
      </c>
      <c r="G1534" s="108">
        <f t="shared" si="23"/>
        <v>3</v>
      </c>
      <c r="H1534" s="862" t="s">
        <v>8766</v>
      </c>
    </row>
    <row r="1535" spans="1:8" ht="30">
      <c r="A1535" s="108" t="s">
        <v>6599</v>
      </c>
      <c r="B1535" s="497" t="s">
        <v>11170</v>
      </c>
      <c r="C1535" s="144" t="s">
        <v>7682</v>
      </c>
      <c r="D1535" s="144" t="s">
        <v>7683</v>
      </c>
      <c r="E1535" s="144" t="s">
        <v>7684</v>
      </c>
      <c r="F1535" s="144" t="s">
        <v>209</v>
      </c>
      <c r="G1535" s="108">
        <f t="shared" si="23"/>
        <v>2</v>
      </c>
      <c r="H1535" s="862" t="s">
        <v>8764</v>
      </c>
    </row>
    <row r="1536" spans="1:8">
      <c r="A1536" s="108" t="s">
        <v>6599</v>
      </c>
      <c r="B1536" s="502" t="s">
        <v>11171</v>
      </c>
      <c r="C1536" s="498" t="s">
        <v>7686</v>
      </c>
      <c r="D1536" s="144" t="s">
        <v>7687</v>
      </c>
      <c r="E1536" s="144" t="s">
        <v>7394</v>
      </c>
      <c r="F1536" s="498" t="s">
        <v>3638</v>
      </c>
      <c r="G1536" s="108">
        <f t="shared" si="23"/>
        <v>3</v>
      </c>
      <c r="H1536" s="862" t="s">
        <v>8766</v>
      </c>
    </row>
    <row r="1537" spans="1:8">
      <c r="A1537" s="108" t="s">
        <v>6599</v>
      </c>
      <c r="B1537" s="502" t="s">
        <v>7692</v>
      </c>
      <c r="C1537" s="144" t="s">
        <v>7693</v>
      </c>
      <c r="D1537" s="144" t="s">
        <v>7683</v>
      </c>
      <c r="E1537" s="144" t="s">
        <v>7694</v>
      </c>
      <c r="F1537" s="144" t="s">
        <v>7695</v>
      </c>
      <c r="G1537" s="108">
        <f t="shared" si="23"/>
        <v>4</v>
      </c>
      <c r="H1537" s="862" t="s">
        <v>8763</v>
      </c>
    </row>
    <row r="1538" spans="1:8" ht="45">
      <c r="A1538" s="108" t="s">
        <v>6599</v>
      </c>
      <c r="B1538" s="497" t="s">
        <v>7696</v>
      </c>
      <c r="C1538" s="502" t="s">
        <v>7697</v>
      </c>
      <c r="D1538" s="502" t="s">
        <v>7698</v>
      </c>
      <c r="E1538" s="144" t="s">
        <v>7699</v>
      </c>
      <c r="F1538" s="498" t="s">
        <v>3638</v>
      </c>
      <c r="G1538" s="108">
        <f t="shared" si="23"/>
        <v>1</v>
      </c>
      <c r="H1538" s="862" t="s">
        <v>8761</v>
      </c>
    </row>
    <row r="1539" spans="1:8">
      <c r="A1539" s="108" t="s">
        <v>6599</v>
      </c>
      <c r="B1539" s="502" t="s">
        <v>11172</v>
      </c>
      <c r="C1539" s="502" t="s">
        <v>7703</v>
      </c>
      <c r="D1539" s="502" t="s">
        <v>7704</v>
      </c>
      <c r="E1539" s="502" t="s">
        <v>7705</v>
      </c>
      <c r="F1539" s="498" t="s">
        <v>3638</v>
      </c>
      <c r="G1539" s="108">
        <f t="shared" ref="G1539:G1602" si="24">IF(H1539="A",1,IF(H1539="B",2,IF(H1539="C",3,IF(H1539="D",4,0))))</f>
        <v>2</v>
      </c>
      <c r="H1539" s="862" t="s">
        <v>8764</v>
      </c>
    </row>
    <row r="1540" spans="1:8">
      <c r="A1540" s="108" t="s">
        <v>6599</v>
      </c>
      <c r="B1540" s="502" t="s">
        <v>11173</v>
      </c>
      <c r="C1540" s="502" t="s">
        <v>7618</v>
      </c>
      <c r="D1540" s="502" t="s">
        <v>7707</v>
      </c>
      <c r="E1540" s="502" t="s">
        <v>7708</v>
      </c>
      <c r="F1540" s="144" t="s">
        <v>7709</v>
      </c>
      <c r="G1540" s="108">
        <f t="shared" si="24"/>
        <v>3</v>
      </c>
      <c r="H1540" s="862" t="s">
        <v>8766</v>
      </c>
    </row>
    <row r="1541" spans="1:8" ht="75">
      <c r="A1541" s="108" t="s">
        <v>6599</v>
      </c>
      <c r="B1541" s="497" t="s">
        <v>7710</v>
      </c>
      <c r="C1541" s="502" t="s">
        <v>11174</v>
      </c>
      <c r="D1541" s="778" t="s">
        <v>7712</v>
      </c>
      <c r="E1541" s="778" t="s">
        <v>7713</v>
      </c>
      <c r="F1541" s="498" t="s">
        <v>1869</v>
      </c>
      <c r="G1541" s="108">
        <f t="shared" si="24"/>
        <v>4</v>
      </c>
      <c r="H1541" s="862" t="s">
        <v>8763</v>
      </c>
    </row>
    <row r="1542" spans="1:8" ht="30">
      <c r="A1542" s="108" t="s">
        <v>6599</v>
      </c>
      <c r="B1542" s="497" t="s">
        <v>7714</v>
      </c>
      <c r="C1542" s="502" t="s">
        <v>11175</v>
      </c>
      <c r="D1542" s="502" t="s">
        <v>7716</v>
      </c>
      <c r="E1542" s="502" t="s">
        <v>7717</v>
      </c>
      <c r="F1542" s="498" t="s">
        <v>1869</v>
      </c>
      <c r="G1542" s="108">
        <f t="shared" si="24"/>
        <v>4</v>
      </c>
      <c r="H1542" s="862" t="s">
        <v>8763</v>
      </c>
    </row>
    <row r="1543" spans="1:8" ht="30">
      <c r="A1543" s="108" t="s">
        <v>6599</v>
      </c>
      <c r="B1543" s="497" t="s">
        <v>11176</v>
      </c>
      <c r="C1543" s="502" t="s">
        <v>11177</v>
      </c>
      <c r="D1543" s="502" t="s">
        <v>11178</v>
      </c>
      <c r="E1543" s="502" t="s">
        <v>11179</v>
      </c>
      <c r="F1543" s="498" t="s">
        <v>3638</v>
      </c>
      <c r="G1543" s="108">
        <f t="shared" si="24"/>
        <v>1</v>
      </c>
      <c r="H1543" s="862" t="s">
        <v>8761</v>
      </c>
    </row>
    <row r="1544" spans="1:8" ht="30">
      <c r="A1544" s="108" t="s">
        <v>6599</v>
      </c>
      <c r="B1544" s="497" t="s">
        <v>11180</v>
      </c>
      <c r="C1544" s="502" t="s">
        <v>11177</v>
      </c>
      <c r="D1544" s="502" t="s">
        <v>11178</v>
      </c>
      <c r="E1544" s="502" t="s">
        <v>11179</v>
      </c>
      <c r="F1544" s="498" t="s">
        <v>3638</v>
      </c>
      <c r="G1544" s="108">
        <f t="shared" si="24"/>
        <v>1</v>
      </c>
      <c r="H1544" s="862" t="s">
        <v>8761</v>
      </c>
    </row>
    <row r="1545" spans="1:8" ht="45">
      <c r="A1545" s="108" t="s">
        <v>6599</v>
      </c>
      <c r="B1545" s="502" t="s">
        <v>11181</v>
      </c>
      <c r="C1545" s="502" t="s">
        <v>11182</v>
      </c>
      <c r="D1545" s="502" t="s">
        <v>11183</v>
      </c>
      <c r="E1545" s="502" t="s">
        <v>11184</v>
      </c>
      <c r="F1545" s="144" t="s">
        <v>11185</v>
      </c>
      <c r="G1545" s="108">
        <f t="shared" si="24"/>
        <v>3</v>
      </c>
      <c r="H1545" s="862" t="s">
        <v>8766</v>
      </c>
    </row>
    <row r="1546" spans="1:8">
      <c r="A1546" s="108" t="s">
        <v>6599</v>
      </c>
      <c r="B1546" s="502" t="s">
        <v>11186</v>
      </c>
      <c r="C1546" s="502" t="s">
        <v>11187</v>
      </c>
      <c r="D1546" s="502" t="s">
        <v>11188</v>
      </c>
      <c r="E1546" s="502" t="s">
        <v>11189</v>
      </c>
      <c r="F1546" s="498" t="s">
        <v>1869</v>
      </c>
      <c r="G1546" s="108">
        <f t="shared" si="24"/>
        <v>4</v>
      </c>
      <c r="H1546" s="862" t="s">
        <v>8763</v>
      </c>
    </row>
    <row r="1547" spans="1:8">
      <c r="A1547" s="108" t="s">
        <v>6599</v>
      </c>
      <c r="B1547" s="502" t="s">
        <v>11190</v>
      </c>
      <c r="C1547" s="778" t="s">
        <v>11191</v>
      </c>
      <c r="D1547" s="778" t="s">
        <v>11192</v>
      </c>
      <c r="E1547" s="778" t="s">
        <v>11193</v>
      </c>
      <c r="F1547" s="498" t="s">
        <v>1869</v>
      </c>
      <c r="G1547" s="108">
        <f t="shared" si="24"/>
        <v>4</v>
      </c>
      <c r="H1547" s="862" t="s">
        <v>8763</v>
      </c>
    </row>
    <row r="1548" spans="1:8" ht="30">
      <c r="A1548" s="108" t="s">
        <v>6599</v>
      </c>
      <c r="B1548" s="497" t="s">
        <v>11194</v>
      </c>
      <c r="C1548" s="502" t="s">
        <v>11195</v>
      </c>
      <c r="D1548" s="778" t="s">
        <v>11196</v>
      </c>
      <c r="E1548" s="778" t="s">
        <v>2074</v>
      </c>
      <c r="F1548" s="498" t="s">
        <v>3638</v>
      </c>
      <c r="G1548" s="108">
        <f t="shared" si="24"/>
        <v>3</v>
      </c>
      <c r="H1548" s="862" t="s">
        <v>8766</v>
      </c>
    </row>
    <row r="1549" spans="1:8" ht="30">
      <c r="A1549" s="108" t="s">
        <v>6599</v>
      </c>
      <c r="B1549" s="502" t="s">
        <v>11197</v>
      </c>
      <c r="C1549" s="502" t="s">
        <v>11198</v>
      </c>
      <c r="D1549" s="502" t="s">
        <v>11199</v>
      </c>
      <c r="E1549" s="502" t="s">
        <v>11200</v>
      </c>
      <c r="F1549" s="144" t="s">
        <v>11201</v>
      </c>
      <c r="G1549" s="108">
        <f t="shared" si="24"/>
        <v>3</v>
      </c>
      <c r="H1549" s="862" t="s">
        <v>8766</v>
      </c>
    </row>
    <row r="1550" spans="1:8">
      <c r="A1550" s="108" t="s">
        <v>6599</v>
      </c>
      <c r="B1550" s="502" t="s">
        <v>11202</v>
      </c>
      <c r="C1550" s="502" t="s">
        <v>11203</v>
      </c>
      <c r="D1550" s="502" t="s">
        <v>11204</v>
      </c>
      <c r="E1550" s="502" t="s">
        <v>11205</v>
      </c>
      <c r="F1550" s="144" t="s">
        <v>11206</v>
      </c>
      <c r="G1550" s="108">
        <f t="shared" si="24"/>
        <v>3</v>
      </c>
      <c r="H1550" s="862" t="s">
        <v>8766</v>
      </c>
    </row>
    <row r="1551" spans="1:8">
      <c r="A1551" s="108" t="s">
        <v>6599</v>
      </c>
      <c r="B1551" s="497" t="s">
        <v>11207</v>
      </c>
      <c r="C1551" s="502" t="s">
        <v>11208</v>
      </c>
      <c r="D1551" s="502" t="s">
        <v>11209</v>
      </c>
      <c r="E1551" s="502" t="s">
        <v>11210</v>
      </c>
      <c r="F1551" s="144" t="s">
        <v>11211</v>
      </c>
      <c r="G1551" s="108">
        <f t="shared" si="24"/>
        <v>4</v>
      </c>
      <c r="H1551" s="862" t="s">
        <v>8763</v>
      </c>
    </row>
    <row r="1552" spans="1:8" ht="60">
      <c r="A1552" s="108" t="s">
        <v>6599</v>
      </c>
      <c r="B1552" s="502" t="s">
        <v>11212</v>
      </c>
      <c r="C1552" s="144" t="s">
        <v>11213</v>
      </c>
      <c r="D1552" s="144" t="s">
        <v>11214</v>
      </c>
      <c r="E1552" s="144" t="s">
        <v>11215</v>
      </c>
      <c r="F1552" s="144" t="s">
        <v>11216</v>
      </c>
      <c r="G1552" s="108">
        <f t="shared" si="24"/>
        <v>2</v>
      </c>
      <c r="H1552" s="862" t="s">
        <v>8764</v>
      </c>
    </row>
    <row r="1553" spans="1:8" ht="60">
      <c r="A1553" s="108" t="s">
        <v>6599</v>
      </c>
      <c r="B1553" s="502" t="s">
        <v>11217</v>
      </c>
      <c r="C1553" s="144" t="s">
        <v>11218</v>
      </c>
      <c r="D1553" s="144" t="s">
        <v>11219</v>
      </c>
      <c r="E1553" s="144" t="s">
        <v>11220</v>
      </c>
      <c r="F1553" s="144" t="s">
        <v>11221</v>
      </c>
      <c r="G1553" s="108">
        <f t="shared" si="24"/>
        <v>1</v>
      </c>
      <c r="H1553" s="862" t="s">
        <v>8761</v>
      </c>
    </row>
    <row r="1554" spans="1:8" ht="45">
      <c r="A1554" s="108" t="s">
        <v>6599</v>
      </c>
      <c r="B1554" s="497" t="s">
        <v>11222</v>
      </c>
      <c r="C1554" s="502" t="s">
        <v>11223</v>
      </c>
      <c r="D1554" s="502" t="s">
        <v>11224</v>
      </c>
      <c r="E1554" s="502" t="s">
        <v>11225</v>
      </c>
      <c r="F1554" s="498" t="s">
        <v>3638</v>
      </c>
      <c r="G1554" s="108">
        <f t="shared" si="24"/>
        <v>2</v>
      </c>
      <c r="H1554" s="862" t="s">
        <v>8764</v>
      </c>
    </row>
    <row r="1555" spans="1:8" ht="30">
      <c r="A1555" s="108" t="s">
        <v>6599</v>
      </c>
      <c r="B1555" s="502" t="s">
        <v>11226</v>
      </c>
      <c r="C1555" s="502" t="s">
        <v>11227</v>
      </c>
      <c r="D1555" s="502" t="s">
        <v>8370</v>
      </c>
      <c r="E1555" s="502" t="s">
        <v>11228</v>
      </c>
      <c r="F1555" s="144" t="s">
        <v>11229</v>
      </c>
      <c r="G1555" s="108">
        <f t="shared" si="24"/>
        <v>1</v>
      </c>
      <c r="H1555" s="862" t="s">
        <v>8761</v>
      </c>
    </row>
    <row r="1556" spans="1:8">
      <c r="A1556" s="108" t="s">
        <v>6599</v>
      </c>
      <c r="B1556" s="497" t="s">
        <v>11230</v>
      </c>
      <c r="C1556" s="502" t="s">
        <v>11231</v>
      </c>
      <c r="D1556" s="502" t="s">
        <v>11232</v>
      </c>
      <c r="E1556" s="502" t="s">
        <v>11233</v>
      </c>
      <c r="F1556" s="498" t="s">
        <v>3638</v>
      </c>
      <c r="G1556" s="108">
        <f t="shared" si="24"/>
        <v>2</v>
      </c>
      <c r="H1556" s="862" t="s">
        <v>8764</v>
      </c>
    </row>
    <row r="1557" spans="1:8" ht="45">
      <c r="A1557" s="108" t="s">
        <v>6599</v>
      </c>
      <c r="B1557" s="502" t="s">
        <v>11234</v>
      </c>
      <c r="C1557" s="502" t="s">
        <v>11235</v>
      </c>
      <c r="D1557" s="502" t="s">
        <v>11236</v>
      </c>
      <c r="E1557" s="502" t="s">
        <v>2074</v>
      </c>
      <c r="F1557" s="498" t="s">
        <v>3638</v>
      </c>
      <c r="G1557" s="108">
        <f t="shared" si="24"/>
        <v>3</v>
      </c>
      <c r="H1557" s="862" t="s">
        <v>8766</v>
      </c>
    </row>
    <row r="1558" spans="1:8">
      <c r="A1558" s="108" t="s">
        <v>6599</v>
      </c>
      <c r="B1558" s="502" t="s">
        <v>11237</v>
      </c>
      <c r="C1558" s="502" t="s">
        <v>11238</v>
      </c>
      <c r="D1558" s="502" t="s">
        <v>11239</v>
      </c>
      <c r="E1558" s="502" t="s">
        <v>7701</v>
      </c>
      <c r="F1558" s="498" t="s">
        <v>1869</v>
      </c>
      <c r="G1558" s="108">
        <f t="shared" si="24"/>
        <v>4</v>
      </c>
      <c r="H1558" s="862" t="s">
        <v>8763</v>
      </c>
    </row>
    <row r="1559" spans="1:8">
      <c r="A1559" s="108" t="s">
        <v>6599</v>
      </c>
      <c r="B1559" s="502" t="s">
        <v>11240</v>
      </c>
      <c r="C1559" s="502" t="s">
        <v>11241</v>
      </c>
      <c r="D1559" s="502" t="s">
        <v>11242</v>
      </c>
      <c r="E1559" s="502" t="s">
        <v>2074</v>
      </c>
      <c r="F1559" s="498" t="s">
        <v>3638</v>
      </c>
      <c r="G1559" s="108">
        <f t="shared" si="24"/>
        <v>3</v>
      </c>
      <c r="H1559" s="862" t="s">
        <v>8766</v>
      </c>
    </row>
    <row r="1560" spans="1:8">
      <c r="A1560" s="108" t="s">
        <v>6599</v>
      </c>
      <c r="B1560" s="502" t="s">
        <v>11243</v>
      </c>
      <c r="C1560" s="502" t="s">
        <v>11244</v>
      </c>
      <c r="D1560" s="502" t="s">
        <v>11245</v>
      </c>
      <c r="E1560" s="502" t="s">
        <v>11246</v>
      </c>
      <c r="F1560" s="498" t="s">
        <v>1869</v>
      </c>
      <c r="G1560" s="108">
        <f t="shared" si="24"/>
        <v>4</v>
      </c>
      <c r="H1560" s="862" t="s">
        <v>8763</v>
      </c>
    </row>
    <row r="1561" spans="1:8" ht="30">
      <c r="A1561" s="108" t="s">
        <v>6599</v>
      </c>
      <c r="B1561" s="502" t="s">
        <v>11247</v>
      </c>
      <c r="C1561" s="502" t="s">
        <v>11244</v>
      </c>
      <c r="D1561" s="502" t="s">
        <v>11245</v>
      </c>
      <c r="E1561" s="502" t="s">
        <v>2074</v>
      </c>
      <c r="F1561" s="498" t="s">
        <v>3638</v>
      </c>
      <c r="G1561" s="108">
        <f t="shared" si="24"/>
        <v>3</v>
      </c>
      <c r="H1561" s="862" t="s">
        <v>8766</v>
      </c>
    </row>
    <row r="1562" spans="1:8" ht="25.5">
      <c r="A1562" s="108" t="s">
        <v>6599</v>
      </c>
      <c r="B1562" s="760" t="s">
        <v>11248</v>
      </c>
      <c r="C1562" s="761" t="s">
        <v>11249</v>
      </c>
      <c r="D1562" s="761" t="s">
        <v>11250</v>
      </c>
      <c r="E1562" s="761" t="s">
        <v>11251</v>
      </c>
      <c r="F1562" s="498" t="s">
        <v>1869</v>
      </c>
      <c r="G1562" s="108">
        <f t="shared" si="24"/>
        <v>3</v>
      </c>
      <c r="H1562" s="761" t="s">
        <v>8766</v>
      </c>
    </row>
    <row r="1563" spans="1:8">
      <c r="A1563" s="108" t="s">
        <v>6599</v>
      </c>
      <c r="B1563" s="760" t="s">
        <v>11252</v>
      </c>
      <c r="C1563" s="761" t="s">
        <v>11253</v>
      </c>
      <c r="D1563" s="761" t="s">
        <v>11254</v>
      </c>
      <c r="E1563" s="761" t="s">
        <v>11255</v>
      </c>
      <c r="F1563" s="498" t="s">
        <v>1869</v>
      </c>
      <c r="G1563" s="108">
        <f t="shared" si="24"/>
        <v>1</v>
      </c>
      <c r="H1563" s="761" t="s">
        <v>8761</v>
      </c>
    </row>
    <row r="1564" spans="1:8" ht="25.5">
      <c r="A1564" s="108" t="s">
        <v>6599</v>
      </c>
      <c r="B1564" s="760" t="s">
        <v>11256</v>
      </c>
      <c r="C1564" s="761" t="s">
        <v>11257</v>
      </c>
      <c r="D1564" s="761" t="s">
        <v>11258</v>
      </c>
      <c r="E1564" s="761" t="s">
        <v>11259</v>
      </c>
      <c r="F1564" s="498" t="s">
        <v>1869</v>
      </c>
      <c r="G1564" s="108">
        <f t="shared" si="24"/>
        <v>1</v>
      </c>
      <c r="H1564" s="761" t="s">
        <v>8761</v>
      </c>
    </row>
    <row r="1565" spans="1:8">
      <c r="A1565" s="108" t="s">
        <v>6599</v>
      </c>
      <c r="B1565" s="797" t="s">
        <v>11260</v>
      </c>
      <c r="C1565" s="958" t="s">
        <v>11261</v>
      </c>
      <c r="D1565" s="958" t="s">
        <v>11262</v>
      </c>
      <c r="E1565" s="958" t="s">
        <v>11263</v>
      </c>
      <c r="F1565" s="498" t="s">
        <v>3638</v>
      </c>
      <c r="G1565" s="108">
        <f t="shared" si="24"/>
        <v>4</v>
      </c>
      <c r="H1565" s="761" t="s">
        <v>8763</v>
      </c>
    </row>
    <row r="1566" spans="1:8">
      <c r="A1566" s="108" t="s">
        <v>11264</v>
      </c>
      <c r="B1566" s="331" t="s">
        <v>11265</v>
      </c>
      <c r="C1566" s="113" t="s">
        <v>11266</v>
      </c>
      <c r="D1566" s="113" t="s">
        <v>11267</v>
      </c>
      <c r="E1566" s="113" t="s">
        <v>11268</v>
      </c>
      <c r="F1566" s="113" t="s">
        <v>11269</v>
      </c>
      <c r="G1566" s="108">
        <f t="shared" si="24"/>
        <v>4</v>
      </c>
      <c r="H1566" s="862" t="s">
        <v>8763</v>
      </c>
    </row>
    <row r="1567" spans="1:8" ht="30">
      <c r="A1567" s="108" t="s">
        <v>11264</v>
      </c>
      <c r="B1567" s="497" t="s">
        <v>11270</v>
      </c>
      <c r="C1567" s="498" t="s">
        <v>11271</v>
      </c>
      <c r="D1567" s="498" t="s">
        <v>11272</v>
      </c>
      <c r="E1567" s="498" t="s">
        <v>11273</v>
      </c>
      <c r="F1567" s="498" t="s">
        <v>11274</v>
      </c>
      <c r="G1567" s="108">
        <f t="shared" si="24"/>
        <v>1</v>
      </c>
      <c r="H1567" s="862" t="s">
        <v>8761</v>
      </c>
    </row>
    <row r="1568" spans="1:8" ht="45">
      <c r="A1568" s="108" t="s">
        <v>11264</v>
      </c>
      <c r="B1568" s="497" t="s">
        <v>11275</v>
      </c>
      <c r="C1568" s="498" t="s">
        <v>11276</v>
      </c>
      <c r="D1568" s="498" t="s">
        <v>11277</v>
      </c>
      <c r="E1568" s="498" t="s">
        <v>11278</v>
      </c>
      <c r="F1568" s="498" t="s">
        <v>1869</v>
      </c>
      <c r="G1568" s="108">
        <f t="shared" si="24"/>
        <v>4</v>
      </c>
      <c r="H1568" s="862" t="s">
        <v>8763</v>
      </c>
    </row>
    <row r="1569" spans="1:8">
      <c r="A1569" s="108" t="s">
        <v>11264</v>
      </c>
      <c r="B1569" s="497" t="s">
        <v>11279</v>
      </c>
      <c r="C1569" s="498" t="s">
        <v>11280</v>
      </c>
      <c r="D1569" s="498" t="s">
        <v>11281</v>
      </c>
      <c r="E1569" s="498" t="s">
        <v>11282</v>
      </c>
      <c r="F1569" s="498" t="s">
        <v>1869</v>
      </c>
      <c r="G1569" s="108">
        <f t="shared" si="24"/>
        <v>4</v>
      </c>
      <c r="H1569" s="862" t="s">
        <v>8763</v>
      </c>
    </row>
    <row r="1570" spans="1:8" ht="30">
      <c r="A1570" s="108" t="s">
        <v>11264</v>
      </c>
      <c r="B1570" s="497" t="s">
        <v>11283</v>
      </c>
      <c r="C1570" s="498" t="s">
        <v>11284</v>
      </c>
      <c r="D1570" s="498" t="s">
        <v>11285</v>
      </c>
      <c r="E1570" s="498" t="s">
        <v>702</v>
      </c>
      <c r="F1570" s="498" t="s">
        <v>8765</v>
      </c>
      <c r="G1570" s="108">
        <f t="shared" si="24"/>
        <v>1</v>
      </c>
      <c r="H1570" s="862" t="s">
        <v>8761</v>
      </c>
    </row>
    <row r="1571" spans="1:8" ht="45">
      <c r="A1571" s="108" t="s">
        <v>11264</v>
      </c>
      <c r="B1571" s="497" t="s">
        <v>11286</v>
      </c>
      <c r="C1571" s="498" t="s">
        <v>11287</v>
      </c>
      <c r="D1571" s="498" t="s">
        <v>11288</v>
      </c>
      <c r="E1571" s="498" t="s">
        <v>11289</v>
      </c>
      <c r="F1571" s="498" t="s">
        <v>11290</v>
      </c>
      <c r="G1571" s="108">
        <f t="shared" si="24"/>
        <v>3</v>
      </c>
      <c r="H1571" s="862" t="s">
        <v>8766</v>
      </c>
    </row>
    <row r="1572" spans="1:8" ht="30">
      <c r="A1572" s="108" t="s">
        <v>11264</v>
      </c>
      <c r="B1572" s="497" t="s">
        <v>11291</v>
      </c>
      <c r="C1572" s="498" t="s">
        <v>2496</v>
      </c>
      <c r="D1572" s="498" t="s">
        <v>7571</v>
      </c>
      <c r="E1572" s="498" t="s">
        <v>11292</v>
      </c>
      <c r="F1572" s="498" t="s">
        <v>11293</v>
      </c>
      <c r="G1572" s="108">
        <f t="shared" si="24"/>
        <v>2</v>
      </c>
      <c r="H1572" s="862" t="s">
        <v>8764</v>
      </c>
    </row>
    <row r="1573" spans="1:8" ht="30">
      <c r="A1573" s="108" t="s">
        <v>11264</v>
      </c>
      <c r="B1573" s="497" t="s">
        <v>11294</v>
      </c>
      <c r="C1573" s="498" t="s">
        <v>11288</v>
      </c>
      <c r="D1573" s="498" t="s">
        <v>11281</v>
      </c>
      <c r="E1573" s="498" t="s">
        <v>11280</v>
      </c>
      <c r="F1573" s="498" t="s">
        <v>8765</v>
      </c>
      <c r="G1573" s="108">
        <f t="shared" si="24"/>
        <v>3</v>
      </c>
      <c r="H1573" s="862" t="s">
        <v>8766</v>
      </c>
    </row>
    <row r="1574" spans="1:8" ht="45">
      <c r="A1574" s="108" t="s">
        <v>11264</v>
      </c>
      <c r="B1574" s="331" t="s">
        <v>11295</v>
      </c>
      <c r="C1574" s="113" t="s">
        <v>11296</v>
      </c>
      <c r="D1574" s="113" t="s">
        <v>11297</v>
      </c>
      <c r="E1574" s="113" t="s">
        <v>11298</v>
      </c>
      <c r="F1574" s="113" t="s">
        <v>11299</v>
      </c>
      <c r="G1574" s="108">
        <f t="shared" si="24"/>
        <v>3</v>
      </c>
      <c r="H1574" s="862" t="s">
        <v>8766</v>
      </c>
    </row>
    <row r="1575" spans="1:8" ht="30">
      <c r="A1575" s="108" t="s">
        <v>11264</v>
      </c>
      <c r="B1575" s="331" t="s">
        <v>11300</v>
      </c>
      <c r="C1575" s="113" t="s">
        <v>11272</v>
      </c>
      <c r="D1575" s="113" t="s">
        <v>11301</v>
      </c>
      <c r="E1575" s="113" t="s">
        <v>11274</v>
      </c>
      <c r="F1575" s="113" t="s">
        <v>11273</v>
      </c>
      <c r="G1575" s="108">
        <f t="shared" si="24"/>
        <v>2</v>
      </c>
      <c r="H1575" s="862" t="s">
        <v>8764</v>
      </c>
    </row>
    <row r="1576" spans="1:8" ht="30">
      <c r="A1576" s="108" t="s">
        <v>11264</v>
      </c>
      <c r="B1576" s="331" t="s">
        <v>11302</v>
      </c>
      <c r="C1576" s="113" t="s">
        <v>11274</v>
      </c>
      <c r="D1576" s="113" t="s">
        <v>11303</v>
      </c>
      <c r="E1576" s="113" t="s">
        <v>11304</v>
      </c>
      <c r="F1576" s="498" t="s">
        <v>8765</v>
      </c>
      <c r="G1576" s="108">
        <f t="shared" si="24"/>
        <v>1</v>
      </c>
      <c r="H1576" s="862" t="s">
        <v>8761</v>
      </c>
    </row>
    <row r="1577" spans="1:8" ht="30">
      <c r="A1577" s="108" t="s">
        <v>11264</v>
      </c>
      <c r="B1577" s="331" t="s">
        <v>11305</v>
      </c>
      <c r="C1577" s="113" t="s">
        <v>11274</v>
      </c>
      <c r="D1577" s="113" t="s">
        <v>11303</v>
      </c>
      <c r="E1577" s="113" t="s">
        <v>11304</v>
      </c>
      <c r="F1577" s="498" t="s">
        <v>8765</v>
      </c>
      <c r="G1577" s="108">
        <f t="shared" si="24"/>
        <v>2</v>
      </c>
      <c r="H1577" s="862" t="s">
        <v>8764</v>
      </c>
    </row>
    <row r="1578" spans="1:8" ht="30">
      <c r="A1578" s="108" t="s">
        <v>11264</v>
      </c>
      <c r="B1578" s="331" t="s">
        <v>11306</v>
      </c>
      <c r="C1578" s="113" t="s">
        <v>11274</v>
      </c>
      <c r="D1578" s="113" t="s">
        <v>11303</v>
      </c>
      <c r="E1578" s="113" t="s">
        <v>11304</v>
      </c>
      <c r="F1578" s="498" t="s">
        <v>8765</v>
      </c>
      <c r="G1578" s="108">
        <f t="shared" si="24"/>
        <v>2</v>
      </c>
      <c r="H1578" s="862" t="s">
        <v>8764</v>
      </c>
    </row>
    <row r="1579" spans="1:8" ht="30">
      <c r="A1579" s="108" t="s">
        <v>11264</v>
      </c>
      <c r="B1579" s="331" t="s">
        <v>11307</v>
      </c>
      <c r="C1579" s="113" t="s">
        <v>11274</v>
      </c>
      <c r="D1579" s="113" t="s">
        <v>11303</v>
      </c>
      <c r="E1579" s="113" t="s">
        <v>11304</v>
      </c>
      <c r="F1579" s="498" t="s">
        <v>8765</v>
      </c>
      <c r="G1579" s="108">
        <f t="shared" si="24"/>
        <v>3</v>
      </c>
      <c r="H1579" s="862" t="s">
        <v>8766</v>
      </c>
    </row>
    <row r="1580" spans="1:8" ht="30">
      <c r="A1580" s="108" t="s">
        <v>11264</v>
      </c>
      <c r="B1580" s="331" t="s">
        <v>11308</v>
      </c>
      <c r="C1580" s="113" t="s">
        <v>11309</v>
      </c>
      <c r="D1580" s="113" t="s">
        <v>11310</v>
      </c>
      <c r="E1580" s="113" t="s">
        <v>7394</v>
      </c>
      <c r="F1580" s="498" t="s">
        <v>8765</v>
      </c>
      <c r="G1580" s="108">
        <f t="shared" si="24"/>
        <v>3</v>
      </c>
      <c r="H1580" s="862" t="s">
        <v>8766</v>
      </c>
    </row>
    <row r="1581" spans="1:8" ht="30">
      <c r="A1581" s="108" t="s">
        <v>11264</v>
      </c>
      <c r="B1581" s="331" t="s">
        <v>11311</v>
      </c>
      <c r="C1581" s="113" t="s">
        <v>11297</v>
      </c>
      <c r="D1581" s="113" t="s">
        <v>11299</v>
      </c>
      <c r="E1581" s="113" t="s">
        <v>8493</v>
      </c>
      <c r="F1581" s="113" t="s">
        <v>11312</v>
      </c>
      <c r="G1581" s="108">
        <f t="shared" si="24"/>
        <v>3</v>
      </c>
      <c r="H1581" s="862" t="s">
        <v>8766</v>
      </c>
    </row>
    <row r="1582" spans="1:8" ht="30">
      <c r="A1582" s="108" t="s">
        <v>11264</v>
      </c>
      <c r="B1582" s="331" t="s">
        <v>11313</v>
      </c>
      <c r="C1582" s="113" t="s">
        <v>11297</v>
      </c>
      <c r="D1582" s="113" t="s">
        <v>8493</v>
      </c>
      <c r="E1582" s="113" t="s">
        <v>11299</v>
      </c>
      <c r="F1582" s="113" t="s">
        <v>11312</v>
      </c>
      <c r="G1582" s="108">
        <f t="shared" si="24"/>
        <v>2</v>
      </c>
      <c r="H1582" s="862" t="s">
        <v>8764</v>
      </c>
    </row>
    <row r="1583" spans="1:8" ht="30">
      <c r="A1583" s="108" t="s">
        <v>11264</v>
      </c>
      <c r="B1583" s="331" t="s">
        <v>11314</v>
      </c>
      <c r="C1583" s="113" t="s">
        <v>11315</v>
      </c>
      <c r="D1583" s="113" t="s">
        <v>11316</v>
      </c>
      <c r="E1583" s="113" t="s">
        <v>11317</v>
      </c>
      <c r="F1583" s="113" t="s">
        <v>7486</v>
      </c>
      <c r="G1583" s="108">
        <f t="shared" si="24"/>
        <v>1</v>
      </c>
      <c r="H1583" s="862" t="s">
        <v>8761</v>
      </c>
    </row>
    <row r="1584" spans="1:8" ht="30">
      <c r="A1584" s="108" t="s">
        <v>11264</v>
      </c>
      <c r="B1584" s="331" t="s">
        <v>11318</v>
      </c>
      <c r="C1584" s="113" t="s">
        <v>11319</v>
      </c>
      <c r="D1584" s="113" t="s">
        <v>11320</v>
      </c>
      <c r="E1584" s="113" t="s">
        <v>11321</v>
      </c>
      <c r="F1584" s="498" t="s">
        <v>8765</v>
      </c>
      <c r="G1584" s="108">
        <f t="shared" si="24"/>
        <v>1</v>
      </c>
      <c r="H1584" s="862" t="s">
        <v>8761</v>
      </c>
    </row>
    <row r="1585" spans="1:8" ht="30">
      <c r="A1585" s="108" t="s">
        <v>11264</v>
      </c>
      <c r="B1585" s="331" t="s">
        <v>11322</v>
      </c>
      <c r="C1585" s="113" t="s">
        <v>11319</v>
      </c>
      <c r="D1585" s="113" t="s">
        <v>11320</v>
      </c>
      <c r="E1585" s="113" t="s">
        <v>11321</v>
      </c>
      <c r="F1585" s="498" t="s">
        <v>8765</v>
      </c>
      <c r="G1585" s="108">
        <f t="shared" si="24"/>
        <v>3</v>
      </c>
      <c r="H1585" s="862" t="s">
        <v>8766</v>
      </c>
    </row>
    <row r="1586" spans="1:8" ht="30">
      <c r="A1586" s="108" t="s">
        <v>11264</v>
      </c>
      <c r="B1586" s="331" t="s">
        <v>11323</v>
      </c>
      <c r="C1586" s="113" t="s">
        <v>11324</v>
      </c>
      <c r="D1586" s="113" t="s">
        <v>11325</v>
      </c>
      <c r="E1586" s="113" t="s">
        <v>11326</v>
      </c>
      <c r="F1586" s="498" t="s">
        <v>8765</v>
      </c>
      <c r="G1586" s="108">
        <f t="shared" si="24"/>
        <v>1</v>
      </c>
      <c r="H1586" s="862" t="s">
        <v>8761</v>
      </c>
    </row>
    <row r="1587" spans="1:8" ht="30">
      <c r="A1587" s="108" t="s">
        <v>11264</v>
      </c>
      <c r="B1587" s="331" t="s">
        <v>11327</v>
      </c>
      <c r="C1587" s="113" t="s">
        <v>11324</v>
      </c>
      <c r="D1587" s="113" t="s">
        <v>11325</v>
      </c>
      <c r="E1587" s="113" t="s">
        <v>11326</v>
      </c>
      <c r="F1587" s="498" t="s">
        <v>8765</v>
      </c>
      <c r="G1587" s="108">
        <f t="shared" si="24"/>
        <v>2</v>
      </c>
      <c r="H1587" s="862" t="s">
        <v>8764</v>
      </c>
    </row>
    <row r="1588" spans="1:8">
      <c r="A1588" s="108" t="s">
        <v>7719</v>
      </c>
      <c r="B1588" s="959" t="s">
        <v>7735</v>
      </c>
      <c r="C1588" s="959" t="s">
        <v>7736</v>
      </c>
      <c r="D1588" s="959" t="s">
        <v>7737</v>
      </c>
      <c r="E1588" s="959" t="s">
        <v>7738</v>
      </c>
      <c r="F1588" s="959" t="s">
        <v>457</v>
      </c>
      <c r="G1588" s="108">
        <f t="shared" si="24"/>
        <v>4</v>
      </c>
      <c r="H1588" s="959" t="s">
        <v>8763</v>
      </c>
    </row>
    <row r="1589" spans="1:8">
      <c r="A1589" s="108" t="s">
        <v>7719</v>
      </c>
      <c r="B1589" s="959" t="s">
        <v>7739</v>
      </c>
      <c r="C1589" s="959" t="s">
        <v>7740</v>
      </c>
      <c r="D1589" s="959" t="s">
        <v>7741</v>
      </c>
      <c r="E1589" s="959" t="s">
        <v>7742</v>
      </c>
      <c r="F1589" s="959" t="s">
        <v>7743</v>
      </c>
      <c r="G1589" s="108">
        <f t="shared" si="24"/>
        <v>1</v>
      </c>
      <c r="H1589" s="959" t="s">
        <v>8761</v>
      </c>
    </row>
    <row r="1590" spans="1:8">
      <c r="A1590" s="108" t="s">
        <v>7719</v>
      </c>
      <c r="B1590" s="959" t="s">
        <v>7749</v>
      </c>
      <c r="C1590" s="959" t="s">
        <v>7750</v>
      </c>
      <c r="D1590" s="959" t="s">
        <v>7751</v>
      </c>
      <c r="E1590" s="959" t="s">
        <v>7752</v>
      </c>
      <c r="F1590" s="959" t="s">
        <v>7753</v>
      </c>
      <c r="G1590" s="108">
        <f t="shared" si="24"/>
        <v>3</v>
      </c>
      <c r="H1590" s="959" t="s">
        <v>8766</v>
      </c>
    </row>
    <row r="1591" spans="1:8">
      <c r="A1591" s="108" t="s">
        <v>7719</v>
      </c>
      <c r="B1591" s="959" t="s">
        <v>11328</v>
      </c>
      <c r="C1591" s="959" t="s">
        <v>7765</v>
      </c>
      <c r="D1591" s="959" t="s">
        <v>7766</v>
      </c>
      <c r="E1591" s="959" t="s">
        <v>7767</v>
      </c>
      <c r="F1591" s="959" t="s">
        <v>5234</v>
      </c>
      <c r="G1591" s="108">
        <f t="shared" si="24"/>
        <v>4</v>
      </c>
      <c r="H1591" s="959" t="s">
        <v>8763</v>
      </c>
    </row>
    <row r="1592" spans="1:8" ht="25.5">
      <c r="A1592" s="108" t="s">
        <v>7719</v>
      </c>
      <c r="B1592" s="959" t="s">
        <v>7789</v>
      </c>
      <c r="C1592" s="959" t="s">
        <v>7790</v>
      </c>
      <c r="D1592" s="959" t="s">
        <v>7791</v>
      </c>
      <c r="E1592" s="959" t="s">
        <v>7792</v>
      </c>
      <c r="F1592" s="959" t="s">
        <v>7793</v>
      </c>
      <c r="G1592" s="108">
        <f t="shared" si="24"/>
        <v>2</v>
      </c>
      <c r="H1592" s="959" t="s">
        <v>8764</v>
      </c>
    </row>
    <row r="1593" spans="1:8" ht="25.5">
      <c r="A1593" s="108" t="s">
        <v>7719</v>
      </c>
      <c r="B1593" s="959" t="s">
        <v>7823</v>
      </c>
      <c r="C1593" s="959" t="s">
        <v>7824</v>
      </c>
      <c r="D1593" s="959" t="s">
        <v>7825</v>
      </c>
      <c r="E1593" s="959" t="s">
        <v>7826</v>
      </c>
      <c r="F1593" s="959" t="s">
        <v>7827</v>
      </c>
      <c r="G1593" s="108">
        <f t="shared" si="24"/>
        <v>3</v>
      </c>
      <c r="H1593" s="959" t="s">
        <v>8766</v>
      </c>
    </row>
    <row r="1594" spans="1:8" ht="25.5">
      <c r="A1594" s="108" t="s">
        <v>7719</v>
      </c>
      <c r="B1594" s="959" t="s">
        <v>7835</v>
      </c>
      <c r="C1594" s="959" t="s">
        <v>7836</v>
      </c>
      <c r="D1594" s="959" t="s">
        <v>7837</v>
      </c>
      <c r="E1594" s="959" t="s">
        <v>7838</v>
      </c>
      <c r="F1594" s="959" t="s">
        <v>468</v>
      </c>
      <c r="G1594" s="108">
        <f t="shared" si="24"/>
        <v>1</v>
      </c>
      <c r="H1594" s="959" t="s">
        <v>8761</v>
      </c>
    </row>
    <row r="1595" spans="1:8" ht="25.5">
      <c r="A1595" s="108" t="s">
        <v>7719</v>
      </c>
      <c r="B1595" s="959" t="s">
        <v>7852</v>
      </c>
      <c r="C1595" s="959" t="s">
        <v>7853</v>
      </c>
      <c r="D1595" s="959" t="s">
        <v>7841</v>
      </c>
      <c r="E1595" s="959" t="s">
        <v>7854</v>
      </c>
      <c r="F1595" s="959" t="s">
        <v>468</v>
      </c>
      <c r="G1595" s="108">
        <f t="shared" si="24"/>
        <v>3</v>
      </c>
      <c r="H1595" s="959" t="s">
        <v>8766</v>
      </c>
    </row>
    <row r="1596" spans="1:8" ht="25.5">
      <c r="A1596" s="108" t="s">
        <v>7719</v>
      </c>
      <c r="B1596" s="959" t="s">
        <v>7900</v>
      </c>
      <c r="C1596" s="959" t="s">
        <v>7901</v>
      </c>
      <c r="D1596" s="959" t="s">
        <v>7902</v>
      </c>
      <c r="E1596" s="959" t="s">
        <v>7903</v>
      </c>
      <c r="F1596" s="959" t="s">
        <v>7904</v>
      </c>
      <c r="G1596" s="108">
        <f t="shared" si="24"/>
        <v>1</v>
      </c>
      <c r="H1596" s="959" t="s">
        <v>8761</v>
      </c>
    </row>
    <row r="1597" spans="1:8" ht="25.5">
      <c r="A1597" s="108" t="s">
        <v>7719</v>
      </c>
      <c r="B1597" s="959" t="s">
        <v>7905</v>
      </c>
      <c r="C1597" s="959" t="s">
        <v>7906</v>
      </c>
      <c r="D1597" s="959" t="s">
        <v>7907</v>
      </c>
      <c r="E1597" s="959" t="s">
        <v>7908</v>
      </c>
      <c r="F1597" s="959" t="s">
        <v>7909</v>
      </c>
      <c r="G1597" s="108">
        <f t="shared" si="24"/>
        <v>2</v>
      </c>
      <c r="H1597" s="959" t="s">
        <v>8764</v>
      </c>
    </row>
    <row r="1598" spans="1:8" ht="25.5">
      <c r="A1598" s="108" t="s">
        <v>7719</v>
      </c>
      <c r="B1598" s="959" t="s">
        <v>11329</v>
      </c>
      <c r="C1598" s="959" t="s">
        <v>7913</v>
      </c>
      <c r="D1598" s="959" t="s">
        <v>7914</v>
      </c>
      <c r="E1598" s="959" t="s">
        <v>7915</v>
      </c>
      <c r="F1598" s="959" t="s">
        <v>7916</v>
      </c>
      <c r="G1598" s="108">
        <f t="shared" si="24"/>
        <v>2</v>
      </c>
      <c r="H1598" s="959" t="s">
        <v>8764</v>
      </c>
    </row>
    <row r="1599" spans="1:8">
      <c r="A1599" s="108" t="s">
        <v>7719</v>
      </c>
      <c r="B1599" s="959" t="s">
        <v>7918</v>
      </c>
      <c r="C1599" s="959" t="s">
        <v>7919</v>
      </c>
      <c r="D1599" s="959" t="s">
        <v>7920</v>
      </c>
      <c r="E1599" s="959" t="s">
        <v>7921</v>
      </c>
      <c r="F1599" s="959" t="s">
        <v>5234</v>
      </c>
      <c r="G1599" s="108">
        <f t="shared" si="24"/>
        <v>4</v>
      </c>
      <c r="H1599" s="959" t="s">
        <v>8763</v>
      </c>
    </row>
    <row r="1600" spans="1:8" ht="25.5">
      <c r="A1600" s="108" t="s">
        <v>7719</v>
      </c>
      <c r="B1600" s="959" t="s">
        <v>7922</v>
      </c>
      <c r="C1600" s="959" t="s">
        <v>7923</v>
      </c>
      <c r="D1600" s="959" t="s">
        <v>7924</v>
      </c>
      <c r="E1600" s="959" t="s">
        <v>7925</v>
      </c>
      <c r="F1600" s="959" t="s">
        <v>7926</v>
      </c>
      <c r="G1600" s="108">
        <f t="shared" si="24"/>
        <v>1</v>
      </c>
      <c r="H1600" s="959" t="s">
        <v>8761</v>
      </c>
    </row>
    <row r="1601" spans="1:8" ht="25.5">
      <c r="A1601" s="108" t="s">
        <v>7719</v>
      </c>
      <c r="B1601" s="959" t="s">
        <v>7937</v>
      </c>
      <c r="C1601" s="959" t="s">
        <v>7938</v>
      </c>
      <c r="D1601" s="959" t="s">
        <v>7939</v>
      </c>
      <c r="E1601" s="959" t="s">
        <v>7940</v>
      </c>
      <c r="F1601" s="959" t="s">
        <v>7941</v>
      </c>
      <c r="G1601" s="108">
        <f t="shared" si="24"/>
        <v>4</v>
      </c>
      <c r="H1601" s="959" t="s">
        <v>8763</v>
      </c>
    </row>
    <row r="1602" spans="1:8" ht="25.5">
      <c r="A1602" s="108" t="s">
        <v>7719</v>
      </c>
      <c r="B1602" s="959" t="s">
        <v>7950</v>
      </c>
      <c r="C1602" s="959" t="s">
        <v>7951</v>
      </c>
      <c r="D1602" s="959" t="s">
        <v>7952</v>
      </c>
      <c r="E1602" s="959" t="s">
        <v>7953</v>
      </c>
      <c r="F1602" s="959" t="s">
        <v>7762</v>
      </c>
      <c r="G1602" s="108">
        <f t="shared" si="24"/>
        <v>1</v>
      </c>
      <c r="H1602" s="959" t="s">
        <v>8761</v>
      </c>
    </row>
    <row r="1603" spans="1:8">
      <c r="A1603" s="108" t="s">
        <v>7719</v>
      </c>
      <c r="B1603" s="959" t="s">
        <v>7973</v>
      </c>
      <c r="C1603" s="959" t="s">
        <v>11330</v>
      </c>
      <c r="D1603" s="959" t="s">
        <v>7975</v>
      </c>
      <c r="E1603" s="959" t="s">
        <v>7976</v>
      </c>
      <c r="F1603" s="959">
        <v>123</v>
      </c>
      <c r="G1603" s="108">
        <f t="shared" ref="G1603:G1659" si="25">IF(H1603="A",1,IF(H1603="B",2,IF(H1603="C",3,IF(H1603="D",4,0))))</f>
        <v>1</v>
      </c>
      <c r="H1603" s="959" t="s">
        <v>8761</v>
      </c>
    </row>
    <row r="1604" spans="1:8">
      <c r="A1604" s="108" t="s">
        <v>7719</v>
      </c>
      <c r="B1604" s="959" t="s">
        <v>7984</v>
      </c>
      <c r="C1604" s="959">
        <v>256</v>
      </c>
      <c r="D1604" s="959">
        <v>1024</v>
      </c>
      <c r="E1604" s="959">
        <v>32000</v>
      </c>
      <c r="F1604" s="959">
        <v>65535</v>
      </c>
      <c r="G1604" s="108">
        <f t="shared" si="25"/>
        <v>3</v>
      </c>
      <c r="H1604" s="959" t="s">
        <v>8766</v>
      </c>
    </row>
    <row r="1605" spans="1:8">
      <c r="A1605" s="108" t="s">
        <v>7719</v>
      </c>
      <c r="B1605" s="959" t="s">
        <v>7985</v>
      </c>
      <c r="C1605" s="959">
        <v>256</v>
      </c>
      <c r="D1605" s="959">
        <v>1024</v>
      </c>
      <c r="E1605" s="959">
        <v>32000</v>
      </c>
      <c r="F1605" s="959">
        <v>65536</v>
      </c>
      <c r="G1605" s="108">
        <f t="shared" si="25"/>
        <v>4</v>
      </c>
      <c r="H1605" s="959" t="s">
        <v>8763</v>
      </c>
    </row>
    <row r="1606" spans="1:8">
      <c r="A1606" s="108" t="s">
        <v>7719</v>
      </c>
      <c r="B1606" s="959" t="s">
        <v>7986</v>
      </c>
      <c r="C1606" s="959">
        <v>128</v>
      </c>
      <c r="D1606" s="959">
        <v>256</v>
      </c>
      <c r="E1606" s="959">
        <v>512</v>
      </c>
      <c r="F1606" s="959">
        <v>1024</v>
      </c>
      <c r="G1606" s="108">
        <f t="shared" si="25"/>
        <v>4</v>
      </c>
      <c r="H1606" s="959" t="s">
        <v>8763</v>
      </c>
    </row>
    <row r="1607" spans="1:8">
      <c r="A1607" s="108" t="s">
        <v>7719</v>
      </c>
      <c r="B1607" s="959" t="s">
        <v>7987</v>
      </c>
      <c r="C1607" s="959" t="s">
        <v>7988</v>
      </c>
      <c r="D1607" s="959" t="s">
        <v>7989</v>
      </c>
      <c r="E1607" s="959" t="s">
        <v>7990</v>
      </c>
      <c r="F1607" s="959" t="s">
        <v>7991</v>
      </c>
      <c r="G1607" s="108">
        <f t="shared" si="25"/>
        <v>2</v>
      </c>
      <c r="H1607" s="959" t="s">
        <v>8764</v>
      </c>
    </row>
    <row r="1608" spans="1:8" ht="25.5">
      <c r="A1608" s="108" t="s">
        <v>7719</v>
      </c>
      <c r="B1608" s="959" t="s">
        <v>8002</v>
      </c>
      <c r="C1608" s="959" t="s">
        <v>8003</v>
      </c>
      <c r="D1608" s="959" t="s">
        <v>8004</v>
      </c>
      <c r="E1608" s="959" t="s">
        <v>8005</v>
      </c>
      <c r="F1608" s="959" t="s">
        <v>8006</v>
      </c>
      <c r="G1608" s="108">
        <f t="shared" si="25"/>
        <v>2</v>
      </c>
      <c r="H1608" s="959" t="s">
        <v>8764</v>
      </c>
    </row>
    <row r="1609" spans="1:8">
      <c r="A1609" s="108" t="s">
        <v>7719</v>
      </c>
      <c r="B1609" s="959" t="s">
        <v>8007</v>
      </c>
      <c r="C1609" s="959" t="s">
        <v>8008</v>
      </c>
      <c r="D1609" s="959" t="s">
        <v>8009</v>
      </c>
      <c r="E1609" s="959" t="s">
        <v>8010</v>
      </c>
      <c r="F1609" s="959" t="s">
        <v>8011</v>
      </c>
      <c r="G1609" s="108">
        <f t="shared" si="25"/>
        <v>3</v>
      </c>
      <c r="H1609" s="959" t="s">
        <v>8766</v>
      </c>
    </row>
    <row r="1610" spans="1:8">
      <c r="A1610" s="108" t="s">
        <v>7719</v>
      </c>
      <c r="B1610" s="959" t="s">
        <v>8020</v>
      </c>
      <c r="C1610" s="959" t="s">
        <v>8021</v>
      </c>
      <c r="D1610" s="959" t="s">
        <v>8022</v>
      </c>
      <c r="E1610" s="959" t="s">
        <v>8023</v>
      </c>
      <c r="F1610" s="959" t="s">
        <v>8024</v>
      </c>
      <c r="G1610" s="108">
        <f t="shared" si="25"/>
        <v>3</v>
      </c>
      <c r="H1610" s="959" t="s">
        <v>8766</v>
      </c>
    </row>
    <row r="1611" spans="1:8">
      <c r="A1611" s="108" t="s">
        <v>7719</v>
      </c>
      <c r="B1611" s="959" t="s">
        <v>8025</v>
      </c>
      <c r="C1611" s="959" t="s">
        <v>8026</v>
      </c>
      <c r="D1611" s="959" t="s">
        <v>8027</v>
      </c>
      <c r="E1611" s="959" t="s">
        <v>8028</v>
      </c>
      <c r="F1611" s="959" t="s">
        <v>8029</v>
      </c>
      <c r="G1611" s="108">
        <f t="shared" si="25"/>
        <v>1</v>
      </c>
      <c r="H1611" s="959" t="s">
        <v>8761</v>
      </c>
    </row>
    <row r="1612" spans="1:8">
      <c r="A1612" s="108" t="s">
        <v>7719</v>
      </c>
      <c r="B1612" s="959" t="s">
        <v>8030</v>
      </c>
      <c r="C1612" s="959" t="s">
        <v>8031</v>
      </c>
      <c r="D1612" s="959" t="s">
        <v>8032</v>
      </c>
      <c r="E1612" s="959" t="s">
        <v>8033</v>
      </c>
      <c r="F1612" s="959" t="s">
        <v>8034</v>
      </c>
      <c r="G1612" s="108">
        <f t="shared" si="25"/>
        <v>4</v>
      </c>
      <c r="H1612" s="959" t="s">
        <v>8763</v>
      </c>
    </row>
    <row r="1613" spans="1:8" ht="51">
      <c r="A1613" s="108" t="s">
        <v>7719</v>
      </c>
      <c r="B1613" s="959" t="s">
        <v>8035</v>
      </c>
      <c r="C1613" s="959" t="s">
        <v>8036</v>
      </c>
      <c r="D1613" s="959" t="s">
        <v>8037</v>
      </c>
      <c r="E1613" s="959" t="s">
        <v>7896</v>
      </c>
      <c r="F1613" s="959" t="s">
        <v>1437</v>
      </c>
      <c r="G1613" s="108">
        <f t="shared" si="25"/>
        <v>1</v>
      </c>
      <c r="H1613" s="959" t="s">
        <v>8761</v>
      </c>
    </row>
    <row r="1614" spans="1:8">
      <c r="A1614" s="108" t="s">
        <v>7719</v>
      </c>
      <c r="B1614" s="959" t="s">
        <v>8045</v>
      </c>
      <c r="C1614" s="959" t="s">
        <v>8046</v>
      </c>
      <c r="D1614" s="959" t="s">
        <v>8047</v>
      </c>
      <c r="E1614" s="959" t="s">
        <v>8048</v>
      </c>
      <c r="F1614" s="959" t="s">
        <v>1437</v>
      </c>
      <c r="G1614" s="108">
        <f t="shared" si="25"/>
        <v>1</v>
      </c>
      <c r="H1614" s="959" t="s">
        <v>8761</v>
      </c>
    </row>
    <row r="1615" spans="1:8" ht="25.5">
      <c r="A1615" s="108" t="s">
        <v>7719</v>
      </c>
      <c r="B1615" s="959" t="s">
        <v>8053</v>
      </c>
      <c r="C1615" s="959" t="s">
        <v>8054</v>
      </c>
      <c r="D1615" s="959" t="s">
        <v>8055</v>
      </c>
      <c r="E1615" s="959" t="s">
        <v>8056</v>
      </c>
      <c r="F1615" s="959" t="s">
        <v>1437</v>
      </c>
      <c r="G1615" s="108">
        <f t="shared" si="25"/>
        <v>2</v>
      </c>
      <c r="H1615" s="959" t="s">
        <v>8764</v>
      </c>
    </row>
    <row r="1616" spans="1:8">
      <c r="A1616" s="108" t="s">
        <v>7719</v>
      </c>
      <c r="B1616" s="959" t="s">
        <v>8063</v>
      </c>
      <c r="C1616" s="959" t="s">
        <v>7740</v>
      </c>
      <c r="D1616" s="959" t="s">
        <v>11331</v>
      </c>
      <c r="E1616" s="959" t="s">
        <v>8065</v>
      </c>
      <c r="F1616" s="959" t="s">
        <v>8066</v>
      </c>
      <c r="G1616" s="108">
        <f t="shared" si="25"/>
        <v>4</v>
      </c>
      <c r="H1616" s="959" t="s">
        <v>8763</v>
      </c>
    </row>
    <row r="1617" spans="1:8">
      <c r="A1617" s="108" t="s">
        <v>7719</v>
      </c>
      <c r="B1617" s="959" t="s">
        <v>8067</v>
      </c>
      <c r="C1617" s="959" t="s">
        <v>8068</v>
      </c>
      <c r="D1617" s="959" t="s">
        <v>8069</v>
      </c>
      <c r="E1617" s="959" t="s">
        <v>8070</v>
      </c>
      <c r="F1617" s="959" t="s">
        <v>1437</v>
      </c>
      <c r="G1617" s="108">
        <f t="shared" si="25"/>
        <v>1</v>
      </c>
      <c r="H1617" s="959" t="s">
        <v>8761</v>
      </c>
    </row>
    <row r="1618" spans="1:8">
      <c r="A1618" s="108" t="s">
        <v>7719</v>
      </c>
      <c r="B1618" s="959" t="s">
        <v>8071</v>
      </c>
      <c r="C1618" s="960" t="s">
        <v>8072</v>
      </c>
      <c r="D1618" s="960" t="s">
        <v>8073</v>
      </c>
      <c r="E1618" s="959" t="s">
        <v>8074</v>
      </c>
      <c r="F1618" s="959" t="s">
        <v>1437</v>
      </c>
      <c r="G1618" s="108">
        <f t="shared" si="25"/>
        <v>2</v>
      </c>
      <c r="H1618" s="959" t="s">
        <v>8764</v>
      </c>
    </row>
    <row r="1619" spans="1:8" ht="25.5">
      <c r="A1619" s="108" t="s">
        <v>7719</v>
      </c>
      <c r="B1619" s="959" t="s">
        <v>8086</v>
      </c>
      <c r="C1619" s="959" t="s">
        <v>8087</v>
      </c>
      <c r="D1619" s="959" t="s">
        <v>8088</v>
      </c>
      <c r="E1619" s="959" t="s">
        <v>8089</v>
      </c>
      <c r="F1619" s="959" t="s">
        <v>1437</v>
      </c>
      <c r="G1619" s="108">
        <f t="shared" si="25"/>
        <v>3</v>
      </c>
      <c r="H1619" s="959" t="s">
        <v>8766</v>
      </c>
    </row>
    <row r="1620" spans="1:8" ht="25.5">
      <c r="A1620" s="108" t="s">
        <v>7719</v>
      </c>
      <c r="B1620" s="959" t="s">
        <v>8104</v>
      </c>
      <c r="C1620" s="959" t="s">
        <v>8105</v>
      </c>
      <c r="D1620" s="959" t="s">
        <v>8106</v>
      </c>
      <c r="E1620" s="959" t="s">
        <v>8107</v>
      </c>
      <c r="F1620" s="959" t="s">
        <v>1437</v>
      </c>
      <c r="G1620" s="108">
        <f t="shared" si="25"/>
        <v>2</v>
      </c>
      <c r="H1620" s="959" t="s">
        <v>8764</v>
      </c>
    </row>
    <row r="1621" spans="1:8">
      <c r="A1621" s="108" t="s">
        <v>7719</v>
      </c>
      <c r="B1621" s="959" t="s">
        <v>8154</v>
      </c>
      <c r="C1621" s="959" t="s">
        <v>8155</v>
      </c>
      <c r="D1621" s="959" t="s">
        <v>8156</v>
      </c>
      <c r="E1621" s="959" t="s">
        <v>8157</v>
      </c>
      <c r="F1621" s="959" t="s">
        <v>1437</v>
      </c>
      <c r="G1621" s="108">
        <f t="shared" si="25"/>
        <v>1</v>
      </c>
      <c r="H1621" s="959" t="s">
        <v>8761</v>
      </c>
    </row>
    <row r="1622" spans="1:8">
      <c r="A1622" s="108" t="s">
        <v>7719</v>
      </c>
      <c r="B1622" s="959" t="s">
        <v>8181</v>
      </c>
      <c r="C1622" s="959" t="s">
        <v>8182</v>
      </c>
      <c r="D1622" s="959" t="s">
        <v>8183</v>
      </c>
      <c r="E1622" s="959" t="s">
        <v>8184</v>
      </c>
      <c r="F1622" s="959" t="s">
        <v>8185</v>
      </c>
      <c r="G1622" s="108">
        <f t="shared" si="25"/>
        <v>1</v>
      </c>
      <c r="H1622" s="959" t="s">
        <v>8761</v>
      </c>
    </row>
    <row r="1623" spans="1:8" ht="25.5">
      <c r="A1623" s="108" t="s">
        <v>7719</v>
      </c>
      <c r="B1623" s="959" t="s">
        <v>8194</v>
      </c>
      <c r="C1623" s="959" t="s">
        <v>8195</v>
      </c>
      <c r="D1623" s="959" t="s">
        <v>8196</v>
      </c>
      <c r="E1623" s="959" t="s">
        <v>8197</v>
      </c>
      <c r="F1623" s="959" t="s">
        <v>8198</v>
      </c>
      <c r="G1623" s="108">
        <f t="shared" si="25"/>
        <v>2</v>
      </c>
      <c r="H1623" s="959" t="s">
        <v>8764</v>
      </c>
    </row>
    <row r="1624" spans="1:8" ht="25.5">
      <c r="A1624" s="108" t="s">
        <v>7719</v>
      </c>
      <c r="B1624" s="959" t="s">
        <v>8712</v>
      </c>
      <c r="C1624" s="959" t="s">
        <v>8212</v>
      </c>
      <c r="D1624" s="959" t="s">
        <v>8213</v>
      </c>
      <c r="E1624" s="959" t="s">
        <v>8214</v>
      </c>
      <c r="F1624" s="959" t="s">
        <v>209</v>
      </c>
      <c r="G1624" s="108">
        <f t="shared" si="25"/>
        <v>1</v>
      </c>
      <c r="H1624" s="959" t="s">
        <v>8761</v>
      </c>
    </row>
    <row r="1625" spans="1:8">
      <c r="A1625" s="108" t="s">
        <v>7719</v>
      </c>
      <c r="B1625" s="959" t="s">
        <v>8215</v>
      </c>
      <c r="C1625" s="959" t="s">
        <v>8216</v>
      </c>
      <c r="D1625" s="959" t="s">
        <v>8217</v>
      </c>
      <c r="E1625" s="959" t="s">
        <v>8218</v>
      </c>
      <c r="F1625" s="959" t="s">
        <v>8219</v>
      </c>
      <c r="G1625" s="108">
        <f t="shared" si="25"/>
        <v>2</v>
      </c>
      <c r="H1625" s="959" t="s">
        <v>8764</v>
      </c>
    </row>
    <row r="1626" spans="1:8" ht="25.5">
      <c r="A1626" s="108" t="s">
        <v>7719</v>
      </c>
      <c r="B1626" s="959" t="s">
        <v>8225</v>
      </c>
      <c r="C1626" s="959" t="s">
        <v>8226</v>
      </c>
      <c r="D1626" s="959" t="s">
        <v>8227</v>
      </c>
      <c r="E1626" s="959" t="s">
        <v>8228</v>
      </c>
      <c r="F1626" s="959" t="s">
        <v>8229</v>
      </c>
      <c r="G1626" s="108">
        <f t="shared" si="25"/>
        <v>2</v>
      </c>
      <c r="H1626" s="959" t="s">
        <v>8764</v>
      </c>
    </row>
    <row r="1627" spans="1:8" ht="25.5">
      <c r="A1627" s="108" t="s">
        <v>7719</v>
      </c>
      <c r="B1627" s="961" t="s">
        <v>8281</v>
      </c>
      <c r="C1627" s="959" t="s">
        <v>8282</v>
      </c>
      <c r="D1627" s="959" t="s">
        <v>8283</v>
      </c>
      <c r="E1627" s="959" t="s">
        <v>8284</v>
      </c>
      <c r="F1627" s="959" t="s">
        <v>8285</v>
      </c>
      <c r="G1627" s="108">
        <f t="shared" si="25"/>
        <v>2</v>
      </c>
      <c r="H1627" s="959" t="s">
        <v>8764</v>
      </c>
    </row>
    <row r="1628" spans="1:8">
      <c r="A1628" s="108" t="s">
        <v>7719</v>
      </c>
      <c r="B1628" s="961" t="s">
        <v>8286</v>
      </c>
      <c r="C1628" s="959" t="s">
        <v>8287</v>
      </c>
      <c r="D1628" s="959" t="s">
        <v>8288</v>
      </c>
      <c r="E1628" s="959" t="s">
        <v>8289</v>
      </c>
      <c r="F1628" s="959" t="s">
        <v>8290</v>
      </c>
      <c r="G1628" s="108">
        <f t="shared" si="25"/>
        <v>1</v>
      </c>
      <c r="H1628" s="959" t="s">
        <v>8761</v>
      </c>
    </row>
    <row r="1629" spans="1:8">
      <c r="A1629" s="108" t="s">
        <v>7719</v>
      </c>
      <c r="B1629" s="961" t="s">
        <v>8291</v>
      </c>
      <c r="C1629" s="959" t="s">
        <v>8292</v>
      </c>
      <c r="D1629" s="959" t="s">
        <v>8293</v>
      </c>
      <c r="E1629" s="959" t="s">
        <v>8294</v>
      </c>
      <c r="F1629" s="959" t="s">
        <v>8295</v>
      </c>
      <c r="G1629" s="108">
        <f t="shared" si="25"/>
        <v>2</v>
      </c>
      <c r="H1629" s="959" t="s">
        <v>8764</v>
      </c>
    </row>
    <row r="1630" spans="1:8" ht="25.5">
      <c r="A1630" s="108" t="s">
        <v>7719</v>
      </c>
      <c r="B1630" s="961" t="s">
        <v>8333</v>
      </c>
      <c r="C1630" s="959" t="s">
        <v>8334</v>
      </c>
      <c r="D1630" s="959" t="s">
        <v>8335</v>
      </c>
      <c r="E1630" s="959" t="s">
        <v>8336</v>
      </c>
      <c r="F1630" s="959" t="s">
        <v>8337</v>
      </c>
      <c r="G1630" s="108">
        <f t="shared" si="25"/>
        <v>3</v>
      </c>
      <c r="H1630" s="959" t="s">
        <v>8766</v>
      </c>
    </row>
    <row r="1631" spans="1:8">
      <c r="A1631" s="108" t="s">
        <v>7719</v>
      </c>
      <c r="B1631" s="959" t="s">
        <v>8352</v>
      </c>
      <c r="C1631" s="959" t="s">
        <v>8353</v>
      </c>
      <c r="D1631" s="959" t="s">
        <v>8354</v>
      </c>
      <c r="E1631" s="959" t="s">
        <v>8355</v>
      </c>
      <c r="F1631" s="959" t="s">
        <v>5234</v>
      </c>
      <c r="G1631" s="108">
        <f t="shared" si="25"/>
        <v>4</v>
      </c>
      <c r="H1631" s="959" t="s">
        <v>8763</v>
      </c>
    </row>
    <row r="1632" spans="1:8">
      <c r="A1632" s="108" t="s">
        <v>7719</v>
      </c>
      <c r="B1632" s="959" t="s">
        <v>8364</v>
      </c>
      <c r="C1632" s="959" t="s">
        <v>8365</v>
      </c>
      <c r="D1632" s="959" t="s">
        <v>8366</v>
      </c>
      <c r="E1632" s="959" t="s">
        <v>8367</v>
      </c>
      <c r="F1632" s="959" t="s">
        <v>8368</v>
      </c>
      <c r="G1632" s="108">
        <f t="shared" si="25"/>
        <v>3</v>
      </c>
      <c r="H1632" s="959" t="s">
        <v>8766</v>
      </c>
    </row>
    <row r="1633" spans="1:8">
      <c r="A1633" s="108" t="s">
        <v>7719</v>
      </c>
      <c r="B1633" s="959" t="s">
        <v>8378</v>
      </c>
      <c r="C1633" s="959" t="s">
        <v>8379</v>
      </c>
      <c r="D1633" s="959" t="s">
        <v>8380</v>
      </c>
      <c r="E1633" s="959" t="s">
        <v>8381</v>
      </c>
      <c r="F1633" s="959" t="s">
        <v>8382</v>
      </c>
      <c r="G1633" s="108">
        <f t="shared" si="25"/>
        <v>2</v>
      </c>
      <c r="H1633" s="959" t="s">
        <v>8764</v>
      </c>
    </row>
    <row r="1634" spans="1:8">
      <c r="A1634" s="108" t="s">
        <v>7719</v>
      </c>
      <c r="B1634" s="959" t="s">
        <v>8390</v>
      </c>
      <c r="C1634" s="959" t="s">
        <v>8391</v>
      </c>
      <c r="D1634" s="959" t="s">
        <v>8392</v>
      </c>
      <c r="E1634" s="959" t="s">
        <v>8393</v>
      </c>
      <c r="F1634" s="959" t="s">
        <v>8394</v>
      </c>
      <c r="G1634" s="108">
        <f t="shared" si="25"/>
        <v>2</v>
      </c>
      <c r="H1634" s="959" t="s">
        <v>8764</v>
      </c>
    </row>
    <row r="1635" spans="1:8" ht="76.5">
      <c r="A1635" s="108" t="s">
        <v>7719</v>
      </c>
      <c r="B1635" s="959" t="s">
        <v>8395</v>
      </c>
      <c r="C1635" s="959" t="s">
        <v>8396</v>
      </c>
      <c r="D1635" s="959" t="s">
        <v>8397</v>
      </c>
      <c r="E1635" s="959" t="s">
        <v>8398</v>
      </c>
      <c r="F1635" s="959" t="s">
        <v>8399</v>
      </c>
      <c r="G1635" s="108">
        <f t="shared" si="25"/>
        <v>4</v>
      </c>
      <c r="H1635" s="959" t="s">
        <v>8763</v>
      </c>
    </row>
    <row r="1636" spans="1:8" ht="51">
      <c r="A1636" s="108" t="s">
        <v>7719</v>
      </c>
      <c r="B1636" s="959" t="s">
        <v>8445</v>
      </c>
      <c r="C1636" s="959" t="s">
        <v>8446</v>
      </c>
      <c r="D1636" s="959" t="s">
        <v>8447</v>
      </c>
      <c r="E1636" s="959" t="s">
        <v>8448</v>
      </c>
      <c r="F1636" s="959" t="s">
        <v>8449</v>
      </c>
      <c r="G1636" s="108">
        <f t="shared" si="25"/>
        <v>4</v>
      </c>
      <c r="H1636" s="959" t="s">
        <v>8763</v>
      </c>
    </row>
    <row r="1637" spans="1:8" ht="30">
      <c r="A1637" s="108" t="s">
        <v>11332</v>
      </c>
      <c r="B1637" s="331" t="s">
        <v>11333</v>
      </c>
      <c r="C1637" s="113" t="s">
        <v>11334</v>
      </c>
      <c r="D1637" s="113" t="s">
        <v>11335</v>
      </c>
      <c r="E1637" s="113" t="s">
        <v>11336</v>
      </c>
      <c r="F1637" s="113" t="s">
        <v>11337</v>
      </c>
      <c r="G1637" s="108">
        <f t="shared" si="25"/>
        <v>1</v>
      </c>
      <c r="H1637" s="862" t="s">
        <v>8761</v>
      </c>
    </row>
    <row r="1638" spans="1:8" ht="60">
      <c r="A1638" s="108" t="s">
        <v>11332</v>
      </c>
      <c r="B1638" s="331" t="s">
        <v>11338</v>
      </c>
      <c r="C1638" s="113" t="s">
        <v>11339</v>
      </c>
      <c r="D1638" s="113" t="s">
        <v>11340</v>
      </c>
      <c r="E1638" s="113" t="s">
        <v>11341</v>
      </c>
      <c r="F1638" s="113" t="s">
        <v>11342</v>
      </c>
      <c r="G1638" s="108">
        <f t="shared" si="25"/>
        <v>2</v>
      </c>
      <c r="H1638" s="862" t="s">
        <v>8764</v>
      </c>
    </row>
    <row r="1639" spans="1:8" ht="45">
      <c r="A1639" s="108" t="s">
        <v>11332</v>
      </c>
      <c r="B1639" s="497" t="s">
        <v>11343</v>
      </c>
      <c r="C1639" s="498" t="s">
        <v>11344</v>
      </c>
      <c r="D1639" s="498" t="s">
        <v>11345</v>
      </c>
      <c r="E1639" s="498" t="s">
        <v>11346</v>
      </c>
      <c r="F1639" s="498" t="s">
        <v>11347</v>
      </c>
      <c r="G1639" s="108">
        <f t="shared" si="25"/>
        <v>2</v>
      </c>
      <c r="H1639" s="862" t="s">
        <v>8764</v>
      </c>
    </row>
    <row r="1640" spans="1:8" ht="45">
      <c r="A1640" s="108" t="s">
        <v>11332</v>
      </c>
      <c r="B1640" s="497" t="s">
        <v>11348</v>
      </c>
      <c r="C1640" s="498" t="s">
        <v>11349</v>
      </c>
      <c r="D1640" s="498" t="s">
        <v>11350</v>
      </c>
      <c r="E1640" s="498" t="s">
        <v>11351</v>
      </c>
      <c r="F1640" s="498" t="s">
        <v>1869</v>
      </c>
      <c r="G1640" s="108">
        <f t="shared" si="25"/>
        <v>4</v>
      </c>
      <c r="H1640" s="862" t="s">
        <v>8763</v>
      </c>
    </row>
    <row r="1641" spans="1:8" ht="30">
      <c r="A1641" s="108" t="s">
        <v>11332</v>
      </c>
      <c r="B1641" s="497" t="s">
        <v>11352</v>
      </c>
      <c r="C1641" s="498" t="s">
        <v>11353</v>
      </c>
      <c r="D1641" s="498" t="s">
        <v>11354</v>
      </c>
      <c r="E1641" s="498" t="s">
        <v>11355</v>
      </c>
      <c r="F1641" s="498" t="s">
        <v>11356</v>
      </c>
      <c r="G1641" s="108">
        <f t="shared" si="25"/>
        <v>1</v>
      </c>
      <c r="H1641" s="862" t="s">
        <v>8761</v>
      </c>
    </row>
    <row r="1642" spans="1:8" ht="30">
      <c r="A1642" s="108" t="s">
        <v>11332</v>
      </c>
      <c r="B1642" s="497" t="s">
        <v>11357</v>
      </c>
      <c r="C1642" s="498" t="s">
        <v>11358</v>
      </c>
      <c r="D1642" s="498" t="s">
        <v>11359</v>
      </c>
      <c r="E1642" s="498" t="s">
        <v>11360</v>
      </c>
      <c r="F1642" s="498" t="s">
        <v>1869</v>
      </c>
      <c r="G1642" s="108">
        <f t="shared" si="25"/>
        <v>2</v>
      </c>
      <c r="H1642" s="862" t="s">
        <v>8764</v>
      </c>
    </row>
    <row r="1643" spans="1:8">
      <c r="A1643" s="108" t="s">
        <v>11332</v>
      </c>
      <c r="B1643" s="497" t="s">
        <v>11361</v>
      </c>
      <c r="C1643" s="498" t="s">
        <v>11362</v>
      </c>
      <c r="D1643" s="498" t="s">
        <v>11363</v>
      </c>
      <c r="E1643" s="498" t="s">
        <v>11364</v>
      </c>
      <c r="F1643" s="498" t="s">
        <v>11365</v>
      </c>
      <c r="G1643" s="108">
        <f t="shared" si="25"/>
        <v>1</v>
      </c>
      <c r="H1643" s="862" t="s">
        <v>8761</v>
      </c>
    </row>
    <row r="1644" spans="1:8">
      <c r="A1644" s="108" t="s">
        <v>11332</v>
      </c>
      <c r="B1644" s="497" t="s">
        <v>11366</v>
      </c>
      <c r="C1644" s="498" t="s">
        <v>11367</v>
      </c>
      <c r="D1644" s="498" t="s">
        <v>11368</v>
      </c>
      <c r="E1644" s="498" t="s">
        <v>11369</v>
      </c>
      <c r="F1644" s="498" t="s">
        <v>11370</v>
      </c>
      <c r="G1644" s="108">
        <f t="shared" si="25"/>
        <v>3</v>
      </c>
      <c r="H1644" s="862" t="s">
        <v>8766</v>
      </c>
    </row>
    <row r="1645" spans="1:8" ht="30">
      <c r="A1645" s="108" t="s">
        <v>11332</v>
      </c>
      <c r="B1645" s="497" t="s">
        <v>11371</v>
      </c>
      <c r="C1645" s="498" t="s">
        <v>11372</v>
      </c>
      <c r="D1645" s="498" t="s">
        <v>11373</v>
      </c>
      <c r="E1645" s="498" t="s">
        <v>11374</v>
      </c>
      <c r="F1645" s="498" t="s">
        <v>11375</v>
      </c>
      <c r="G1645" s="108">
        <f t="shared" si="25"/>
        <v>2</v>
      </c>
      <c r="H1645" s="862" t="s">
        <v>8764</v>
      </c>
    </row>
    <row r="1646" spans="1:8" ht="60">
      <c r="A1646" s="108" t="s">
        <v>11332</v>
      </c>
      <c r="B1646" s="497" t="s">
        <v>11376</v>
      </c>
      <c r="C1646" s="498" t="s">
        <v>11377</v>
      </c>
      <c r="D1646" s="498" t="s">
        <v>11378</v>
      </c>
      <c r="E1646" s="498" t="s">
        <v>6258</v>
      </c>
      <c r="F1646" s="498" t="s">
        <v>209</v>
      </c>
      <c r="G1646" s="108">
        <f t="shared" si="25"/>
        <v>2</v>
      </c>
      <c r="H1646" s="862" t="s">
        <v>8764</v>
      </c>
    </row>
    <row r="1647" spans="1:8" ht="60">
      <c r="A1647" s="108" t="s">
        <v>11332</v>
      </c>
      <c r="B1647" s="497" t="s">
        <v>11379</v>
      </c>
      <c r="C1647" s="498" t="s">
        <v>11380</v>
      </c>
      <c r="D1647" s="498" t="s">
        <v>11381</v>
      </c>
      <c r="E1647" s="498" t="s">
        <v>11382</v>
      </c>
      <c r="F1647" s="498" t="s">
        <v>1000</v>
      </c>
      <c r="G1647" s="108">
        <f t="shared" si="25"/>
        <v>1</v>
      </c>
      <c r="H1647" s="862" t="s">
        <v>8761</v>
      </c>
    </row>
    <row r="1648" spans="1:8" ht="30">
      <c r="A1648" s="108" t="s">
        <v>11332</v>
      </c>
      <c r="B1648" s="497" t="s">
        <v>11383</v>
      </c>
      <c r="C1648" s="498" t="s">
        <v>11384</v>
      </c>
      <c r="D1648" s="498" t="s">
        <v>11385</v>
      </c>
      <c r="E1648" s="498" t="s">
        <v>11386</v>
      </c>
      <c r="F1648" s="498" t="s">
        <v>328</v>
      </c>
      <c r="G1648" s="108">
        <f t="shared" si="25"/>
        <v>2</v>
      </c>
      <c r="H1648" s="862" t="s">
        <v>8764</v>
      </c>
    </row>
    <row r="1649" spans="1:8" ht="30">
      <c r="A1649" s="108" t="s">
        <v>11332</v>
      </c>
      <c r="B1649" s="497" t="s">
        <v>11387</v>
      </c>
      <c r="C1649" s="498" t="s">
        <v>11388</v>
      </c>
      <c r="D1649" s="498" t="s">
        <v>11389</v>
      </c>
      <c r="E1649" s="498" t="s">
        <v>11390</v>
      </c>
      <c r="F1649" s="498" t="s">
        <v>1000</v>
      </c>
      <c r="G1649" s="108">
        <f t="shared" si="25"/>
        <v>2</v>
      </c>
      <c r="H1649" s="862" t="s">
        <v>8764</v>
      </c>
    </row>
    <row r="1650" spans="1:8" ht="30">
      <c r="A1650" s="108" t="s">
        <v>11332</v>
      </c>
      <c r="B1650" s="497" t="s">
        <v>11391</v>
      </c>
      <c r="C1650" s="498" t="s">
        <v>11388</v>
      </c>
      <c r="D1650" s="498" t="s">
        <v>11389</v>
      </c>
      <c r="E1650" s="498" t="s">
        <v>11390</v>
      </c>
      <c r="F1650" s="498" t="s">
        <v>1000</v>
      </c>
      <c r="G1650" s="108">
        <f t="shared" si="25"/>
        <v>1</v>
      </c>
      <c r="H1650" s="862" t="s">
        <v>8761</v>
      </c>
    </row>
    <row r="1651" spans="1:8" ht="30">
      <c r="A1651" s="108" t="s">
        <v>11332</v>
      </c>
      <c r="B1651" s="497" t="s">
        <v>11392</v>
      </c>
      <c r="C1651" s="498" t="s">
        <v>11393</v>
      </c>
      <c r="D1651" s="498" t="s">
        <v>11394</v>
      </c>
      <c r="E1651" s="498" t="s">
        <v>11395</v>
      </c>
      <c r="F1651" s="498" t="s">
        <v>11396</v>
      </c>
      <c r="G1651" s="108">
        <f t="shared" si="25"/>
        <v>2</v>
      </c>
      <c r="H1651" s="862" t="s">
        <v>8764</v>
      </c>
    </row>
    <row r="1652" spans="1:8">
      <c r="A1652" s="108" t="s">
        <v>11332</v>
      </c>
      <c r="B1652" s="497" t="s">
        <v>11397</v>
      </c>
      <c r="C1652" s="498" t="s">
        <v>11398</v>
      </c>
      <c r="D1652" s="498" t="s">
        <v>11399</v>
      </c>
      <c r="E1652" s="498" t="s">
        <v>11400</v>
      </c>
      <c r="F1652" s="498" t="s">
        <v>328</v>
      </c>
      <c r="G1652" s="108">
        <f t="shared" si="25"/>
        <v>1</v>
      </c>
      <c r="H1652" s="862" t="s">
        <v>8761</v>
      </c>
    </row>
    <row r="1653" spans="1:8">
      <c r="A1653" s="108" t="s">
        <v>11332</v>
      </c>
      <c r="B1653" s="497" t="s">
        <v>11401</v>
      </c>
      <c r="C1653" s="498" t="s">
        <v>11402</v>
      </c>
      <c r="D1653" s="498" t="s">
        <v>11403</v>
      </c>
      <c r="E1653" s="498" t="s">
        <v>11404</v>
      </c>
      <c r="F1653" s="498" t="s">
        <v>328</v>
      </c>
      <c r="G1653" s="108">
        <f t="shared" si="25"/>
        <v>3</v>
      </c>
      <c r="H1653" s="862" t="s">
        <v>8766</v>
      </c>
    </row>
    <row r="1654" spans="1:8">
      <c r="A1654" s="108" t="s">
        <v>11332</v>
      </c>
      <c r="B1654" s="497" t="s">
        <v>11405</v>
      </c>
      <c r="C1654" s="498" t="s">
        <v>11406</v>
      </c>
      <c r="D1654" s="498" t="s">
        <v>11407</v>
      </c>
      <c r="E1654" s="498" t="s">
        <v>360</v>
      </c>
      <c r="F1654" s="498" t="s">
        <v>328</v>
      </c>
      <c r="G1654" s="108">
        <f t="shared" si="25"/>
        <v>3</v>
      </c>
      <c r="H1654" s="862" t="s">
        <v>8766</v>
      </c>
    </row>
    <row r="1655" spans="1:8" ht="30">
      <c r="A1655" s="108" t="s">
        <v>11332</v>
      </c>
      <c r="B1655" s="497" t="s">
        <v>11408</v>
      </c>
      <c r="C1655" s="498" t="s">
        <v>11409</v>
      </c>
      <c r="D1655" s="498" t="s">
        <v>11410</v>
      </c>
      <c r="E1655" s="498" t="s">
        <v>11411</v>
      </c>
      <c r="F1655" s="498" t="s">
        <v>11412</v>
      </c>
      <c r="G1655" s="108">
        <f t="shared" si="25"/>
        <v>3</v>
      </c>
      <c r="H1655" s="862" t="s">
        <v>8766</v>
      </c>
    </row>
    <row r="1656" spans="1:8" ht="30">
      <c r="A1656" s="108" t="s">
        <v>11332</v>
      </c>
      <c r="B1656" s="497" t="s">
        <v>11413</v>
      </c>
      <c r="C1656" s="498" t="s">
        <v>11414</v>
      </c>
      <c r="D1656" s="498" t="s">
        <v>11415</v>
      </c>
      <c r="E1656" s="498" t="s">
        <v>11416</v>
      </c>
      <c r="F1656" s="498" t="s">
        <v>4426</v>
      </c>
      <c r="G1656" s="108">
        <f t="shared" si="25"/>
        <v>4</v>
      </c>
      <c r="H1656" s="862" t="s">
        <v>8763</v>
      </c>
    </row>
    <row r="1657" spans="1:8" ht="45">
      <c r="A1657" s="108" t="s">
        <v>11332</v>
      </c>
      <c r="B1657" s="497" t="s">
        <v>11417</v>
      </c>
      <c r="C1657" s="498" t="s">
        <v>11418</v>
      </c>
      <c r="D1657" s="498" t="s">
        <v>11419</v>
      </c>
      <c r="E1657" s="498" t="s">
        <v>11420</v>
      </c>
      <c r="F1657" s="498" t="s">
        <v>11421</v>
      </c>
      <c r="G1657" s="108">
        <f t="shared" si="25"/>
        <v>2</v>
      </c>
      <c r="H1657" s="862" t="s">
        <v>8764</v>
      </c>
    </row>
    <row r="1658" spans="1:8" ht="30">
      <c r="A1658" s="108" t="s">
        <v>11332</v>
      </c>
      <c r="B1658" s="497" t="s">
        <v>11422</v>
      </c>
      <c r="C1658" s="498" t="s">
        <v>11423</v>
      </c>
      <c r="D1658" s="498" t="s">
        <v>11424</v>
      </c>
      <c r="E1658" s="498" t="s">
        <v>11425</v>
      </c>
      <c r="F1658" s="498" t="s">
        <v>11426</v>
      </c>
      <c r="G1658" s="108">
        <f t="shared" si="25"/>
        <v>2</v>
      </c>
      <c r="H1658" s="862" t="s">
        <v>8764</v>
      </c>
    </row>
    <row r="1659" spans="1:8">
      <c r="A1659" s="108" t="s">
        <v>11332</v>
      </c>
      <c r="B1659" s="497" t="s">
        <v>11427</v>
      </c>
      <c r="C1659" s="498" t="s">
        <v>11428</v>
      </c>
      <c r="D1659" s="498" t="s">
        <v>11429</v>
      </c>
      <c r="E1659" s="498" t="s">
        <v>11430</v>
      </c>
      <c r="F1659" s="498" t="s">
        <v>328</v>
      </c>
      <c r="G1659" s="108">
        <f t="shared" si="25"/>
        <v>2</v>
      </c>
      <c r="H1659" s="862" t="s">
        <v>8764</v>
      </c>
    </row>
  </sheetData>
  <autoFilter ref="A1:H1659"/>
  <hyperlinks>
    <hyperlink ref="C1456" r:id="rId1" display="http://www.recregistryindia.com/"/>
    <hyperlink ref="D1456" r:id="rId2" display="http://www.recregistryindia.in/"/>
    <hyperlink ref="E1456" r:id="rId3" display="http://www.rec.com/"/>
    <hyperlink ref="F1456" r:id="rId4"/>
    <hyperlink ref="D1618" r:id="rId5"/>
    <hyperlink ref="C1618" r:id="rId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Nagasudhir Pulla</dc:creator>
  <cp:lastModifiedBy>Nagasudhir Pulla</cp:lastModifiedBy>
  <dcterms:created xsi:type="dcterms:W3CDTF">2019-02-28T06:17:43Z</dcterms:created>
  <dcterms:modified xsi:type="dcterms:W3CDTF">2019-03-27T03:20:41Z</dcterms:modified>
</cp:coreProperties>
</file>